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67" headerRowCount="1">
  <autoFilter ref="A1:O26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634" headerRowCount="1">
  <autoFilter ref="A1:H634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336864548932" TargetMode="External" Id="rId2" /><Relationship Type="http://schemas.openxmlformats.org/officeDocument/2006/relationships/hyperlink" Target="https://www.ebay.com/itm/198749932768" TargetMode="External" Id="rId3" /><Relationship Type="http://schemas.openxmlformats.org/officeDocument/2006/relationships/hyperlink" Target="https://www.ebay.com/itm/117481448193" TargetMode="External" Id="rId4" /><Relationship Type="http://schemas.openxmlformats.org/officeDocument/2006/relationships/hyperlink" Target="https://www.ebay.com/itm/298166712086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67799061448" TargetMode="External" Id="rId7" /><Relationship Type="http://schemas.openxmlformats.org/officeDocument/2006/relationships/hyperlink" Target="https://www.ebay.com/itm/147595569594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27408972899" TargetMode="External" Id="rId10" /><Relationship Type="http://schemas.openxmlformats.org/officeDocument/2006/relationships/hyperlink" Target="https://www.ebay.com/itm/800821980146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68233637342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298166712086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278191566067" TargetMode="External" Id="rId6" /><Relationship Type="http://schemas.openxmlformats.org/officeDocument/2006/relationships/hyperlink" Target="https://www.ebay.com/itm/336864548932" TargetMode="External" Id="rId7" /><Relationship Type="http://schemas.openxmlformats.org/officeDocument/2006/relationships/hyperlink" Target="https://www.ebay.com/itm/178171158022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168233637342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960123914116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98749932768" TargetMode="External" Id="rId14" /><Relationship Type="http://schemas.openxmlformats.org/officeDocument/2006/relationships/hyperlink" Target="https://www.ebay.com/itm/147595569594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298166712086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820281781602" TargetMode="External" Id="rId22" /><Relationship Type="http://schemas.openxmlformats.org/officeDocument/2006/relationships/hyperlink" Target="https://www.ebay.com/itm/336864548932" TargetMode="External" Id="rId23" /><Relationship Type="http://schemas.openxmlformats.org/officeDocument/2006/relationships/hyperlink" Target="https://www.ebay.com/itm/178171158022" TargetMode="External" Id="rId24" /><Relationship Type="http://schemas.openxmlformats.org/officeDocument/2006/relationships/hyperlink" Target="https://www.ebay.com/itm/186930960267" TargetMode="External" Id="rId25" /><Relationship Type="http://schemas.openxmlformats.org/officeDocument/2006/relationships/hyperlink" Target="https://www.ebay.com/itm/157424692080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318668183718" TargetMode="External" Id="rId28" /><Relationship Type="http://schemas.openxmlformats.org/officeDocument/2006/relationships/hyperlink" Target="https://www.ebay.com/itm/117481448193" TargetMode="External" Id="rId29" /><Relationship Type="http://schemas.openxmlformats.org/officeDocument/2006/relationships/hyperlink" Target="https://www.ebay.com/itm/128145077866" TargetMode="External" Id="rId30" /><Relationship Type="http://schemas.openxmlformats.org/officeDocument/2006/relationships/hyperlink" Target="https://www.ebay.com/itm/267823787358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377593610877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267799061448" TargetMode="External" Id="rId37" /><Relationship Type="http://schemas.openxmlformats.org/officeDocument/2006/relationships/hyperlink" Target="https://www.ebay.com/itm/278191566067" TargetMode="External" Id="rId38" /><Relationship Type="http://schemas.openxmlformats.org/officeDocument/2006/relationships/hyperlink" Target="https://www.ebay.com/itm/128148777373" TargetMode="External" Id="rId39" /><Relationship Type="http://schemas.openxmlformats.org/officeDocument/2006/relationships/hyperlink" Target="https://www.ebay.com/itm/178171158022" TargetMode="External" Id="rId40" /><Relationship Type="http://schemas.openxmlformats.org/officeDocument/2006/relationships/hyperlink" Target="https://www.ebay.com/itm/389732753480" TargetMode="External" Id="rId41" /><Relationship Type="http://schemas.openxmlformats.org/officeDocument/2006/relationships/hyperlink" Target="https://www.ebay.com/itm/157424692080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18668183718" TargetMode="External" Id="rId44" /><Relationship Type="http://schemas.openxmlformats.org/officeDocument/2006/relationships/hyperlink" Target="https://www.ebay.com/itm/840035484357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267823787358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377593610877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187668752673" TargetMode="External" Id="rId52" /><Relationship Type="http://schemas.openxmlformats.org/officeDocument/2006/relationships/hyperlink" Target="https://www.ebay.com/itm/267799061448" TargetMode="External" Id="rId53" /><Relationship Type="http://schemas.openxmlformats.org/officeDocument/2006/relationships/hyperlink" Target="https://www.ebay.com/itm/820274913467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7775" TargetMode="External" Id="rId56" /><Relationship Type="http://schemas.openxmlformats.org/officeDocument/2006/relationships/hyperlink" Target="https://www.ebay.com/itm/266764723704" TargetMode="External" Id="rId57" /><Relationship Type="http://schemas.openxmlformats.org/officeDocument/2006/relationships/hyperlink" Target="https://www.ebay.com/itm/157424692080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57503836" TargetMode="External" Id="rId60" /><Relationship Type="http://schemas.openxmlformats.org/officeDocument/2006/relationships/hyperlink" Target="https://www.ebay.com/itm/117481448193" TargetMode="External" Id="rId61" /><Relationship Type="http://schemas.openxmlformats.org/officeDocument/2006/relationships/hyperlink" Target="https://www.ebay.com/itm/128145077866" TargetMode="External" Id="rId62" /><Relationship Type="http://schemas.openxmlformats.org/officeDocument/2006/relationships/hyperlink" Target="https://www.ebay.com/itm/147595555861" TargetMode="External" Id="rId63" /><Relationship Type="http://schemas.openxmlformats.org/officeDocument/2006/relationships/hyperlink" Target="https://www.ebay.com/itm/327408972899" TargetMode="External" Id="rId64" /><Relationship Type="http://schemas.openxmlformats.org/officeDocument/2006/relationships/hyperlink" Target="https://www.ebay.com/itm/377593610877" TargetMode="External" Id="rId65" /><Relationship Type="http://schemas.openxmlformats.org/officeDocument/2006/relationships/hyperlink" Target="https://www.ebay.com/itm/800821980146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187668752673" TargetMode="External" Id="rId68" /><Relationship Type="http://schemas.openxmlformats.org/officeDocument/2006/relationships/hyperlink" Target="https://www.ebay.com/itm/267799061448" TargetMode="External" Id="rId69" /><Relationship Type="http://schemas.openxmlformats.org/officeDocument/2006/relationships/hyperlink" Target="https://www.ebay.com/itm/307246440324" TargetMode="External" Id="rId70" /><Relationship Type="http://schemas.openxmlformats.org/officeDocument/2006/relationships/hyperlink" Target="https://www.ebay.com/itm/128148777373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266764723704" TargetMode="External" Id="rId73" /><Relationship Type="http://schemas.openxmlformats.org/officeDocument/2006/relationships/hyperlink" Target="https://www.ebay.com/itm/157424692080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366757503836" TargetMode="External" Id="rId76" /><Relationship Type="http://schemas.openxmlformats.org/officeDocument/2006/relationships/hyperlink" Target="https://www.ebay.com/itm/117481448193" TargetMode="External" Id="rId77" /><Relationship Type="http://schemas.openxmlformats.org/officeDocument/2006/relationships/hyperlink" Target="https://www.ebay.com/itm/128145077866" TargetMode="External" Id="rId78" /><Relationship Type="http://schemas.openxmlformats.org/officeDocument/2006/relationships/hyperlink" Target="https://www.ebay.com/itm/147595555861" TargetMode="External" Id="rId79" /><Relationship Type="http://schemas.openxmlformats.org/officeDocument/2006/relationships/hyperlink" Target="https://www.ebay.com/itm/327408972899" TargetMode="External" Id="rId80" /><Relationship Type="http://schemas.openxmlformats.org/officeDocument/2006/relationships/hyperlink" Target="https://www.ebay.com/itm/237139218732" TargetMode="External" Id="rId81" /><Relationship Type="http://schemas.openxmlformats.org/officeDocument/2006/relationships/hyperlink" Target="https://www.ebay.com/itm/800821980146" TargetMode="External" Id="rId82" /><Relationship Type="http://schemas.openxmlformats.org/officeDocument/2006/relationships/hyperlink" Target="https://www.ebay.com/itm/305729926018" TargetMode="External" Id="rId83" /><Relationship Type="http://schemas.openxmlformats.org/officeDocument/2006/relationships/hyperlink" Target="https://www.ebay.com/itm/206610079456" TargetMode="External" Id="rId84" /><Relationship Type="http://schemas.openxmlformats.org/officeDocument/2006/relationships/hyperlink" Target="https://www.ebay.com/itm/147636765969" TargetMode="External" Id="rId85" /><Relationship Type="http://schemas.openxmlformats.org/officeDocument/2006/relationships/hyperlink" Target="https://www.ebay.com/itm/198733125600" TargetMode="External" Id="rId86" /><Relationship Type="http://schemas.openxmlformats.org/officeDocument/2006/relationships/hyperlink" Target="https://www.ebay.com/itm/128148777373" TargetMode="External" Id="rId87" /><Relationship Type="http://schemas.openxmlformats.org/officeDocument/2006/relationships/hyperlink" Target="https://www.ebay.com/itm/178171157775" TargetMode="External" Id="rId88" /><Relationship Type="http://schemas.openxmlformats.org/officeDocument/2006/relationships/hyperlink" Target="https://www.ebay.com/itm/266764723704" TargetMode="External" Id="rId89" /><Relationship Type="http://schemas.openxmlformats.org/officeDocument/2006/relationships/hyperlink" Target="https://www.ebay.com/itm/147407453126" TargetMode="External" Id="rId90" /><Relationship Type="http://schemas.openxmlformats.org/officeDocument/2006/relationships/hyperlink" Target="https://www.ebay.com/itm/389945918228" TargetMode="External" Id="rId91" /><Relationship Type="http://schemas.openxmlformats.org/officeDocument/2006/relationships/hyperlink" Target="https://www.ebay.com/itm/128148988213" TargetMode="External" Id="rId92" /><Relationship Type="http://schemas.openxmlformats.org/officeDocument/2006/relationships/hyperlink" Target="https://www.ebay.com/itm/117481448193" TargetMode="External" Id="rId93" /><Relationship Type="http://schemas.openxmlformats.org/officeDocument/2006/relationships/hyperlink" Target="https://www.ebay.com/itm/128145077866" TargetMode="External" Id="rId94" /><Relationship Type="http://schemas.openxmlformats.org/officeDocument/2006/relationships/hyperlink" Target="https://www.ebay.com/itm/820263539684" TargetMode="External" Id="rId95" /><Relationship Type="http://schemas.openxmlformats.org/officeDocument/2006/relationships/hyperlink" Target="https://www.ebay.com/itm/287663939921" TargetMode="External" Id="rId96" /><Relationship Type="http://schemas.openxmlformats.org/officeDocument/2006/relationships/hyperlink" Target="https://www.ebay.com/itm/206636986020" TargetMode="External" Id="rId97" /><Relationship Type="http://schemas.openxmlformats.org/officeDocument/2006/relationships/hyperlink" Target="https://www.ebay.com/itm/800821980146" TargetMode="External" Id="rId98" /><Relationship Type="http://schemas.openxmlformats.org/officeDocument/2006/relationships/hyperlink" Target="https://www.ebay.com/itm/305729926018" TargetMode="External" Id="rId99" /><Relationship Type="http://schemas.openxmlformats.org/officeDocument/2006/relationships/hyperlink" Target="https://www.ebay.com/itm/187668752673" TargetMode="External" Id="rId100" /><Relationship Type="http://schemas.openxmlformats.org/officeDocument/2006/relationships/hyperlink" Target="https://www.ebay.com/itm/147636765969" TargetMode="External" Id="rId101" /><Relationship Type="http://schemas.openxmlformats.org/officeDocument/2006/relationships/hyperlink" Target="https://www.ebay.com/itm/198733125600" TargetMode="External" Id="rId102" /><Relationship Type="http://schemas.openxmlformats.org/officeDocument/2006/relationships/hyperlink" Target="https://www.ebay.com/itm/128148777373" TargetMode="External" Id="rId103" /><Relationship Type="http://schemas.openxmlformats.org/officeDocument/2006/relationships/hyperlink" Target="https://www.ebay.com/itm/178171157775" TargetMode="External" Id="rId104" /><Relationship Type="http://schemas.openxmlformats.org/officeDocument/2006/relationships/hyperlink" Target="https://www.ebay.com/itm/266764723704" TargetMode="External" Id="rId105" /><Relationship Type="http://schemas.openxmlformats.org/officeDocument/2006/relationships/hyperlink" Target="https://www.ebay.com/itm/287572296725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128148988213" TargetMode="External" Id="rId108" /><Relationship Type="http://schemas.openxmlformats.org/officeDocument/2006/relationships/hyperlink" Target="https://www.ebay.com/itm/800773514419" TargetMode="External" Id="rId109" /><Relationship Type="http://schemas.openxmlformats.org/officeDocument/2006/relationships/hyperlink" Target="https://www.ebay.com/itm/206529899548" TargetMode="External" Id="rId110" /><Relationship Type="http://schemas.openxmlformats.org/officeDocument/2006/relationships/hyperlink" Target="https://www.ebay.com/itm/820263539684" TargetMode="External" Id="rId111" /><Relationship Type="http://schemas.openxmlformats.org/officeDocument/2006/relationships/hyperlink" Target="https://www.ebay.com/itm/287663939921" TargetMode="External" Id="rId112" /><Relationship Type="http://schemas.openxmlformats.org/officeDocument/2006/relationships/hyperlink" Target="https://www.ebay.com/itm/206636986020" TargetMode="External" Id="rId113" /><Relationship Type="http://schemas.openxmlformats.org/officeDocument/2006/relationships/hyperlink" Target="https://www.ebay.com/itm/800814608902" TargetMode="External" Id="rId114" /><Relationship Type="http://schemas.openxmlformats.org/officeDocument/2006/relationships/hyperlink" Target="https://www.ebay.com/itm/168805855615" TargetMode="External" Id="rId115" /><Relationship Type="http://schemas.openxmlformats.org/officeDocument/2006/relationships/hyperlink" Target="https://www.ebay.com/itm/187668752673" TargetMode="External" Id="rId116" /><Relationship Type="http://schemas.openxmlformats.org/officeDocument/2006/relationships/hyperlink" Target="https://www.ebay.com/itm/147636765969" TargetMode="External" Id="rId117" /><Relationship Type="http://schemas.openxmlformats.org/officeDocument/2006/relationships/hyperlink" Target="https://www.ebay.com/itm/198733125600" TargetMode="External" Id="rId118" /><Relationship Type="http://schemas.openxmlformats.org/officeDocument/2006/relationships/hyperlink" Target="https://www.ebay.com/itm/327326823612" TargetMode="External" Id="rId119" /><Relationship Type="http://schemas.openxmlformats.org/officeDocument/2006/relationships/hyperlink" Target="https://www.ebay.com/itm/178171157775" TargetMode="External" Id="rId120" /><Relationship Type="http://schemas.openxmlformats.org/officeDocument/2006/relationships/hyperlink" Target="https://www.ebay.com/itm/389732753480" TargetMode="External" Id="rId121" /><Relationship Type="http://schemas.openxmlformats.org/officeDocument/2006/relationships/hyperlink" Target="https://www.ebay.com/itm/287572296725" TargetMode="External" Id="rId122" /><Relationship Type="http://schemas.openxmlformats.org/officeDocument/2006/relationships/hyperlink" Target="https://www.ebay.com/itm/389945918228" TargetMode="External" Id="rId123" /><Relationship Type="http://schemas.openxmlformats.org/officeDocument/2006/relationships/hyperlink" Target="https://www.ebay.com/itm/318668183718" TargetMode="External" Id="rId124" /><Relationship Type="http://schemas.openxmlformats.org/officeDocument/2006/relationships/hyperlink" Target="https://www.ebay.com/itm/800773514419" TargetMode="External" Id="rId125" /><Relationship Type="http://schemas.openxmlformats.org/officeDocument/2006/relationships/hyperlink" Target="https://www.ebay.com/itm/206529899548" TargetMode="External" Id="rId126" /><Relationship Type="http://schemas.openxmlformats.org/officeDocument/2006/relationships/hyperlink" Target="https://www.ebay.com/itm/267816522689" TargetMode="External" Id="rId127" /><Relationship Type="http://schemas.openxmlformats.org/officeDocument/2006/relationships/hyperlink" Target="https://www.ebay.com/itm/327408972899" TargetMode="External" Id="rId128" /><Relationship Type="http://schemas.openxmlformats.org/officeDocument/2006/relationships/hyperlink" Target="https://www.ebay.com/itm/147643723246" TargetMode="External" Id="rId129" /><Relationship Type="http://schemas.openxmlformats.org/officeDocument/2006/relationships/hyperlink" Target="https://www.ebay.com/itm/800814608902" TargetMode="External" Id="rId130" /><Relationship Type="http://schemas.openxmlformats.org/officeDocument/2006/relationships/hyperlink" Target="https://www.ebay.com/itm/305729926018" TargetMode="External" Id="rId131" /><Relationship Type="http://schemas.openxmlformats.org/officeDocument/2006/relationships/hyperlink" Target="https://www.ebay.com/itm/168798006867" TargetMode="External" Id="rId132" /><Relationship Type="http://schemas.openxmlformats.org/officeDocument/2006/relationships/hyperlink" Target="https://www.ebay.com/itm/880031658199" TargetMode="External" Id="rId133" /><Relationship Type="http://schemas.openxmlformats.org/officeDocument/2006/relationships/hyperlink" Target="https://www.ebay.com/itm/278191566067" TargetMode="External" Id="rId134" /><Relationship Type="http://schemas.openxmlformats.org/officeDocument/2006/relationships/hyperlink" Target="https://www.ebay.com/itm/327326823612" TargetMode="External" Id="rId135" /><Relationship Type="http://schemas.openxmlformats.org/officeDocument/2006/relationships/hyperlink" Target="https://www.ebay.com/itm/389732753480" TargetMode="External" Id="rId136" /><Relationship Type="http://schemas.openxmlformats.org/officeDocument/2006/relationships/hyperlink" Target="https://www.ebay.com/itm/307216088615" TargetMode="External" Id="rId137" /><Relationship Type="http://schemas.openxmlformats.org/officeDocument/2006/relationships/hyperlink" Target="https://www.ebay.com/itm/389945918228" TargetMode="External" Id="rId138" /><Relationship Type="http://schemas.openxmlformats.org/officeDocument/2006/relationships/hyperlink" Target="https://www.ebay.com/itm/318668183718" TargetMode="External" Id="rId139" /><Relationship Type="http://schemas.openxmlformats.org/officeDocument/2006/relationships/hyperlink" Target="https://www.ebay.com/itm/800773514419" TargetMode="External" Id="rId140" /><Relationship Type="http://schemas.openxmlformats.org/officeDocument/2006/relationships/hyperlink" Target="https://www.ebay.com/itm/189020669164" TargetMode="External" Id="rId141" /><Relationship Type="http://schemas.openxmlformats.org/officeDocument/2006/relationships/hyperlink" Target="https://www.ebay.com/itm/117476040544" TargetMode="External" Id="rId142" /><Relationship Type="http://schemas.openxmlformats.org/officeDocument/2006/relationships/hyperlink" Target="https://www.ebay.com/itm/327408972899" TargetMode="External" Id="rId143" /><Relationship Type="http://schemas.openxmlformats.org/officeDocument/2006/relationships/hyperlink" Target="https://www.ebay.com/itm/227402767941" TargetMode="External" Id="rId144" /><Relationship Type="http://schemas.openxmlformats.org/officeDocument/2006/relationships/hyperlink" Target="https://www.ebay.com/itm/137849777981" TargetMode="External" Id="rId145" /><Relationship Type="http://schemas.openxmlformats.org/officeDocument/2006/relationships/hyperlink" Target="https://www.ebay.com/itm/305729926018" TargetMode="External" Id="rId146" /><Relationship Type="http://schemas.openxmlformats.org/officeDocument/2006/relationships/hyperlink" Target="https://www.ebay.com/itm/168798006867" TargetMode="External" Id="rId147" /><Relationship Type="http://schemas.openxmlformats.org/officeDocument/2006/relationships/hyperlink" Target="https://www.ebay.com/itm/278191566067" TargetMode="External" Id="rId148" /><Relationship Type="http://schemas.openxmlformats.org/officeDocument/2006/relationships/hyperlink" Target="https://www.ebay.com/itm/960087777882" TargetMode="External" Id="rId149" /><Relationship Type="http://schemas.openxmlformats.org/officeDocument/2006/relationships/hyperlink" Target="https://www.ebay.com/itm/389732753480" TargetMode="External" Id="rId150" /><Relationship Type="http://schemas.openxmlformats.org/officeDocument/2006/relationships/hyperlink" Target="https://www.ebay.com/itm/237116946397" TargetMode="External" Id="rId151" /><Relationship Type="http://schemas.openxmlformats.org/officeDocument/2006/relationships/hyperlink" Target="https://www.ebay.com/itm/389945918228" TargetMode="External" Id="rId152" /><Relationship Type="http://schemas.openxmlformats.org/officeDocument/2006/relationships/hyperlink" Target="https://www.ebay.com/itm/366720837166" TargetMode="External" Id="rId153" /><Relationship Type="http://schemas.openxmlformats.org/officeDocument/2006/relationships/hyperlink" Target="https://www.ebay.com/itm/800773514419" TargetMode="External" Id="rId154" /><Relationship Type="http://schemas.openxmlformats.org/officeDocument/2006/relationships/hyperlink" Target="https://www.ebay.com/itm/336848782800" TargetMode="External" Id="rId155" /><Relationship Type="http://schemas.openxmlformats.org/officeDocument/2006/relationships/hyperlink" Target="https://www.ebay.com/itm/267816522689" TargetMode="External" Id="rId156" /><Relationship Type="http://schemas.openxmlformats.org/officeDocument/2006/relationships/hyperlink" Target="https://www.ebay.com/itm/128104115525" TargetMode="External" Id="rId157" /><Relationship Type="http://schemas.openxmlformats.org/officeDocument/2006/relationships/hyperlink" Target="https://www.ebay.com/itm/227402767941" TargetMode="External" Id="rId158" /><Relationship Type="http://schemas.openxmlformats.org/officeDocument/2006/relationships/hyperlink" Target="https://www.ebay.com/itm/267395567857" TargetMode="External" Id="rId159" /><Relationship Type="http://schemas.openxmlformats.org/officeDocument/2006/relationships/hyperlink" Target="https://www.ebay.com/itm/305729926018" TargetMode="External" Id="rId160" /><Relationship Type="http://schemas.openxmlformats.org/officeDocument/2006/relationships/hyperlink" Target="https://www.ebay.com/itm/168798006867" TargetMode="External" Id="rId161" /><Relationship Type="http://schemas.openxmlformats.org/officeDocument/2006/relationships/hyperlink" Target="https://www.ebay.com/itm/900019342104" TargetMode="External" Id="rId162" /><Relationship Type="http://schemas.openxmlformats.org/officeDocument/2006/relationships/hyperlink" Target="https://www.ebay.com/itm/327326823612" TargetMode="External" Id="rId163" /><Relationship Type="http://schemas.openxmlformats.org/officeDocument/2006/relationships/hyperlink" Target="https://www.ebay.com/itm/389732753480" TargetMode="External" Id="rId164" /><Relationship Type="http://schemas.openxmlformats.org/officeDocument/2006/relationships/hyperlink" Target="https://www.ebay.com/itm/237116946397" TargetMode="External" Id="rId165" /><Relationship Type="http://schemas.openxmlformats.org/officeDocument/2006/relationships/hyperlink" Target="https://www.ebay.com/itm/389945918228" TargetMode="External" Id="rId166" /><Relationship Type="http://schemas.openxmlformats.org/officeDocument/2006/relationships/hyperlink" Target="https://www.ebay.com/itm/227570397990" TargetMode="External" Id="rId167" /><Relationship Type="http://schemas.openxmlformats.org/officeDocument/2006/relationships/hyperlink" Target="https://www.ebay.com/itm/800773514419" TargetMode="External" Id="rId168" /><Relationship Type="http://schemas.openxmlformats.org/officeDocument/2006/relationships/hyperlink" Target="https://www.ebay.com/itm/336848782800" TargetMode="External" Id="rId169" /><Relationship Type="http://schemas.openxmlformats.org/officeDocument/2006/relationships/hyperlink" Target="https://www.ebay.com/itm/267816522689" TargetMode="External" Id="rId170" /><Relationship Type="http://schemas.openxmlformats.org/officeDocument/2006/relationships/hyperlink" Target="https://www.ebay.com/itm/128104115525" TargetMode="External" Id="rId171" /><Relationship Type="http://schemas.openxmlformats.org/officeDocument/2006/relationships/hyperlink" Target="https://www.ebay.com/itm/227402767941" TargetMode="External" Id="rId172" /><Relationship Type="http://schemas.openxmlformats.org/officeDocument/2006/relationships/hyperlink" Target="https://www.ebay.com/itm/314675451357" TargetMode="External" Id="rId173" /><Relationship Type="http://schemas.openxmlformats.org/officeDocument/2006/relationships/hyperlink" Target="https://www.ebay.com/itm/305729926018" TargetMode="External" Id="rId174" /><Relationship Type="http://schemas.openxmlformats.org/officeDocument/2006/relationships/hyperlink" Target="https://www.ebay.com/itm/168798006867" TargetMode="External" Id="rId175" /><Relationship Type="http://schemas.openxmlformats.org/officeDocument/2006/relationships/hyperlink" Target="https://www.ebay.com/itm/900019342104" TargetMode="External" Id="rId176" /><Relationship Type="http://schemas.openxmlformats.org/officeDocument/2006/relationships/hyperlink" Target="https://www.ebay.com/itm/158132772011" TargetMode="External" Id="rId177" /><Relationship Type="http://schemas.openxmlformats.org/officeDocument/2006/relationships/hyperlink" Target="https://www.ebay.com/itm/389732753480" TargetMode="External" Id="rId178" /><Relationship Type="http://schemas.openxmlformats.org/officeDocument/2006/relationships/hyperlink" Target="https://www.ebay.com/itm/237116946397" TargetMode="External" Id="rId179" /><Relationship Type="http://schemas.openxmlformats.org/officeDocument/2006/relationships/hyperlink" Target="https://www.ebay.com/itm/389945918228" TargetMode="External" Id="rId180" /><Relationship Type="http://schemas.openxmlformats.org/officeDocument/2006/relationships/hyperlink" Target="https://www.ebay.com/itm/227570397990" TargetMode="External" Id="rId181" /><Relationship Type="http://schemas.openxmlformats.org/officeDocument/2006/relationships/hyperlink" Target="https://www.ebay.com/itm/800773514419" TargetMode="External" Id="rId182" /><Relationship Type="http://schemas.openxmlformats.org/officeDocument/2006/relationships/hyperlink" Target="https://www.ebay.com/itm/336848782800" TargetMode="External" Id="rId183" /><Relationship Type="http://schemas.openxmlformats.org/officeDocument/2006/relationships/hyperlink" Target="https://www.ebay.com/itm/277814335680" TargetMode="External" Id="rId184" /><Relationship Type="http://schemas.openxmlformats.org/officeDocument/2006/relationships/hyperlink" Target="https://www.ebay.com/itm/128104115525" TargetMode="External" Id="rId185" /><Relationship Type="http://schemas.openxmlformats.org/officeDocument/2006/relationships/hyperlink" Target="https://www.ebay.com/itm/227402767941" TargetMode="External" Id="rId186" /><Relationship Type="http://schemas.openxmlformats.org/officeDocument/2006/relationships/hyperlink" Target="https://www.ebay.com/itm/227568754751" TargetMode="External" Id="rId187" /><Relationship Type="http://schemas.openxmlformats.org/officeDocument/2006/relationships/hyperlink" Target="https://www.ebay.com/itm/305729926018" TargetMode="External" Id="rId188" /><Relationship Type="http://schemas.openxmlformats.org/officeDocument/2006/relationships/hyperlink" Target="https://www.ebay.com/itm/920041309011" TargetMode="External" Id="rId189" /><Relationship Type="http://schemas.openxmlformats.org/officeDocument/2006/relationships/hyperlink" Target="https://www.ebay.com/itm/327407001080" TargetMode="External" Id="rId190" /><Relationship Type="http://schemas.openxmlformats.org/officeDocument/2006/relationships/hyperlink" Target="https://www.ebay.com/itm/158132772011" TargetMode="External" Id="rId191" /><Relationship Type="http://schemas.openxmlformats.org/officeDocument/2006/relationships/hyperlink" Target="https://www.ebay.com/itm/389732753480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389945918228" TargetMode="External" Id="rId194" /><Relationship Type="http://schemas.openxmlformats.org/officeDocument/2006/relationships/hyperlink" Target="https://www.ebay.com/itm/366720837166" TargetMode="External" Id="rId195" /><Relationship Type="http://schemas.openxmlformats.org/officeDocument/2006/relationships/hyperlink" Target="https://www.ebay.com/itm/800773514419" TargetMode="External" Id="rId196" /><Relationship Type="http://schemas.openxmlformats.org/officeDocument/2006/relationships/hyperlink" Target="https://www.ebay.com/itm/366718755179" TargetMode="External" Id="rId197" /><Relationship Type="http://schemas.openxmlformats.org/officeDocument/2006/relationships/hyperlink" Target="https://www.ebay.com/itm/277814335680" TargetMode="External" Id="rId198" /><Relationship Type="http://schemas.openxmlformats.org/officeDocument/2006/relationships/hyperlink" Target="https://www.ebay.com/itm/128104115525" TargetMode="External" Id="rId199" /><Relationship Type="http://schemas.openxmlformats.org/officeDocument/2006/relationships/hyperlink" Target="https://www.ebay.com/itm/227402767941" TargetMode="External" Id="rId200" /><Relationship Type="http://schemas.openxmlformats.org/officeDocument/2006/relationships/hyperlink" Target="https://www.ebay.com/itm/314675451357" TargetMode="External" Id="rId201" /><Relationship Type="http://schemas.openxmlformats.org/officeDocument/2006/relationships/hyperlink" Target="https://www.ebay.com/itm/335784468289" TargetMode="External" Id="rId202" /><Relationship Type="http://schemas.openxmlformats.org/officeDocument/2006/relationships/hyperlink" Target="https://www.ebay.com/itm/920041309011" TargetMode="External" Id="rId203" /><Relationship Type="http://schemas.openxmlformats.org/officeDocument/2006/relationships/hyperlink" Target="https://www.ebay.com/itm/307230030575" TargetMode="External" Id="rId204" /><Relationship Type="http://schemas.openxmlformats.org/officeDocument/2006/relationships/hyperlink" Target="https://www.ebay.com/itm/158132772011" TargetMode="External" Id="rId205" /><Relationship Type="http://schemas.openxmlformats.org/officeDocument/2006/relationships/hyperlink" Target="https://www.ebay.com/itm/389732753480" TargetMode="External" Id="rId206" /><Relationship Type="http://schemas.openxmlformats.org/officeDocument/2006/relationships/hyperlink" Target="https://www.ebay.com/itm/198709471618" TargetMode="External" Id="rId207" /><Relationship Type="http://schemas.openxmlformats.org/officeDocument/2006/relationships/hyperlink" Target="https://www.ebay.com/itm/389945918228" TargetMode="External" Id="rId208" /><Relationship Type="http://schemas.openxmlformats.org/officeDocument/2006/relationships/hyperlink" Target="https://www.ebay.com/itm/366720837166" TargetMode="External" Id="rId209" /><Relationship Type="http://schemas.openxmlformats.org/officeDocument/2006/relationships/hyperlink" Target="https://www.ebay.com/itm/800773514419" TargetMode="External" Id="rId210" /><Relationship Type="http://schemas.openxmlformats.org/officeDocument/2006/relationships/hyperlink" Target="https://www.ebay.com/itm/366718755179" TargetMode="External" Id="rId211" /><Relationship Type="http://schemas.openxmlformats.org/officeDocument/2006/relationships/hyperlink" Target="https://www.ebay.com/itm/960033835048" TargetMode="External" Id="rId212" /><Relationship Type="http://schemas.openxmlformats.org/officeDocument/2006/relationships/hyperlink" Target="https://www.ebay.com/itm/128104115525" TargetMode="External" Id="rId213" /><Relationship Type="http://schemas.openxmlformats.org/officeDocument/2006/relationships/hyperlink" Target="https://www.ebay.com/itm/227402767941" TargetMode="External" Id="rId214" /><Relationship Type="http://schemas.openxmlformats.org/officeDocument/2006/relationships/hyperlink" Target="https://www.ebay.com/itm/364224496605" TargetMode="External" Id="rId215" /><Relationship Type="http://schemas.openxmlformats.org/officeDocument/2006/relationships/hyperlink" Target="https://www.ebay.com/itm/267809260226" TargetMode="External" Id="rId216" /><Relationship Type="http://schemas.openxmlformats.org/officeDocument/2006/relationships/hyperlink" Target="https://www.ebay.com/itm/389401265654" TargetMode="External" Id="rId217" /><Relationship Type="http://schemas.openxmlformats.org/officeDocument/2006/relationships/hyperlink" Target="https://www.ebay.com/itm/307230030575" TargetMode="External" Id="rId218" /><Relationship Type="http://schemas.openxmlformats.org/officeDocument/2006/relationships/hyperlink" Target="https://www.ebay.com/itm/158132772011" TargetMode="External" Id="rId219" /><Relationship Type="http://schemas.openxmlformats.org/officeDocument/2006/relationships/hyperlink" Target="https://www.ebay.com/itm/389732753480" TargetMode="External" Id="rId220" /><Relationship Type="http://schemas.openxmlformats.org/officeDocument/2006/relationships/hyperlink" Target="https://www.ebay.com/itm/377567672653" TargetMode="External" Id="rId221" /><Relationship Type="http://schemas.openxmlformats.org/officeDocument/2006/relationships/hyperlink" Target="https://www.ebay.com/itm/389945918228" TargetMode="External" Id="rId222" /><Relationship Type="http://schemas.openxmlformats.org/officeDocument/2006/relationships/hyperlink" Target="https://www.ebay.com/itm/366720837166" TargetMode="External" Id="rId223" /><Relationship Type="http://schemas.openxmlformats.org/officeDocument/2006/relationships/hyperlink" Target="https://www.ebay.com/itm/800773514419" TargetMode="External" Id="rId224" /><Relationship Type="http://schemas.openxmlformats.org/officeDocument/2006/relationships/hyperlink" Target="https://www.ebay.com/itm/366718755179" TargetMode="External" Id="rId225" /><Relationship Type="http://schemas.openxmlformats.org/officeDocument/2006/relationships/hyperlink" Target="https://www.ebay.com/itm/960033835048" TargetMode="External" Id="rId226" /><Relationship Type="http://schemas.openxmlformats.org/officeDocument/2006/relationships/hyperlink" Target="https://www.ebay.com/itm/128104115525" TargetMode="External" Id="rId227" /><Relationship Type="http://schemas.openxmlformats.org/officeDocument/2006/relationships/hyperlink" Target="https://www.ebay.com/itm/227402767941" TargetMode="External" Id="rId228" /><Relationship Type="http://schemas.openxmlformats.org/officeDocument/2006/relationships/hyperlink" Target="https://www.ebay.com/itm/800572518683" TargetMode="External" Id="rId229" /><Relationship Type="http://schemas.openxmlformats.org/officeDocument/2006/relationships/hyperlink" Target="https://www.ebay.com/itm/267809260226" TargetMode="External" Id="rId230" /><Relationship Type="http://schemas.openxmlformats.org/officeDocument/2006/relationships/hyperlink" Target="https://www.ebay.com/itm/187668752673" TargetMode="External" Id="rId231" /><Relationship Type="http://schemas.openxmlformats.org/officeDocument/2006/relationships/hyperlink" Target="https://www.ebay.com/itm/398398409741" TargetMode="External" Id="rId232" /><Relationship Type="http://schemas.openxmlformats.org/officeDocument/2006/relationships/hyperlink" Target="https://www.ebay.com/itm/158132772011" TargetMode="External" Id="rId233" /><Relationship Type="http://schemas.openxmlformats.org/officeDocument/2006/relationships/hyperlink" Target="https://www.ebay.com/itm/389732753480" TargetMode="External" Id="rId234" /><Relationship Type="http://schemas.openxmlformats.org/officeDocument/2006/relationships/hyperlink" Target="https://www.ebay.com/itm/327369990511" TargetMode="External" Id="rId235" /><Relationship Type="http://schemas.openxmlformats.org/officeDocument/2006/relationships/hyperlink" Target="https://www.ebay.com/itm/389945918228" TargetMode="External" Id="rId236" /><Relationship Type="http://schemas.openxmlformats.org/officeDocument/2006/relationships/hyperlink" Target="https://www.ebay.com/itm/366720837166" TargetMode="External" Id="rId237" /><Relationship Type="http://schemas.openxmlformats.org/officeDocument/2006/relationships/hyperlink" Target="https://www.ebay.com/itm/800773514419" TargetMode="External" Id="rId238" /><Relationship Type="http://schemas.openxmlformats.org/officeDocument/2006/relationships/hyperlink" Target="https://www.ebay.com/itm/366718755179" TargetMode="External" Id="rId239" /><Relationship Type="http://schemas.openxmlformats.org/officeDocument/2006/relationships/hyperlink" Target="https://www.ebay.com/itm/960033835048" TargetMode="External" Id="rId240" /><Relationship Type="http://schemas.openxmlformats.org/officeDocument/2006/relationships/hyperlink" Target="https://www.ebay.com/itm/237072275336" TargetMode="External" Id="rId241" /><Relationship Type="http://schemas.openxmlformats.org/officeDocument/2006/relationships/hyperlink" Target="https://www.ebay.com/itm/227402767941" TargetMode="External" Id="rId242" /><Relationship Type="http://schemas.openxmlformats.org/officeDocument/2006/relationships/hyperlink" Target="https://www.ebay.com/itm/800572518683" TargetMode="External" Id="rId243" /><Relationship Type="http://schemas.openxmlformats.org/officeDocument/2006/relationships/hyperlink" Target="https://www.ebay.com/itm/267809260226" TargetMode="External" Id="rId244" /><Relationship Type="http://schemas.openxmlformats.org/officeDocument/2006/relationships/hyperlink" Target="https://www.ebay.com/itm/187668752673" TargetMode="External" Id="rId245" /><Relationship Type="http://schemas.openxmlformats.org/officeDocument/2006/relationships/hyperlink" Target="https://www.ebay.com/itm/377562785374" TargetMode="External" Id="rId246" /><Relationship Type="http://schemas.openxmlformats.org/officeDocument/2006/relationships/hyperlink" Target="https://www.ebay.com/itm/158132772011" TargetMode="External" Id="rId247" /><Relationship Type="http://schemas.openxmlformats.org/officeDocument/2006/relationships/hyperlink" Target="https://www.ebay.com/itm/389732753480" TargetMode="External" Id="rId248" /><Relationship Type="http://schemas.openxmlformats.org/officeDocument/2006/relationships/hyperlink" Target="https://www.ebay.com/itm/198709471618" TargetMode="External" Id="rId249" /><Relationship Type="http://schemas.openxmlformats.org/officeDocument/2006/relationships/hyperlink" Target="https://www.ebay.com/itm/389945918228" TargetMode="External" Id="rId250" /><Relationship Type="http://schemas.openxmlformats.org/officeDocument/2006/relationships/hyperlink" Target="https://www.ebay.com/itm/278289521729" TargetMode="External" Id="rId251" /><Relationship Type="http://schemas.openxmlformats.org/officeDocument/2006/relationships/hyperlink" Target="https://www.ebay.com/itm/800773514419" TargetMode="External" Id="rId252" /><Relationship Type="http://schemas.openxmlformats.org/officeDocument/2006/relationships/hyperlink" Target="https://www.ebay.com/itm/840012484062" TargetMode="External" Id="rId253" /><Relationship Type="http://schemas.openxmlformats.org/officeDocument/2006/relationships/hyperlink" Target="https://www.ebay.com/itm/960033835048" TargetMode="External" Id="rId254" /><Relationship Type="http://schemas.openxmlformats.org/officeDocument/2006/relationships/hyperlink" Target="https://www.ebay.com/itm/237072275336" TargetMode="External" Id="rId255" /><Relationship Type="http://schemas.openxmlformats.org/officeDocument/2006/relationships/hyperlink" Target="https://www.facebook.com/marketplace/item/1448988227128820/" TargetMode="External" Id="rId256" /><Relationship Type="http://schemas.openxmlformats.org/officeDocument/2006/relationships/hyperlink" Target="https://msrcomputers.framer.website/" TargetMode="External" Id="rId257" /><Relationship Type="http://schemas.openxmlformats.org/officeDocument/2006/relationships/hyperlink" Target="https://www.facebook.com/marketplace/item/2555034215012611/" TargetMode="External" Id="rId258" /><Relationship Type="http://schemas.openxmlformats.org/officeDocument/2006/relationships/hyperlink" Target="https://www.facebook.com/marketplace/item/959874386670350/" TargetMode="External" Id="rId259" /><Relationship Type="http://schemas.openxmlformats.org/officeDocument/2006/relationships/hyperlink" Target="https://msrcomputers.framer.website/" TargetMode="External" Id="rId260" /><Relationship Type="http://schemas.openxmlformats.org/officeDocument/2006/relationships/hyperlink" Target="https://msrcomputers.framer.website/" TargetMode="External" Id="rId261" /><Relationship Type="http://schemas.openxmlformats.org/officeDocument/2006/relationships/hyperlink" Target="https://www.facebook.com/marketplace/item/1414394683871926/" TargetMode="External" Id="rId262" /><Relationship Type="http://schemas.openxmlformats.org/officeDocument/2006/relationships/table" Target="/xl/tables/table2.xml" Id="rId263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www.ebay.com/itm/186930960267" TargetMode="External" Id="rId444" /><Relationship Type="http://schemas.openxmlformats.org/officeDocument/2006/relationships/hyperlink" Target="https://www.ebay.com/itm/336864548932" TargetMode="External" Id="rId445" /><Relationship Type="http://schemas.openxmlformats.org/officeDocument/2006/relationships/hyperlink" Target="https://www.ebay.com/itm/298166712086" TargetMode="External" Id="rId446" /><Relationship Type="http://schemas.openxmlformats.org/officeDocument/2006/relationships/hyperlink" Target="https://www.ebay.com/itm/305729926018" TargetMode="External" Id="rId447" /><Relationship Type="http://schemas.openxmlformats.org/officeDocument/2006/relationships/hyperlink" Target="https://www.ebay.com/itm/117481448193" TargetMode="External" Id="rId448" /><Relationship Type="http://schemas.openxmlformats.org/officeDocument/2006/relationships/hyperlink" Target="https://www.ebay.com/itm/389945918228" TargetMode="External" Id="rId449" /><Relationship Type="http://schemas.openxmlformats.org/officeDocument/2006/relationships/hyperlink" Target="https://www.ebay.com/itm/128145077866" TargetMode="External" Id="rId450" /><Relationship Type="http://schemas.openxmlformats.org/officeDocument/2006/relationships/hyperlink" Target="https://www.ebay.com/itm/327408972899" TargetMode="External" Id="rId451" /><Relationship Type="http://schemas.openxmlformats.org/officeDocument/2006/relationships/hyperlink" Target="https://www.ebay.com/itm/267823787358" TargetMode="External" Id="rId452" /><Relationship Type="http://schemas.openxmlformats.org/officeDocument/2006/relationships/hyperlink" Target="https://www.ebay.com/itm/157424692080" TargetMode="External" Id="rId453" /><Relationship Type="http://schemas.openxmlformats.org/officeDocument/2006/relationships/hyperlink" Target="https://www.ebay.com/itm/800821980146" TargetMode="External" Id="rId454" /><Relationship Type="http://schemas.openxmlformats.org/officeDocument/2006/relationships/hyperlink" Target="https://www.ebay.com/itm/377593610877" TargetMode="External" Id="rId455" /><Relationship Type="http://schemas.openxmlformats.org/officeDocument/2006/relationships/hyperlink" Target="https://www.ebay.com/itm/267799061448" TargetMode="External" Id="rId456" /><Relationship Type="http://schemas.openxmlformats.org/officeDocument/2006/relationships/hyperlink" Target="https://www.ebay.com/itm/178171158022" TargetMode="External" Id="rId457" /><Relationship Type="http://schemas.openxmlformats.org/officeDocument/2006/relationships/hyperlink" Target="https://www.ebay.com/itm/117471054969" TargetMode="External" Id="rId458" /><Relationship Type="http://schemas.openxmlformats.org/officeDocument/2006/relationships/hyperlink" Target="https://www.ebay.com/itm/820281781602" TargetMode="External" Id="rId459" /><Relationship Type="http://schemas.openxmlformats.org/officeDocument/2006/relationships/hyperlink" Target="https://www.ebay.com/itm/257815802109" TargetMode="External" Id="rId460" /><Relationship Type="http://schemas.openxmlformats.org/officeDocument/2006/relationships/hyperlink" Target="https://www.ebay.com/itm/307246441841" TargetMode="External" Id="rId461" /><Relationship Type="http://schemas.openxmlformats.org/officeDocument/2006/relationships/hyperlink" Target="https://www.ebay.com/itm/117488816411" TargetMode="External" Id="rId462" /><Relationship Type="http://schemas.openxmlformats.org/officeDocument/2006/relationships/hyperlink" Target="https://www.ebay.com/itm/117481837166" TargetMode="External" Id="rId463" /><Relationship Type="http://schemas.openxmlformats.org/officeDocument/2006/relationships/hyperlink" Target="https://www.ebay.com/itm/318668183718" TargetMode="External" Id="rId464" /><Relationship Type="http://schemas.openxmlformats.org/officeDocument/2006/relationships/hyperlink" Target="https://www.ebay.com/itm/237124274383" TargetMode="External" Id="rId465" /><Relationship Type="http://schemas.openxmlformats.org/officeDocument/2006/relationships/hyperlink" Target="https://www.ebay.com/itm/117469884175" TargetMode="External" Id="rId466" /><Relationship Type="http://schemas.openxmlformats.org/officeDocument/2006/relationships/hyperlink" Target="https://www.ebay.com/itm/307249193502" TargetMode="External" Id="rId467" /><Relationship Type="http://schemas.openxmlformats.org/officeDocument/2006/relationships/hyperlink" Target="https://www.ebay.com/itm/147653046730" TargetMode="External" Id="rId468" /><Relationship Type="http://schemas.openxmlformats.org/officeDocument/2006/relationships/hyperlink" Target="https://www.ebay.com/itm/307250722253" TargetMode="External" Id="rId469" /><Relationship Type="http://schemas.openxmlformats.org/officeDocument/2006/relationships/hyperlink" Target="https://www.ebay.com/itm/117431231554" TargetMode="External" Id="rId470" /><Relationship Type="http://schemas.openxmlformats.org/officeDocument/2006/relationships/hyperlink" Target="https://www.ebay.com/itm/327275170355" TargetMode="External" Id="rId471" /><Relationship Type="http://schemas.openxmlformats.org/officeDocument/2006/relationships/hyperlink" Target="https://www.ebay.com/itm/257792135268" TargetMode="External" Id="rId472" /><Relationship Type="http://schemas.openxmlformats.org/officeDocument/2006/relationships/hyperlink" Target="https://www.ebay.com/itm/389732753480" TargetMode="External" Id="rId473" /><Relationship Type="http://schemas.openxmlformats.org/officeDocument/2006/relationships/hyperlink" Target="https://www.ebay.com/itm/336864548932" TargetMode="External" Id="rId474" /><Relationship Type="http://schemas.openxmlformats.org/officeDocument/2006/relationships/hyperlink" Target="https://www.ebay.com/itm/298166712086" TargetMode="External" Id="rId475" /><Relationship Type="http://schemas.openxmlformats.org/officeDocument/2006/relationships/hyperlink" Target="https://www.ebay.com/itm/305729926018" TargetMode="External" Id="rId476" /><Relationship Type="http://schemas.openxmlformats.org/officeDocument/2006/relationships/hyperlink" Target="https://www.ebay.com/itm/117481448193" TargetMode="External" Id="rId477" /><Relationship Type="http://schemas.openxmlformats.org/officeDocument/2006/relationships/hyperlink" Target="https://www.ebay.com/itm/389945918228" TargetMode="External" Id="rId478" /><Relationship Type="http://schemas.openxmlformats.org/officeDocument/2006/relationships/hyperlink" Target="https://www.ebay.com/itm/198749932768" TargetMode="External" Id="rId479" /><Relationship Type="http://schemas.openxmlformats.org/officeDocument/2006/relationships/hyperlink" Target="https://www.ebay.com/itm/327408972899" TargetMode="External" Id="rId480" /><Relationship Type="http://schemas.openxmlformats.org/officeDocument/2006/relationships/hyperlink" Target="https://www.ebay.com/itm/147595569594" TargetMode="External" Id="rId481" /><Relationship Type="http://schemas.openxmlformats.org/officeDocument/2006/relationships/hyperlink" Target="https://www.ebay.com/itm/168233637342" TargetMode="External" Id="rId482" /><Relationship Type="http://schemas.openxmlformats.org/officeDocument/2006/relationships/hyperlink" Target="https://www.ebay.com/itm/800821980146" TargetMode="External" Id="rId483" /><Relationship Type="http://schemas.openxmlformats.org/officeDocument/2006/relationships/hyperlink" Target="https://www.ebay.com/itm/377593610877" TargetMode="External" Id="rId484" /><Relationship Type="http://schemas.openxmlformats.org/officeDocument/2006/relationships/hyperlink" Target="https://www.ebay.com/itm/267799061448" TargetMode="External" Id="rId485" /><Relationship Type="http://schemas.openxmlformats.org/officeDocument/2006/relationships/hyperlink" Target="https://www.ebay.com/itm/178171158022" TargetMode="External" Id="rId486" /><Relationship Type="http://schemas.openxmlformats.org/officeDocument/2006/relationships/hyperlink" Target="https://www.ebay.com/itm/117471054969" TargetMode="External" Id="rId487" /><Relationship Type="http://schemas.openxmlformats.org/officeDocument/2006/relationships/hyperlink" Target="https://www.ebay.com/itm/278191566067" TargetMode="External" Id="rId488" /><Relationship Type="http://schemas.openxmlformats.org/officeDocument/2006/relationships/hyperlink" Target="https://www.ebay.com/itm/257815802109" TargetMode="External" Id="rId489" /><Relationship Type="http://schemas.openxmlformats.org/officeDocument/2006/relationships/hyperlink" Target="https://www.ebay.com/itm/307246441841" TargetMode="External" Id="rId490" /><Relationship Type="http://schemas.openxmlformats.org/officeDocument/2006/relationships/hyperlink" Target="https://www.ebay.com/itm/257573828939" TargetMode="External" Id="rId491" /><Relationship Type="http://schemas.openxmlformats.org/officeDocument/2006/relationships/hyperlink" Target="https://www.ebay.com/itm/227586007159" TargetMode="External" Id="rId492" /><Relationship Type="http://schemas.openxmlformats.org/officeDocument/2006/relationships/hyperlink" Target="https://www.ebay.com/itm/960123914116" TargetMode="External" Id="rId493" /><Relationship Type="http://schemas.openxmlformats.org/officeDocument/2006/relationships/hyperlink" Target="https://www.ebay.com/itm/237124274383" TargetMode="External" Id="rId494" /><Relationship Type="http://schemas.openxmlformats.org/officeDocument/2006/relationships/hyperlink" Target="https://www.ebay.com/itm/117469884175" TargetMode="External" Id="rId495" /><Relationship Type="http://schemas.openxmlformats.org/officeDocument/2006/relationships/hyperlink" Target="https://www.ebay.com/itm/307249193502" TargetMode="External" Id="rId496" /><Relationship Type="http://schemas.openxmlformats.org/officeDocument/2006/relationships/hyperlink" Target="https://www.ebay.com/itm/820274045603" TargetMode="External" Id="rId497" /><Relationship Type="http://schemas.openxmlformats.org/officeDocument/2006/relationships/hyperlink" Target="https://www.ebay.com/itm/840039201782" TargetMode="External" Id="rId498" /><Relationship Type="http://schemas.openxmlformats.org/officeDocument/2006/relationships/hyperlink" Target="https://www.ebay.com/itm/117431231554" TargetMode="External" Id="rId499" /><Relationship Type="http://schemas.openxmlformats.org/officeDocument/2006/relationships/hyperlink" Target="https://www.ebay.com/itm/327275170355" TargetMode="External" Id="rId500" /><Relationship Type="http://schemas.openxmlformats.org/officeDocument/2006/relationships/hyperlink" Target="https://www.ebay.com/itm/257792135268" TargetMode="External" Id="rId501" /><Relationship Type="http://schemas.openxmlformats.org/officeDocument/2006/relationships/hyperlink" Target="https://msrcomputers.framer.website/" TargetMode="External" Id="rId502" /><Relationship Type="http://schemas.openxmlformats.org/officeDocument/2006/relationships/hyperlink" Target="https://msrcomputers.framer.website/" TargetMode="External" Id="rId503" /><Relationship Type="http://schemas.openxmlformats.org/officeDocument/2006/relationships/hyperlink" Target="https://msrcomputers.framer.website/" TargetMode="External" Id="rId504" /><Relationship Type="http://schemas.openxmlformats.org/officeDocument/2006/relationships/hyperlink" Target="https://www.facebook.com/marketplace/item/2555034215012611/" TargetMode="External" Id="rId505" /><Relationship Type="http://schemas.openxmlformats.org/officeDocument/2006/relationships/hyperlink" Target="https://www.facebook.com/marketplace/item/2669179450145313/" TargetMode="External" Id="rId506" /><Relationship Type="http://schemas.openxmlformats.org/officeDocument/2006/relationships/hyperlink" Target="https://www.facebook.com/marketplace/item/1361869715871206/" TargetMode="External" Id="rId507" /><Relationship Type="http://schemas.openxmlformats.org/officeDocument/2006/relationships/hyperlink" Target="https://www.facebook.com/marketplace/item/1582597166589691/" TargetMode="External" Id="rId508" /><Relationship Type="http://schemas.openxmlformats.org/officeDocument/2006/relationships/hyperlink" Target="https://www.facebook.com/marketplace/item/2167313420829167/" TargetMode="External" Id="rId509" /><Relationship Type="http://schemas.openxmlformats.org/officeDocument/2006/relationships/hyperlink" Target="https://www.facebook.com/marketplace/item/1796562071723775/" TargetMode="External" Id="rId510" /><Relationship Type="http://schemas.openxmlformats.org/officeDocument/2006/relationships/hyperlink" Target="https://www.facebook.com/marketplace/item/1414394683871926/" TargetMode="External" Id="rId511" /><Relationship Type="http://schemas.openxmlformats.org/officeDocument/2006/relationships/hyperlink" Target="https://www.facebook.com/marketplace/item/1074400352041144/" TargetMode="External" Id="rId512" /><Relationship Type="http://schemas.openxmlformats.org/officeDocument/2006/relationships/hyperlink" Target="https://www.facebook.com/marketplace/item/959874386670350/" TargetMode="External" Id="rId513" /><Relationship Type="http://schemas.openxmlformats.org/officeDocument/2006/relationships/hyperlink" Target="https://www.facebook.com/marketplace/item/2347323546077904/" TargetMode="External" Id="rId514" /><Relationship Type="http://schemas.openxmlformats.org/officeDocument/2006/relationships/hyperlink" Target="https://www.facebook.com/marketplace/item/2345958202816013/" TargetMode="External" Id="rId515" /><Relationship Type="http://schemas.openxmlformats.org/officeDocument/2006/relationships/hyperlink" Target="https://www.facebook.com/marketplace/item/1448988227128820/" TargetMode="External" Id="rId516" /><Relationship Type="http://schemas.openxmlformats.org/officeDocument/2006/relationships/hyperlink" Target="https://www.facebook.com/marketplace/item/2817371738643128/" TargetMode="External" Id="rId517" /><Relationship Type="http://schemas.openxmlformats.org/officeDocument/2006/relationships/hyperlink" Target="https://www.facebook.com/marketplace/item/2078197563584097/" TargetMode="External" Id="rId518" /><Relationship Type="http://schemas.openxmlformats.org/officeDocument/2006/relationships/hyperlink" Target="https://www.facebook.com/marketplace/item/1537210071754803/" TargetMode="External" Id="rId519" /><Relationship Type="http://schemas.openxmlformats.org/officeDocument/2006/relationships/hyperlink" Target="https://cyrexstore.com/" TargetMode="External" Id="rId520" /><Relationship Type="http://schemas.openxmlformats.org/officeDocument/2006/relationships/hyperlink" Target="https://cyrexstore.com/" TargetMode="External" Id="rId521" /><Relationship Type="http://schemas.openxmlformats.org/officeDocument/2006/relationships/hyperlink" Target="https://cyrexstore.com/" TargetMode="External" Id="rId522" /><Relationship Type="http://schemas.openxmlformats.org/officeDocument/2006/relationships/hyperlink" Target="https://compucenter.store/" TargetMode="External" Id="rId523" /><Relationship Type="http://schemas.openxmlformats.org/officeDocument/2006/relationships/hyperlink" Target="https://www.facebook.com/marketplace/item/1292124363069503/" TargetMode="External" Id="rId524" /><Relationship Type="http://schemas.openxmlformats.org/officeDocument/2006/relationships/hyperlink" Target="https://www.facebook.com/marketplace/item/1292124363069503/" TargetMode="External" Id="rId525" /><Relationship Type="http://schemas.openxmlformats.org/officeDocument/2006/relationships/hyperlink" Target="https://www.pccomponents-bo.com/" TargetMode="External" Id="rId526" /><Relationship Type="http://schemas.openxmlformats.org/officeDocument/2006/relationships/hyperlink" Target="https://www.pccomponents-bo.com/" TargetMode="External" Id="rId527" /><Relationship Type="http://schemas.openxmlformats.org/officeDocument/2006/relationships/hyperlink" Target="https://www.pccomponents-bo.com/" TargetMode="External" Id="rId528" /><Relationship Type="http://schemas.openxmlformats.org/officeDocument/2006/relationships/hyperlink" Target="https://www.facebook.com/marketplace/item/2840215069674304/" TargetMode="External" Id="rId529" /><Relationship Type="http://schemas.openxmlformats.org/officeDocument/2006/relationships/hyperlink" Target="https://www.pccomponents-bo.com/" TargetMode="External" Id="rId530" /><Relationship Type="http://schemas.openxmlformats.org/officeDocument/2006/relationships/hyperlink" Target="https://www.puntotecnologic.com/categories/procesadores" TargetMode="External" Id="rId531" /><Relationship Type="http://schemas.openxmlformats.org/officeDocument/2006/relationships/hyperlink" Target="https://www.puntotecnologic.com/categories/procesadores" TargetMode="External" Id="rId532" /><Relationship Type="http://schemas.openxmlformats.org/officeDocument/2006/relationships/hyperlink" Target="https://www.puntotecnologic.com/categories/procesadores" TargetMode="External" Id="rId533" /><Relationship Type="http://schemas.openxmlformats.org/officeDocument/2006/relationships/hyperlink" Target="https://www.puntotecnologic.com/categories/procesadores" TargetMode="External" Id="rId534" /><Relationship Type="http://schemas.openxmlformats.org/officeDocument/2006/relationships/hyperlink" Target="https://www.puntotecnologic.com/categories/procesadores" TargetMode="External" Id="rId535" /><Relationship Type="http://schemas.openxmlformats.org/officeDocument/2006/relationships/hyperlink" Target="https://www.puntotecnologic.com/categories/procesadores" TargetMode="External" Id="rId536" /><Relationship Type="http://schemas.openxmlformats.org/officeDocument/2006/relationships/hyperlink" Target="https://www.puntotecnologic.com/categories/procesadores" TargetMode="External" Id="rId537" /><Relationship Type="http://schemas.openxmlformats.org/officeDocument/2006/relationships/hyperlink" Target="https://www.puntotecnologic.com/categories/memoria-ram" TargetMode="External" Id="rId538" /><Relationship Type="http://schemas.openxmlformats.org/officeDocument/2006/relationships/hyperlink" Target="https://www.puntotecnologic.com/categories/memoria-ram" TargetMode="External" Id="rId539" /><Relationship Type="http://schemas.openxmlformats.org/officeDocument/2006/relationships/hyperlink" Target="https://www.puntotecnologic.com/categories/memoria-ram" TargetMode="External" Id="rId540" /><Relationship Type="http://schemas.openxmlformats.org/officeDocument/2006/relationships/hyperlink" Target="https://www.puntotecnologic.com/categories/memoria-ram" TargetMode="External" Id="rId541" /><Relationship Type="http://schemas.openxmlformats.org/officeDocument/2006/relationships/hyperlink" Target="https://www.puntotecnologic.com/categories/disco-solido" TargetMode="External" Id="rId542" /><Relationship Type="http://schemas.openxmlformats.org/officeDocument/2006/relationships/hyperlink" Target="https://www.puntotecnologic.com/categories/disco-solido" TargetMode="External" Id="rId543" /><Relationship Type="http://schemas.openxmlformats.org/officeDocument/2006/relationships/hyperlink" Target="https://www.puntotecnologic.com/categories/disco-solido" TargetMode="External" Id="rId544" /><Relationship Type="http://schemas.openxmlformats.org/officeDocument/2006/relationships/hyperlink" Target="https://www.puntotecnologic.com/categories/disco-solido" TargetMode="External" Id="rId545" /><Relationship Type="http://schemas.openxmlformats.org/officeDocument/2006/relationships/hyperlink" Target="https://www.puntotecnologic.com/categories/disco-solido" TargetMode="External" Id="rId546" /><Relationship Type="http://schemas.openxmlformats.org/officeDocument/2006/relationships/hyperlink" Target="https://www.facebook.com/computadorascochabamba/" TargetMode="External" Id="rId547" /><Relationship Type="http://schemas.openxmlformats.org/officeDocument/2006/relationships/hyperlink" Target="https://www.facebook.com/computadorascochabamba/" TargetMode="External" Id="rId548" /><Relationship Type="http://schemas.openxmlformats.org/officeDocument/2006/relationships/hyperlink" Target="https://www.facebook.com/computadorascochabamba/" TargetMode="External" Id="rId549" /><Relationship Type="http://schemas.openxmlformats.org/officeDocument/2006/relationships/hyperlink" Target="https://www.facebook.com/marketplace/item/2555034215012611/" TargetMode="External" Id="rId550" /><Relationship Type="http://schemas.openxmlformats.org/officeDocument/2006/relationships/hyperlink" Target="https://www.facebook.com/marketplace/item/1408789477863562/" TargetMode="External" Id="rId551" /><Relationship Type="http://schemas.openxmlformats.org/officeDocument/2006/relationships/hyperlink" Target="https://geek-store-bolivia.kyte.site/es/c/procesadores/1732582305626-dxXRD" TargetMode="External" Id="rId552" /><Relationship Type="http://schemas.openxmlformats.org/officeDocument/2006/relationships/hyperlink" Target="https://www.facebook.com/marketplace/item/1412645017712543/" TargetMode="External" Id="rId553" /><Relationship Type="http://schemas.openxmlformats.org/officeDocument/2006/relationships/hyperlink" Target="https://cyrexstore.com/tienda?category=procesadores" TargetMode="External" Id="rId554" /><Relationship Type="http://schemas.openxmlformats.org/officeDocument/2006/relationships/hyperlink" Target="https://cyrexstore.com/tienda?category=procesadores" TargetMode="External" Id="rId555" /><Relationship Type="http://schemas.openxmlformats.org/officeDocument/2006/relationships/hyperlink" Target="https://cyrexstore.com/tienda?category=procesadores" TargetMode="External" Id="rId556" /><Relationship Type="http://schemas.openxmlformats.org/officeDocument/2006/relationships/hyperlink" Target="https://www.facebook.com/marketplace/item/1412645017712543/" TargetMode="External" Id="rId557" /><Relationship Type="http://schemas.openxmlformats.org/officeDocument/2006/relationships/hyperlink" Target="https://www.facebook.com/marketplace/item/1098289102810322/" TargetMode="External" Id="rId558" /><Relationship Type="http://schemas.openxmlformats.org/officeDocument/2006/relationships/hyperlink" Target="https://www.facebook.com/marketplace/item/1448988227128820/" TargetMode="External" Id="rId559" /><Relationship Type="http://schemas.openxmlformats.org/officeDocument/2006/relationships/hyperlink" Target="https://www.facebook.com/marketplace/item/1827642128274261/" TargetMode="External" Id="rId560" /><Relationship Type="http://schemas.openxmlformats.org/officeDocument/2006/relationships/hyperlink" Target="https://www.facebook.com/marketplace/item/1705669717854463/" TargetMode="External" Id="rId561" /><Relationship Type="http://schemas.openxmlformats.org/officeDocument/2006/relationships/hyperlink" Target="https://www.facebook.com/marketplace/item/1442061974651151/" TargetMode="External" Id="rId562" /><Relationship Type="http://schemas.openxmlformats.org/officeDocument/2006/relationships/hyperlink" Target="https://www.facebook.com/marketplace/item/1625374825929437/" TargetMode="External" Id="rId563" /><Relationship Type="http://schemas.openxmlformats.org/officeDocument/2006/relationships/hyperlink" Target="https://www.facebook.com/marketplace/item/2891757594521096/" TargetMode="External" Id="rId564" /><Relationship Type="http://schemas.openxmlformats.org/officeDocument/2006/relationships/hyperlink" Target="https://www.facebook.com/marketplace/item/3707244856102112/" TargetMode="External" Id="rId565" /><Relationship Type="http://schemas.openxmlformats.org/officeDocument/2006/relationships/hyperlink" Target="https://www.facebook.com/marketplace/item/2669179450145313/" TargetMode="External" Id="rId566" /><Relationship Type="http://schemas.openxmlformats.org/officeDocument/2006/relationships/hyperlink" Target="https://www.facebook.com/marketplace/item/1361869715871206/" TargetMode="External" Id="rId567" /><Relationship Type="http://schemas.openxmlformats.org/officeDocument/2006/relationships/hyperlink" Target="https://www.facebook.com/marketplace/item/1047051831574251/" TargetMode="External" Id="rId568" /><Relationship Type="http://schemas.openxmlformats.org/officeDocument/2006/relationships/hyperlink" Target="https://www.facebook.com/marketplace/item/887277370696710/" TargetMode="External" Id="rId569" /><Relationship Type="http://schemas.openxmlformats.org/officeDocument/2006/relationships/hyperlink" Target="https://www.facebook.com/marketplace/item/1339516938090376/" TargetMode="External" Id="rId570" /><Relationship Type="http://schemas.openxmlformats.org/officeDocument/2006/relationships/hyperlink" Target="https://www.facebook.com/marketplace/item/1679211106494937/" TargetMode="External" Id="rId571" /><Relationship Type="http://schemas.openxmlformats.org/officeDocument/2006/relationships/hyperlink" Target="https://cyrexstore.com/producto/procesador-amd-ryzen-7-7700x-box" TargetMode="External" Id="rId572" /><Relationship Type="http://schemas.openxmlformats.org/officeDocument/2006/relationships/hyperlink" Target="https://www.facebook.com/marketplace/item/1080072357820250/" TargetMode="External" Id="rId573" /><Relationship Type="http://schemas.openxmlformats.org/officeDocument/2006/relationships/hyperlink" Target="https://www.facebook.com/marketplace/item/1975520143403882/" TargetMode="External" Id="rId574" /><Relationship Type="http://schemas.openxmlformats.org/officeDocument/2006/relationships/hyperlink" Target="https://www.facebook.com/marketplace/item/1643334157386642/" TargetMode="External" Id="rId575" /><Relationship Type="http://schemas.openxmlformats.org/officeDocument/2006/relationships/hyperlink" Target="https://www.facebook.com/marketplace/item/3707244856102112/" TargetMode="External" Id="rId576" /><Relationship Type="http://schemas.openxmlformats.org/officeDocument/2006/relationships/hyperlink" Target="https://www.facebook.com/marketplace/item/27971414262519546/" TargetMode="External" Id="rId577" /><Relationship Type="http://schemas.openxmlformats.org/officeDocument/2006/relationships/hyperlink" Target="https://www.puntotecnologic.com/categories/procesadores" TargetMode="External" Id="rId578" /><Relationship Type="http://schemas.openxmlformats.org/officeDocument/2006/relationships/hyperlink" Target="https://www.facebook.com/marketplace/item/1726943245105041/" TargetMode="External" Id="rId579" /><Relationship Type="http://schemas.openxmlformats.org/officeDocument/2006/relationships/hyperlink" Target="https://www.facebook.com/marketplace/item/1668384550897935/" TargetMode="External" Id="rId580" /><Relationship Type="http://schemas.openxmlformats.org/officeDocument/2006/relationships/hyperlink" Target="https://www.facebook.com/marketplace/item/1080392851443431/" TargetMode="External" Id="rId581" /><Relationship Type="http://schemas.openxmlformats.org/officeDocument/2006/relationships/table" Target="/xl/tables/table3.xml" Id="rId58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28/10/2026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179.99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5 7600</t>
        </is>
      </c>
      <c r="B6" s="5" t="inlineStr">
        <is>
          <t>CPU</t>
        </is>
      </c>
      <c r="C6" s="6" t="inlineStr">
        <is>
          <t>ver en eBay</t>
        </is>
      </c>
      <c r="D6" s="7" t="n">
        <v>139.99</v>
      </c>
      <c r="E6" s="7" t="n">
        <v>6.99</v>
      </c>
      <c r="F6" s="7" t="n">
        <v>119</v>
      </c>
      <c r="G6" s="2" t="n"/>
      <c r="H6" s="8" t="n">
        <v>2800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250</v>
      </c>
      <c r="E7" s="7" t="n">
        <v>0</v>
      </c>
      <c r="F7" s="7" t="n">
        <v>238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140</v>
      </c>
      <c r="E8" s="7" t="n">
        <v>0</v>
      </c>
      <c r="F8" s="7" t="n">
        <v>124.85</v>
      </c>
      <c r="G8" s="8" t="n">
        <v>2350</v>
      </c>
      <c r="H8" s="8" t="n">
        <v>2260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7800X3D</t>
        </is>
      </c>
      <c r="B9" s="5" t="inlineStr">
        <is>
          <t>CPU</t>
        </is>
      </c>
      <c r="C9" s="6" t="inlineStr">
        <is>
          <t>ver en eBay</t>
        </is>
      </c>
      <c r="D9" s="7" t="n">
        <v>325</v>
      </c>
      <c r="E9" s="7" t="n">
        <v>0</v>
      </c>
      <c r="F9" s="7" t="n">
        <v>275</v>
      </c>
      <c r="G9" s="8" t="n">
        <v>4800</v>
      </c>
      <c r="H9" s="8" t="n">
        <v>4760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129.99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7 7700X</t>
        </is>
      </c>
      <c r="B11" s="5" t="inlineStr">
        <is>
          <t>CPU</t>
        </is>
      </c>
      <c r="C11" s="6" t="inlineStr">
        <is>
          <t>ver en eBay</t>
        </is>
      </c>
      <c r="D11" s="7" t="n">
        <v>199</v>
      </c>
      <c r="E11" s="7" t="n">
        <v>20</v>
      </c>
      <c r="F11" s="7" t="n">
        <v>189.99</v>
      </c>
      <c r="G11" s="8" t="n">
        <v>3100</v>
      </c>
      <c r="H11" s="8" t="n">
        <v>3480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399.99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459</v>
      </c>
      <c r="E14" s="7" t="n">
        <v>0</v>
      </c>
      <c r="F14" s="7" t="n">
        <v>399.99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SSD NVMe 1TB</t>
        </is>
      </c>
      <c r="B15" s="5" t="inlineStr">
        <is>
          <t>SSD</t>
        </is>
      </c>
      <c r="C15" s="6" t="inlineStr">
        <is>
          <t>ver en eBay</t>
        </is>
      </c>
      <c r="D15" s="7" t="n">
        <v>114.99</v>
      </c>
      <c r="E15" s="7" t="n">
        <v>0</v>
      </c>
      <c r="F15" s="7" t="n">
        <v>85</v>
      </c>
      <c r="G15" s="8" t="n">
        <v>1100</v>
      </c>
      <c r="H15" s="8" t="n">
        <v>1754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80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100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131.99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46323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46322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46323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8" t="n">
        <v>1100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46322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46323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46322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46323</v>
      </c>
      <c r="B5" s="5" t="inlineStr">
        <is>
          <t>Ryzen 7 7800X3D</t>
        </is>
      </c>
      <c r="C5" s="5" t="inlineStr">
        <is>
          <t>CPU</t>
        </is>
      </c>
      <c r="D5" s="7" t="n">
        <v>325</v>
      </c>
      <c r="E5" s="7" t="n">
        <v>275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46322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46323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8" t="n">
        <v>4000</v>
      </c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46322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46323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336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46322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46323</v>
      </c>
      <c r="B8" s="5" t="inlineStr">
        <is>
          <t>Ryzen 5 7600</t>
        </is>
      </c>
      <c r="C8" s="5" t="inlineStr">
        <is>
          <t>CPU</t>
        </is>
      </c>
      <c r="D8" s="7" t="n">
        <v>146.98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46322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46323</v>
      </c>
      <c r="B9" s="5" t="inlineStr">
        <is>
          <t>Ryzen 5 7500F</t>
        </is>
      </c>
      <c r="C9" s="5" t="inlineStr">
        <is>
          <t>CPU</t>
        </is>
      </c>
      <c r="D9" s="7" t="n">
        <v>135.6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46322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46323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131.99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46322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46323</v>
      </c>
      <c r="B11" s="5" t="inlineStr">
        <is>
          <t>RAM DDR4 16GB (2x8) 3200</t>
        </is>
      </c>
      <c r="C11" s="5" t="inlineStr">
        <is>
          <t>RAM</t>
        </is>
      </c>
      <c r="D11" s="7" t="n">
        <v>100</v>
      </c>
      <c r="E11" s="7" t="n">
        <v>59.99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46322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46323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129.99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46322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46323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149.99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46322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46323</v>
      </c>
      <c r="B14" s="5" t="inlineStr">
        <is>
          <t>Intel Core i5-12400F</t>
        </is>
      </c>
      <c r="C14" s="5" t="inlineStr">
        <is>
          <t>CPU</t>
        </is>
      </c>
      <c r="D14" s="7" t="n">
        <v>140</v>
      </c>
      <c r="E14" s="7" t="n">
        <v>124.85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46322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46323</v>
      </c>
      <c r="B15" s="5" t="inlineStr">
        <is>
          <t>Intel Core Ultra 7 265K</t>
        </is>
      </c>
      <c r="C15" s="5" t="inlineStr">
        <is>
          <t>CPU</t>
        </is>
      </c>
      <c r="D15" s="7" t="n">
        <v>250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46322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46323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399.99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46322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46323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46322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46322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179.99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46321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46322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89.95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46321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46322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430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46321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46322</v>
      </c>
      <c r="B21" s="5" t="inlineStr">
        <is>
          <t>Ryzen 7 7800X3D</t>
        </is>
      </c>
      <c r="C21" s="5" t="inlineStr">
        <is>
          <t>CPU</t>
        </is>
      </c>
      <c r="D21" s="7" t="n">
        <v>325</v>
      </c>
      <c r="E21" s="7" t="n">
        <v>275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46321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46322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189.99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46321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46322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319.99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46321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46322</v>
      </c>
      <c r="B24" s="5" t="inlineStr">
        <is>
          <t>Ryzen 5 7600</t>
        </is>
      </c>
      <c r="C24" s="5" t="inlineStr">
        <is>
          <t>CPU</t>
        </is>
      </c>
      <c r="D24" s="7" t="n">
        <v>146.98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46321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46322</v>
      </c>
      <c r="B25" s="5" t="inlineStr">
        <is>
          <t>Ryzen 5 7500F</t>
        </is>
      </c>
      <c r="C25" s="5" t="inlineStr">
        <is>
          <t>CPU</t>
        </is>
      </c>
      <c r="D25" s="7" t="n">
        <v>135.6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46321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46322</v>
      </c>
      <c r="B26" s="5" t="inlineStr">
        <is>
          <t>Ryzen 5 5600</t>
        </is>
      </c>
      <c r="C26" s="5" t="inlineStr">
        <is>
          <t>CPU</t>
        </is>
      </c>
      <c r="D26" s="7" t="n">
        <v>159.99</v>
      </c>
      <c r="E26" s="7" t="n">
        <v>133.99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46321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46322</v>
      </c>
      <c r="B27" s="5" t="inlineStr">
        <is>
          <t>RAM DDR4 16GB (2x8) 3200</t>
        </is>
      </c>
      <c r="C27" s="5" t="inlineStr">
        <is>
          <t>RAM</t>
        </is>
      </c>
      <c r="D27" s="7" t="n">
        <v>109</v>
      </c>
      <c r="E27" s="7" t="n">
        <v>59.95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46321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46322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46321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46322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150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46321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46322</v>
      </c>
      <c r="B30" s="5" t="inlineStr">
        <is>
          <t>Intel Core i5-12400F</t>
        </is>
      </c>
      <c r="C30" s="5" t="inlineStr">
        <is>
          <t>CPU</t>
        </is>
      </c>
      <c r="D30" s="7" t="n">
        <v>140</v>
      </c>
      <c r="E30" s="7" t="n">
        <v>119.89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46321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46322</v>
      </c>
      <c r="B31" s="5" t="inlineStr">
        <is>
          <t>Intel Core Ultra 7 265K</t>
        </is>
      </c>
      <c r="C31" s="5" t="inlineStr">
        <is>
          <t>CPU</t>
        </is>
      </c>
      <c r="D31" s="7" t="n">
        <v>259.99</v>
      </c>
      <c r="E31" s="2" t="n"/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46321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46322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399.99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46321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46322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399.99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46321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46321</v>
      </c>
      <c r="B34" s="5" t="inlineStr">
        <is>
          <t>SSD NVMe 2TB</t>
        </is>
      </c>
      <c r="C34" s="5" t="inlineStr">
        <is>
          <t>SSD</t>
        </is>
      </c>
      <c r="D34" s="7" t="n">
        <v>185</v>
      </c>
      <c r="E34" s="7" t="n">
        <v>154.99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46320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46321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85</v>
      </c>
      <c r="F35" s="8" t="n">
        <v>1850</v>
      </c>
      <c r="G35" s="8" t="n">
        <v>2000</v>
      </c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46320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46321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46320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46321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269.99</v>
      </c>
      <c r="F37" s="8" t="n">
        <v>4800</v>
      </c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46320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46321</v>
      </c>
      <c r="B38" s="5" t="inlineStr">
        <is>
          <t>Ryzen 7 7700X</t>
        </is>
      </c>
      <c r="C38" s="5" t="inlineStr">
        <is>
          <t>CPU</t>
        </is>
      </c>
      <c r="D38" s="7" t="n">
        <v>219</v>
      </c>
      <c r="E38" s="7" t="n">
        <v>189.99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46320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46321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336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46320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46321</v>
      </c>
      <c r="B40" s="5" t="inlineStr">
        <is>
          <t>Ryzen 5 7600</t>
        </is>
      </c>
      <c r="C40" s="5" t="inlineStr">
        <is>
          <t>CPU</t>
        </is>
      </c>
      <c r="D40" s="7" t="n">
        <v>199.99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46320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46321</v>
      </c>
      <c r="B41" s="5" t="inlineStr">
        <is>
          <t>Ryzen 5 7500F</t>
        </is>
      </c>
      <c r="C41" s="5" t="inlineStr">
        <is>
          <t>CPU</t>
        </is>
      </c>
      <c r="D41" s="7" t="n">
        <v>135.6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46320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46321</v>
      </c>
      <c r="B42" s="5" t="inlineStr">
        <is>
          <t>Ryzen 5 5600</t>
        </is>
      </c>
      <c r="C42" s="5" t="inlineStr">
        <is>
          <t>CPU</t>
        </is>
      </c>
      <c r="D42" s="7" t="n">
        <v>138.9</v>
      </c>
      <c r="E42" s="7" t="n">
        <v>135.99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46320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46321</v>
      </c>
      <c r="B43" s="5" t="inlineStr">
        <is>
          <t>RAM DDR4 16GB (2x8) 3200</t>
        </is>
      </c>
      <c r="C43" s="5" t="inlineStr">
        <is>
          <t>RAM</t>
        </is>
      </c>
      <c r="D43" s="7" t="n">
        <v>109</v>
      </c>
      <c r="E43" s="7" t="n">
        <v>59.99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46320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46321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129.99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46320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46321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150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46320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46321</v>
      </c>
      <c r="B46" s="5" t="inlineStr">
        <is>
          <t>Intel Core i5-12400F</t>
        </is>
      </c>
      <c r="C46" s="5" t="inlineStr">
        <is>
          <t>CPU</t>
        </is>
      </c>
      <c r="D46" s="7" t="n">
        <v>140</v>
      </c>
      <c r="E46" s="7" t="n">
        <v>119.99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46320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46321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2" t="n"/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46320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46321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399.99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46320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46321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459</v>
      </c>
      <c r="E49" s="7" t="n">
        <v>389.99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46320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46320</v>
      </c>
      <c r="B50" s="5" t="inlineStr">
        <is>
          <t>SSD NVMe 2TB</t>
        </is>
      </c>
      <c r="C50" s="5" t="inlineStr">
        <is>
          <t>SSD</t>
        </is>
      </c>
      <c r="D50" s="7" t="n">
        <v>185</v>
      </c>
      <c r="E50" s="7" t="n">
        <v>169.99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46319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46320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46319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46320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46319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46320</v>
      </c>
      <c r="B53" s="5" t="inlineStr">
        <is>
          <t>Ryzen 7 7800X3D</t>
        </is>
      </c>
      <c r="C53" s="5" t="inlineStr">
        <is>
          <t>CPU</t>
        </is>
      </c>
      <c r="D53" s="7" t="n">
        <v>329</v>
      </c>
      <c r="E53" s="7" t="n">
        <v>275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46319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46320</v>
      </c>
      <c r="B54" s="5" t="inlineStr">
        <is>
          <t>Ryzen 7 7700X</t>
        </is>
      </c>
      <c r="C54" s="5" t="inlineStr">
        <is>
          <t>CPU</t>
        </is>
      </c>
      <c r="D54" s="7" t="n">
        <v>219</v>
      </c>
      <c r="E54" s="7" t="n">
        <v>149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46319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46320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299.5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46319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46320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119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46319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46320</v>
      </c>
      <c r="B57" s="5" t="inlineStr">
        <is>
          <t>Ryzen 5 7500F</t>
        </is>
      </c>
      <c r="C57" s="5" t="inlineStr">
        <is>
          <t>CPU</t>
        </is>
      </c>
      <c r="D57" s="7" t="n">
        <v>135.99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46319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46320</v>
      </c>
      <c r="B58" s="5" t="inlineStr">
        <is>
          <t>Ryzen 5 5600</t>
        </is>
      </c>
      <c r="C58" s="5" t="inlineStr">
        <is>
          <t>CPU</t>
        </is>
      </c>
      <c r="D58" s="7" t="n">
        <v>135.98</v>
      </c>
      <c r="E58" s="7" t="n">
        <v>120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46319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46320</v>
      </c>
      <c r="B59" s="5" t="inlineStr">
        <is>
          <t>RAM DDR4 16GB (2x8) 3200</t>
        </is>
      </c>
      <c r="C59" s="5" t="inlineStr">
        <is>
          <t>RAM</t>
        </is>
      </c>
      <c r="D59" s="7" t="n">
        <v>109</v>
      </c>
      <c r="E59" s="7" t="n">
        <v>59.99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46319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46320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129.99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46319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46320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149.95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46319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46320</v>
      </c>
      <c r="B62" s="5" t="inlineStr">
        <is>
          <t>Intel Core i5-12400F</t>
        </is>
      </c>
      <c r="C62" s="5" t="inlineStr">
        <is>
          <t>CPU</t>
        </is>
      </c>
      <c r="D62" s="7" t="n">
        <v>145</v>
      </c>
      <c r="E62" s="7" t="n">
        <v>112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46319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46320</v>
      </c>
      <c r="B63" s="5" t="inlineStr">
        <is>
          <t>Intel Core Ultra 7 265K</t>
        </is>
      </c>
      <c r="C63" s="5" t="inlineStr">
        <is>
          <t>CPU</t>
        </is>
      </c>
      <c r="D63" s="7" t="n">
        <v>259.99</v>
      </c>
      <c r="E63" s="7" t="n">
        <v>238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46319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46320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450</v>
      </c>
      <c r="E64" s="7" t="n">
        <v>389.99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46319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46320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459</v>
      </c>
      <c r="E65" s="7" t="n">
        <v>389.99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46319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46319</v>
      </c>
      <c r="B66" s="5" t="inlineStr">
        <is>
          <t>SSD NVMe 2TB</t>
        </is>
      </c>
      <c r="C66" s="5" t="inlineStr">
        <is>
          <t>SSD</t>
        </is>
      </c>
      <c r="D66" s="7" t="n">
        <v>185</v>
      </c>
      <c r="E66" s="7" t="n">
        <v>179.99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46318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46319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85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46318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46319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46318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46319</v>
      </c>
      <c r="B69" s="5" t="inlineStr">
        <is>
          <t>Ryzen 7 7800X3D</t>
        </is>
      </c>
      <c r="C69" s="5" t="inlineStr">
        <is>
          <t>CPU</t>
        </is>
      </c>
      <c r="D69" s="7" t="n">
        <v>329</v>
      </c>
      <c r="E69" s="7" t="n">
        <v>275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46318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46319</v>
      </c>
      <c r="B70" s="5" t="inlineStr">
        <is>
          <t>Ryzen 7 7700X</t>
        </is>
      </c>
      <c r="C70" s="5" t="inlineStr">
        <is>
          <t>CPU</t>
        </is>
      </c>
      <c r="D70" s="7" t="n">
        <v>219</v>
      </c>
      <c r="E70" s="7" t="n">
        <v>189.99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46318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46319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299.99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46318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46319</v>
      </c>
      <c r="B72" s="5" t="inlineStr">
        <is>
          <t>Ryzen 5 7600</t>
        </is>
      </c>
      <c r="C72" s="5" t="inlineStr">
        <is>
          <t>CPU</t>
        </is>
      </c>
      <c r="D72" s="7" t="n">
        <v>199.99</v>
      </c>
      <c r="E72" s="7" t="n">
        <v>119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46318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46319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46318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46319</v>
      </c>
      <c r="B74" s="5" t="inlineStr">
        <is>
          <t>Ryzen 5 5600</t>
        </is>
      </c>
      <c r="C74" s="5" t="inlineStr">
        <is>
          <t>CPU</t>
        </is>
      </c>
      <c r="D74" s="7" t="n">
        <v>135.98</v>
      </c>
      <c r="E74" s="7" t="n">
        <v>135.99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46318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46319</v>
      </c>
      <c r="B75" s="5" t="inlineStr">
        <is>
          <t>RAM DDR4 16GB (2x8) 3200</t>
        </is>
      </c>
      <c r="C75" s="5" t="inlineStr">
        <is>
          <t>RAM</t>
        </is>
      </c>
      <c r="D75" s="7" t="n">
        <v>109</v>
      </c>
      <c r="E75" s="7" t="n">
        <v>69.98999999999999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46318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46319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129.99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46318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46319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149.95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46318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46319</v>
      </c>
      <c r="B78" s="5" t="inlineStr">
        <is>
          <t>Intel Core i5-12400F</t>
        </is>
      </c>
      <c r="C78" s="5" t="inlineStr">
        <is>
          <t>CPU</t>
        </is>
      </c>
      <c r="D78" s="7" t="n">
        <v>145</v>
      </c>
      <c r="E78" s="7" t="n">
        <v>112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46318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46319</v>
      </c>
      <c r="B79" s="5" t="inlineStr">
        <is>
          <t>Intel Core Ultra 7 265K</t>
        </is>
      </c>
      <c r="C79" s="5" t="inlineStr">
        <is>
          <t>CPU</t>
        </is>
      </c>
      <c r="D79" s="7" t="n">
        <v>259.99</v>
      </c>
      <c r="E79" s="7" t="n">
        <v>225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46318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46319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450</v>
      </c>
      <c r="E80" s="7" t="n">
        <v>389.99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46318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46319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459</v>
      </c>
      <c r="E81" s="7" t="n">
        <v>389.99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46318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46318</v>
      </c>
      <c r="B82" s="5" t="inlineStr">
        <is>
          <t>SSD NVMe 2TB</t>
        </is>
      </c>
      <c r="C82" s="5" t="inlineStr">
        <is>
          <t>SSD</t>
        </is>
      </c>
      <c r="D82" s="7" t="n">
        <v>200</v>
      </c>
      <c r="E82" s="7" t="n">
        <v>179.99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46317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46318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85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46317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46318</v>
      </c>
      <c r="B84" s="5" t="inlineStr">
        <is>
          <t>Ryzen 9 9950X</t>
        </is>
      </c>
      <c r="C84" s="5" t="inlineStr">
        <is>
          <t>CPU</t>
        </is>
      </c>
      <c r="D84" s="7" t="n">
        <v>549.99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46317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46318</v>
      </c>
      <c r="B85" s="5" t="inlineStr">
        <is>
          <t>Ryzen 7 7800X3D</t>
        </is>
      </c>
      <c r="C85" s="5" t="inlineStr">
        <is>
          <t>CPU</t>
        </is>
      </c>
      <c r="D85" s="7" t="n">
        <v>299.99</v>
      </c>
      <c r="E85" s="7" t="n">
        <v>279.95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46317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46318</v>
      </c>
      <c r="B86" s="5" t="inlineStr">
        <is>
          <t>Ryzen 7 7700X</t>
        </is>
      </c>
      <c r="C86" s="5" t="inlineStr">
        <is>
          <t>CPU</t>
        </is>
      </c>
      <c r="D86" s="7" t="n">
        <v>212</v>
      </c>
      <c r="E86" s="7" t="n">
        <v>189.99</v>
      </c>
      <c r="F86" s="2" t="n"/>
      <c r="G86" s="8" t="n">
        <v>3673.5</v>
      </c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46317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46318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304.95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46317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46318</v>
      </c>
      <c r="B88" s="5" t="inlineStr">
        <is>
          <t>Ryzen 5 7600</t>
        </is>
      </c>
      <c r="C88" s="5" t="inlineStr">
        <is>
          <t>CPU</t>
        </is>
      </c>
      <c r="D88" s="7" t="n">
        <v>199.99</v>
      </c>
      <c r="E88" s="7" t="n">
        <v>119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46317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46318</v>
      </c>
      <c r="B89" s="5" t="inlineStr">
        <is>
          <t>Ryzen 5 7500F</t>
        </is>
      </c>
      <c r="C89" s="5" t="inlineStr">
        <is>
          <t>CPU</t>
        </is>
      </c>
      <c r="D89" s="7" t="n">
        <v>135.99</v>
      </c>
      <c r="E89" s="7" t="n">
        <v>129.99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46317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46318</v>
      </c>
      <c r="B90" s="5" t="inlineStr">
        <is>
          <t>Ryzen 5 5600</t>
        </is>
      </c>
      <c r="C90" s="5" t="inlineStr">
        <is>
          <t>CPU</t>
        </is>
      </c>
      <c r="D90" s="7" t="n">
        <v>135.98</v>
      </c>
      <c r="E90" s="7" t="n">
        <v>129.99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46317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46318</v>
      </c>
      <c r="B91" s="5" t="inlineStr">
        <is>
          <t>RAM DDR4 16GB (2x8) 3200</t>
        </is>
      </c>
      <c r="C91" s="5" t="inlineStr">
        <is>
          <t>RAM</t>
        </is>
      </c>
      <c r="D91" s="7" t="n">
        <v>98.66</v>
      </c>
      <c r="E91" s="7" t="n">
        <v>64.98999999999999</v>
      </c>
      <c r="F91" s="8" t="n">
        <v>1600</v>
      </c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46317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46318</v>
      </c>
      <c r="B92" s="5" t="inlineStr">
        <is>
          <t>Intel Core i5-14400F</t>
        </is>
      </c>
      <c r="C92" s="5" t="inlineStr">
        <is>
          <t>CPU</t>
        </is>
      </c>
      <c r="D92" s="7" t="n">
        <v>164.49</v>
      </c>
      <c r="E92" s="7" t="n">
        <v>130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46317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46318</v>
      </c>
      <c r="B93" s="5" t="inlineStr">
        <is>
          <t>Intel Core i5-13400</t>
        </is>
      </c>
      <c r="C93" s="5" t="inlineStr">
        <is>
          <t>CPU</t>
        </is>
      </c>
      <c r="D93" s="2" t="n"/>
      <c r="E93" s="7" t="n">
        <v>145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46317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46318</v>
      </c>
      <c r="B94" s="5" t="inlineStr">
        <is>
          <t>Intel Core i5-12400F</t>
        </is>
      </c>
      <c r="C94" s="5" t="inlineStr">
        <is>
          <t>CPU</t>
        </is>
      </c>
      <c r="D94" s="7" t="n">
        <v>145</v>
      </c>
      <c r="E94" s="7" t="n">
        <v>119.99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46317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46318</v>
      </c>
      <c r="B95" s="5" t="inlineStr">
        <is>
          <t>Intel Core Ultra 7 265K</t>
        </is>
      </c>
      <c r="C95" s="5" t="inlineStr">
        <is>
          <t>CPU</t>
        </is>
      </c>
      <c r="D95" s="7" t="n">
        <v>259.99</v>
      </c>
      <c r="E95" s="2" t="n"/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46317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46318</v>
      </c>
      <c r="B96" s="5" t="inlineStr">
        <is>
          <t>Corsair Vengeance RGB DDR5 32GB (2x16) 6000</t>
        </is>
      </c>
      <c r="C96" s="5" t="inlineStr">
        <is>
          <t>RAM</t>
        </is>
      </c>
      <c r="D96" s="7" t="n">
        <v>465</v>
      </c>
      <c r="E96" s="7" t="n">
        <v>389.99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46317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46318</v>
      </c>
      <c r="B97" s="5" t="inlineStr">
        <is>
          <t>Corsair Vengeance RGB DDR5 32GB (2x16) 5600</t>
        </is>
      </c>
      <c r="C97" s="5" t="inlineStr">
        <is>
          <t>RAM</t>
        </is>
      </c>
      <c r="D97" s="7" t="n">
        <v>465</v>
      </c>
      <c r="E97" s="7" t="n">
        <v>399.99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46317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46317</v>
      </c>
      <c r="B98" s="5" t="inlineStr">
        <is>
          <t>SSD NVMe 2TB</t>
        </is>
      </c>
      <c r="C98" s="5" t="inlineStr">
        <is>
          <t>SSD</t>
        </is>
      </c>
      <c r="D98" s="7" t="n">
        <v>208</v>
      </c>
      <c r="E98" s="7" t="n">
        <v>184.99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46316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46317</v>
      </c>
      <c r="B99" s="5" t="inlineStr">
        <is>
          <t>SSD NVMe 1TB</t>
        </is>
      </c>
      <c r="C99" s="5" t="inlineStr">
        <is>
          <t>SSD</t>
        </is>
      </c>
      <c r="D99" s="7" t="n">
        <v>114.99</v>
      </c>
      <c r="E99" s="7" t="n">
        <v>85</v>
      </c>
      <c r="F99" s="8" t="n">
        <v>2050</v>
      </c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46316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46317</v>
      </c>
      <c r="B100" s="5" t="inlineStr">
        <is>
          <t>Ryzen 9 9950X</t>
        </is>
      </c>
      <c r="C100" s="5" t="inlineStr">
        <is>
          <t>CPU</t>
        </is>
      </c>
      <c r="D100" s="7" t="n">
        <v>549.99</v>
      </c>
      <c r="E100" s="7" t="n">
        <v>454.99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46316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46317</v>
      </c>
      <c r="B101" s="5" t="inlineStr">
        <is>
          <t>Ryzen 7 7800X3D</t>
        </is>
      </c>
      <c r="C101" s="5" t="inlineStr">
        <is>
          <t>CPU</t>
        </is>
      </c>
      <c r="D101" s="7" t="n">
        <v>329</v>
      </c>
      <c r="E101" s="7" t="n">
        <v>274.99</v>
      </c>
      <c r="F101" s="2" t="n"/>
      <c r="G101" s="8" t="n">
        <v>6162</v>
      </c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46316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46317</v>
      </c>
      <c r="B102" s="5" t="inlineStr">
        <is>
          <t>Ryzen 7 7700X</t>
        </is>
      </c>
      <c r="C102" s="5" t="inlineStr">
        <is>
          <t>CPU</t>
        </is>
      </c>
      <c r="D102" s="7" t="n">
        <v>212</v>
      </c>
      <c r="E102" s="7" t="n">
        <v>189.99</v>
      </c>
      <c r="F102" s="8" t="n">
        <v>3100</v>
      </c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46316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46317</v>
      </c>
      <c r="B103" s="5" t="inlineStr">
        <is>
          <t>Ryzen 7 5700X3D</t>
        </is>
      </c>
      <c r="C103" s="5" t="inlineStr">
        <is>
          <t>CPU</t>
        </is>
      </c>
      <c r="D103" s="2" t="n"/>
      <c r="E103" s="7" t="n">
        <v>304.95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46316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46317</v>
      </c>
      <c r="B104" s="5" t="inlineStr">
        <is>
          <t>Ryzen 5 7600</t>
        </is>
      </c>
      <c r="C104" s="5" t="inlineStr">
        <is>
          <t>CPU</t>
        </is>
      </c>
      <c r="D104" s="7" t="n">
        <v>199.99</v>
      </c>
      <c r="E104" s="7" t="n">
        <v>124.99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46316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46317</v>
      </c>
      <c r="B105" s="5" t="inlineStr">
        <is>
          <t>Ryzen 5 7500F</t>
        </is>
      </c>
      <c r="C105" s="5" t="inlineStr">
        <is>
          <t>CPU</t>
        </is>
      </c>
      <c r="D105" s="7" t="n">
        <v>135.99</v>
      </c>
      <c r="E105" s="7" t="n">
        <v>129.99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46316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46317</v>
      </c>
      <c r="B106" s="5" t="inlineStr">
        <is>
          <t>Ryzen 5 5600</t>
        </is>
      </c>
      <c r="C106" s="5" t="inlineStr">
        <is>
          <t>CPU</t>
        </is>
      </c>
      <c r="D106" s="7" t="n">
        <v>135.98</v>
      </c>
      <c r="E106" s="7" t="n">
        <v>129.99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46316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46317</v>
      </c>
      <c r="B107" s="5" t="inlineStr">
        <is>
          <t>RAM DDR4 16GB (2x8) 3200</t>
        </is>
      </c>
      <c r="C107" s="5" t="inlineStr">
        <is>
          <t>RAM</t>
        </is>
      </c>
      <c r="D107" s="7" t="n">
        <v>97.98999999999999</v>
      </c>
      <c r="E107" s="7" t="n">
        <v>69.95</v>
      </c>
      <c r="F107" s="8" t="n">
        <v>540</v>
      </c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46316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46317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139.99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46316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46317</v>
      </c>
      <c r="B109" s="5" t="inlineStr">
        <is>
          <t>Intel Core i5-13400</t>
        </is>
      </c>
      <c r="C109" s="5" t="inlineStr">
        <is>
          <t>CPU</t>
        </is>
      </c>
      <c r="D109" s="2" t="n"/>
      <c r="E109" s="7" t="n">
        <v>145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46316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46317</v>
      </c>
      <c r="B110" s="5" t="inlineStr">
        <is>
          <t>Intel Core i5-12400F</t>
        </is>
      </c>
      <c r="C110" s="5" t="inlineStr">
        <is>
          <t>CPU</t>
        </is>
      </c>
      <c r="D110" s="7" t="n">
        <v>150</v>
      </c>
      <c r="E110" s="7" t="n">
        <v>119.99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46316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46317</v>
      </c>
      <c r="B111" s="5" t="inlineStr">
        <is>
          <t>Intel Core Ultra 7 265K</t>
        </is>
      </c>
      <c r="C111" s="5" t="inlineStr">
        <is>
          <t>CPU</t>
        </is>
      </c>
      <c r="D111" s="7" t="n">
        <v>243.6</v>
      </c>
      <c r="E111" s="2" t="n"/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46316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46317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465</v>
      </c>
      <c r="E112" s="7" t="n">
        <v>419.99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46316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46317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465</v>
      </c>
      <c r="E113" s="7" t="n">
        <v>399.99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46316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46316</v>
      </c>
      <c r="B114" s="5" t="inlineStr">
        <is>
          <t>SSD NVMe 2TB</t>
        </is>
      </c>
      <c r="C114" s="5" t="inlineStr">
        <is>
          <t>SSD</t>
        </is>
      </c>
      <c r="D114" s="7" t="n">
        <v>208</v>
      </c>
      <c r="E114" s="7" t="n">
        <v>174.99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46315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46316</v>
      </c>
      <c r="B115" s="5" t="inlineStr">
        <is>
          <t>SSD NVMe 1TB</t>
        </is>
      </c>
      <c r="C115" s="5" t="inlineStr">
        <is>
          <t>SSD</t>
        </is>
      </c>
      <c r="D115" s="7" t="n">
        <v>114.99</v>
      </c>
      <c r="E115" s="7" t="n">
        <v>90</v>
      </c>
      <c r="F115" s="8" t="n">
        <v>1700</v>
      </c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46315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46316</v>
      </c>
      <c r="B116" s="5" t="inlineStr">
        <is>
          <t>Ryzen 9 9950X</t>
        </is>
      </c>
      <c r="C116" s="5" t="inlineStr">
        <is>
          <t>CPU</t>
        </is>
      </c>
      <c r="D116" s="7" t="n">
        <v>499</v>
      </c>
      <c r="E116" s="7" t="n">
        <v>454.99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46315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46316</v>
      </c>
      <c r="B117" s="5" t="inlineStr">
        <is>
          <t>Ryzen 7 7800X3D</t>
        </is>
      </c>
      <c r="C117" s="5" t="inlineStr">
        <is>
          <t>CPU</t>
        </is>
      </c>
      <c r="D117" s="7" t="n">
        <v>329</v>
      </c>
      <c r="E117" s="7" t="n">
        <v>289.99</v>
      </c>
      <c r="F117" s="8" t="n">
        <v>4860</v>
      </c>
      <c r="G117" s="8" t="n">
        <v>6193</v>
      </c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46315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46316</v>
      </c>
      <c r="B118" s="5" t="inlineStr">
        <is>
          <t>Ryzen 7 7700X</t>
        </is>
      </c>
      <c r="C118" s="5" t="inlineStr">
        <is>
          <t>CPU</t>
        </is>
      </c>
      <c r="D118" s="7" t="n">
        <v>212</v>
      </c>
      <c r="E118" s="7" t="n">
        <v>189.99</v>
      </c>
      <c r="F118" s="2" t="n"/>
      <c r="G118" s="8" t="n">
        <v>3480</v>
      </c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46315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46316</v>
      </c>
      <c r="B119" s="5" t="inlineStr">
        <is>
          <t>Ryzen 7 5700X3D</t>
        </is>
      </c>
      <c r="C119" s="5" t="inlineStr">
        <is>
          <t>CPU</t>
        </is>
      </c>
      <c r="D119" s="2" t="n"/>
      <c r="E119" s="7" t="n">
        <v>304.95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46315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46316</v>
      </c>
      <c r="B120" s="5" t="inlineStr">
        <is>
          <t>Ryzen 5 7600</t>
        </is>
      </c>
      <c r="C120" s="5" t="inlineStr">
        <is>
          <t>CPU</t>
        </is>
      </c>
      <c r="D120" s="7" t="n">
        <v>213.85</v>
      </c>
      <c r="E120" s="7" t="n">
        <v>125.99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46315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46316</v>
      </c>
      <c r="B121" s="5" t="inlineStr">
        <is>
          <t>Ryzen 5 7500F</t>
        </is>
      </c>
      <c r="C121" s="5" t="inlineStr">
        <is>
          <t>CPU</t>
        </is>
      </c>
      <c r="D121" s="7" t="n">
        <v>135.99</v>
      </c>
      <c r="E121" s="7" t="n">
        <v>115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5" t="n"/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46316</v>
      </c>
      <c r="B122" s="5" t="inlineStr">
        <is>
          <t>Ryzen 5 5600</t>
        </is>
      </c>
      <c r="C122" s="5" t="inlineStr">
        <is>
          <t>CPU</t>
        </is>
      </c>
      <c r="D122" s="7" t="n">
        <v>138.9</v>
      </c>
      <c r="E122" s="7" t="n">
        <v>129.99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46315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46316</v>
      </c>
      <c r="B123" s="5" t="inlineStr">
        <is>
          <t>RAM DDR4 16GB (2x8) 3200</t>
        </is>
      </c>
      <c r="C123" s="5" t="inlineStr">
        <is>
          <t>RAM</t>
        </is>
      </c>
      <c r="D123" s="7" t="n">
        <v>97.98999999999999</v>
      </c>
      <c r="E123" s="7" t="n">
        <v>69.95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46315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46316</v>
      </c>
      <c r="B124" s="5" t="inlineStr">
        <is>
          <t>Intel Core i5-14400F</t>
        </is>
      </c>
      <c r="C124" s="5" t="inlineStr">
        <is>
          <t>CPU</t>
        </is>
      </c>
      <c r="D124" s="7" t="n">
        <v>164.49</v>
      </c>
      <c r="E124" s="7" t="n">
        <v>139.99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46315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46316</v>
      </c>
      <c r="B125" s="5" t="inlineStr">
        <is>
          <t>Intel Core i5-13400</t>
        </is>
      </c>
      <c r="C125" s="5" t="inlineStr">
        <is>
          <t>CPU</t>
        </is>
      </c>
      <c r="D125" s="2" t="n"/>
      <c r="E125" s="7" t="n">
        <v>150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46315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46316</v>
      </c>
      <c r="B126" s="5" t="inlineStr">
        <is>
          <t>Intel Core i5-12400F</t>
        </is>
      </c>
      <c r="C126" s="5" t="inlineStr">
        <is>
          <t>CPU</t>
        </is>
      </c>
      <c r="D126" s="7" t="n">
        <v>150</v>
      </c>
      <c r="E126" s="7" t="n">
        <v>124</v>
      </c>
      <c r="F126" s="8" t="n">
        <v>2350</v>
      </c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46315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46316</v>
      </c>
      <c r="B127" s="5" t="inlineStr">
        <is>
          <t>Intel Core Ultra 7 265K</t>
        </is>
      </c>
      <c r="C127" s="5" t="inlineStr">
        <is>
          <t>CPU</t>
        </is>
      </c>
      <c r="D127" s="7" t="n">
        <v>243.6</v>
      </c>
      <c r="E127" s="7" t="n">
        <v>230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46315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46316</v>
      </c>
      <c r="B128" s="5" t="inlineStr">
        <is>
          <t>Corsair Vengeance RGB DDR5 32GB (2x16) 6000</t>
        </is>
      </c>
      <c r="C128" s="5" t="inlineStr">
        <is>
          <t>RAM</t>
        </is>
      </c>
      <c r="D128" s="7" t="n">
        <v>450</v>
      </c>
      <c r="E128" s="7" t="n">
        <v>399.99</v>
      </c>
      <c r="F128" s="8" t="n">
        <v>6200</v>
      </c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46315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46316</v>
      </c>
      <c r="B129" s="5" t="inlineStr">
        <is>
          <t>Corsair Vengeance RGB DDR5 32GB (2x16) 5600</t>
        </is>
      </c>
      <c r="C129" s="5" t="inlineStr">
        <is>
          <t>RAM</t>
        </is>
      </c>
      <c r="D129" s="7" t="n">
        <v>479.99</v>
      </c>
      <c r="E129" s="7" t="n">
        <v>399.99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46315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46315</v>
      </c>
      <c r="B130" s="5" t="inlineStr">
        <is>
          <t>SSD NVMe 2TB</t>
        </is>
      </c>
      <c r="C130" s="5" t="inlineStr">
        <is>
          <t>SSD</t>
        </is>
      </c>
      <c r="D130" s="7" t="n">
        <v>163.11</v>
      </c>
      <c r="E130" s="7" t="n">
        <v>184.99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46314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46315</v>
      </c>
      <c r="B131" s="5" t="inlineStr">
        <is>
          <t>SSD NVMe 1TB</t>
        </is>
      </c>
      <c r="C131" s="5" t="inlineStr">
        <is>
          <t>SSD</t>
        </is>
      </c>
      <c r="D131" s="7" t="n">
        <v>114.99</v>
      </c>
      <c r="E131" s="7" t="n">
        <v>90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46314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46315</v>
      </c>
      <c r="B132" s="5" t="inlineStr">
        <is>
          <t>Ryzen 9 9950X</t>
        </is>
      </c>
      <c r="C132" s="5" t="inlineStr">
        <is>
          <t>CPU</t>
        </is>
      </c>
      <c r="D132" s="7" t="n">
        <v>549.99</v>
      </c>
      <c r="E132" s="7" t="n">
        <v>454.99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46314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46315</v>
      </c>
      <c r="B133" s="5" t="inlineStr">
        <is>
          <t>Ryzen 7 7800X3D</t>
        </is>
      </c>
      <c r="C133" s="5" t="inlineStr">
        <is>
          <t>CPU</t>
        </is>
      </c>
      <c r="D133" s="7" t="n">
        <v>324.99</v>
      </c>
      <c r="E133" s="7" t="n">
        <v>289.99</v>
      </c>
      <c r="F133" s="8" t="n">
        <v>5390</v>
      </c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46314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46315</v>
      </c>
      <c r="B134" s="5" t="inlineStr">
        <is>
          <t>Ryzen 7 7700X</t>
        </is>
      </c>
      <c r="C134" s="5" t="inlineStr">
        <is>
          <t>CPU</t>
        </is>
      </c>
      <c r="D134" s="7" t="n">
        <v>199.99</v>
      </c>
      <c r="E134" s="7" t="n">
        <v>169.99</v>
      </c>
      <c r="F134" s="8" t="n">
        <v>4000</v>
      </c>
      <c r="G134" s="8" t="n">
        <v>3667</v>
      </c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46310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46315</v>
      </c>
      <c r="B135" s="5" t="inlineStr">
        <is>
          <t>Ryzen 7 5700X3D</t>
        </is>
      </c>
      <c r="C135" s="5" t="inlineStr">
        <is>
          <t>CPU</t>
        </is>
      </c>
      <c r="D135" s="2" t="n"/>
      <c r="E135" s="7" t="n">
        <v>336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46314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46315</v>
      </c>
      <c r="B136" s="5" t="inlineStr">
        <is>
          <t>Ryzen 5 7600</t>
        </is>
      </c>
      <c r="C136" s="5" t="inlineStr">
        <is>
          <t>CPU</t>
        </is>
      </c>
      <c r="D136" s="7" t="n">
        <v>213.95</v>
      </c>
      <c r="E136" s="7" t="n">
        <v>120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46314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46315</v>
      </c>
      <c r="B137" s="5" t="inlineStr">
        <is>
          <t>Ryzen 5 5600</t>
        </is>
      </c>
      <c r="C137" s="5" t="inlineStr">
        <is>
          <t>CPU</t>
        </is>
      </c>
      <c r="D137" s="7" t="n">
        <v>138.9</v>
      </c>
      <c r="E137" s="7" t="n">
        <v>129.99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46314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46315</v>
      </c>
      <c r="B138" s="5" t="inlineStr">
        <is>
          <t>RAM DDR4 16GB (2x8) 3200</t>
        </is>
      </c>
      <c r="C138" s="5" t="inlineStr">
        <is>
          <t>RAM</t>
        </is>
      </c>
      <c r="D138" s="7" t="n">
        <v>77.98999999999999</v>
      </c>
      <c r="E138" s="7" t="n">
        <v>69.95</v>
      </c>
      <c r="F138" s="8" t="n">
        <v>1400</v>
      </c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46314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46315</v>
      </c>
      <c r="B139" s="5" t="inlineStr">
        <is>
          <t>Intel Core i5-14400F</t>
        </is>
      </c>
      <c r="C139" s="5" t="inlineStr">
        <is>
          <t>CPU</t>
        </is>
      </c>
      <c r="D139" s="7" t="n">
        <v>164.49</v>
      </c>
      <c r="E139" s="7" t="n">
        <v>134.99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46314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46315</v>
      </c>
      <c r="B140" s="5" t="inlineStr">
        <is>
          <t>Intel Core i5-13400</t>
        </is>
      </c>
      <c r="C140" s="5" t="inlineStr">
        <is>
          <t>CPU</t>
        </is>
      </c>
      <c r="D140" s="2" t="n"/>
      <c r="E140" s="7" t="n">
        <v>150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46314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46315</v>
      </c>
      <c r="B141" s="5" t="inlineStr">
        <is>
          <t>Intel Core i5-12400F</t>
        </is>
      </c>
      <c r="C141" s="5" t="inlineStr">
        <is>
          <t>CPU</t>
        </is>
      </c>
      <c r="D141" s="7" t="n">
        <v>150</v>
      </c>
      <c r="E141" s="7" t="n">
        <v>124.99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46314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46315</v>
      </c>
      <c r="B142" s="5" t="inlineStr">
        <is>
          <t>Intel Core Ultra 7 265K</t>
        </is>
      </c>
      <c r="C142" s="5" t="inlineStr">
        <is>
          <t>CPU</t>
        </is>
      </c>
      <c r="D142" s="7" t="n">
        <v>244.88</v>
      </c>
      <c r="E142" s="2" t="n"/>
      <c r="F142" s="2" t="n"/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46314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46315</v>
      </c>
      <c r="B143" s="5" t="inlineStr">
        <is>
          <t>Corsair Vengeance RGB DDR5 32GB (2x16) 6000</t>
        </is>
      </c>
      <c r="C143" s="5" t="inlineStr">
        <is>
          <t>RAM</t>
        </is>
      </c>
      <c r="D143" s="7" t="n">
        <v>444.99</v>
      </c>
      <c r="E143" s="7" t="n">
        <v>399.99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46314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46315</v>
      </c>
      <c r="B144" s="5" t="inlineStr">
        <is>
          <t>Corsair Vengeance RGB DDR5 32GB (2x16) 5600</t>
        </is>
      </c>
      <c r="C144" s="5" t="inlineStr">
        <is>
          <t>RAM</t>
        </is>
      </c>
      <c r="D144" s="7" t="n">
        <v>479.99</v>
      </c>
      <c r="E144" s="7" t="n">
        <v>379.99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46314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46314</v>
      </c>
      <c r="B145" s="5" t="inlineStr">
        <is>
          <t>SSD NVMe 2TB</t>
        </is>
      </c>
      <c r="C145" s="5" t="inlineStr">
        <is>
          <t>SSD</t>
        </is>
      </c>
      <c r="D145" s="7" t="n">
        <v>209.99</v>
      </c>
      <c r="E145" s="7" t="n">
        <v>154.99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46313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46314</v>
      </c>
      <c r="B146" s="5" t="inlineStr">
        <is>
          <t>SSD NVMe 1TB</t>
        </is>
      </c>
      <c r="C146" s="5" t="inlineStr">
        <is>
          <t>SSD</t>
        </is>
      </c>
      <c r="D146" s="7" t="n">
        <v>117.94</v>
      </c>
      <c r="E146" s="7" t="n">
        <v>95</v>
      </c>
      <c r="F146" s="8" t="n">
        <v>2050</v>
      </c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46313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46314</v>
      </c>
      <c r="B147" s="5" t="inlineStr">
        <is>
          <t>Ryzen 9 9950X</t>
        </is>
      </c>
      <c r="C147" s="5" t="inlineStr">
        <is>
          <t>CPU</t>
        </is>
      </c>
      <c r="D147" s="7" t="n">
        <v>549.99</v>
      </c>
      <c r="E147" s="7" t="n">
        <v>454.99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46313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46314</v>
      </c>
      <c r="B148" s="5" t="inlineStr">
        <is>
          <t>Ryzen 7 7800X3D</t>
        </is>
      </c>
      <c r="C148" s="5" t="inlineStr">
        <is>
          <t>CPU</t>
        </is>
      </c>
      <c r="D148" s="7" t="n">
        <v>324.99</v>
      </c>
      <c r="E148" s="7" t="n">
        <v>285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46313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46314</v>
      </c>
      <c r="B149" s="5" t="inlineStr">
        <is>
          <t>Ryzen 7 5700X3D</t>
        </is>
      </c>
      <c r="C149" s="5" t="inlineStr">
        <is>
          <t>CPU</t>
        </is>
      </c>
      <c r="D149" s="2" t="n"/>
      <c r="E149" s="7" t="n">
        <v>336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46313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46314</v>
      </c>
      <c r="B150" s="5" t="inlineStr">
        <is>
          <t>Ryzen 5 7600</t>
        </is>
      </c>
      <c r="C150" s="5" t="inlineStr">
        <is>
          <t>CPU</t>
        </is>
      </c>
      <c r="D150" s="7" t="n">
        <v>140.26</v>
      </c>
      <c r="E150" s="7" t="n">
        <v>120</v>
      </c>
      <c r="F150" s="2" t="n"/>
      <c r="G150" s="8" t="n">
        <v>2800</v>
      </c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46313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46314</v>
      </c>
      <c r="B151" s="5" t="inlineStr">
        <is>
          <t>Ryzen 5 5600</t>
        </is>
      </c>
      <c r="C151" s="5" t="inlineStr">
        <is>
          <t>CPU</t>
        </is>
      </c>
      <c r="D151" s="7" t="n">
        <v>138.9</v>
      </c>
      <c r="E151" s="7" t="n">
        <v>107.99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46313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46314</v>
      </c>
      <c r="B152" s="5" t="inlineStr">
        <is>
          <t>RAM DDR4 16GB (2x8) 3200</t>
        </is>
      </c>
      <c r="C152" s="5" t="inlineStr">
        <is>
          <t>RAM</t>
        </is>
      </c>
      <c r="D152" s="7" t="n">
        <v>118.96</v>
      </c>
      <c r="E152" s="7" t="n">
        <v>69.98999999999999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46313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46314</v>
      </c>
      <c r="B153" s="5" t="inlineStr">
        <is>
          <t>Intel Core i5-14400F</t>
        </is>
      </c>
      <c r="C153" s="5" t="inlineStr">
        <is>
          <t>CPU</t>
        </is>
      </c>
      <c r="D153" s="7" t="n">
        <v>164.49</v>
      </c>
      <c r="E153" s="7" t="n">
        <v>139.99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46313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46314</v>
      </c>
      <c r="B154" s="5" t="inlineStr">
        <is>
          <t>Intel Core i5-13400</t>
        </is>
      </c>
      <c r="C154" s="5" t="inlineStr">
        <is>
          <t>CPU</t>
        </is>
      </c>
      <c r="D154" s="2" t="n"/>
      <c r="E154" s="7" t="n">
        <v>149.99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46313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46314</v>
      </c>
      <c r="B155" s="5" t="inlineStr">
        <is>
          <t>Intel Core i5-12400F</t>
        </is>
      </c>
      <c r="C155" s="5" t="inlineStr">
        <is>
          <t>CPU</t>
        </is>
      </c>
      <c r="D155" s="7" t="n">
        <v>150</v>
      </c>
      <c r="E155" s="7" t="n">
        <v>124.99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46313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46314</v>
      </c>
      <c r="B156" s="5" t="inlineStr">
        <is>
          <t>Intel Core Ultra 7 265K</t>
        </is>
      </c>
      <c r="C156" s="5" t="inlineStr">
        <is>
          <t>CPU</t>
        </is>
      </c>
      <c r="D156" s="7" t="n">
        <v>235.27</v>
      </c>
      <c r="E156" s="7" t="n">
        <v>239.99</v>
      </c>
      <c r="F156" s="2" t="n"/>
      <c r="G156" s="8" t="n">
        <v>4100</v>
      </c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46313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46314</v>
      </c>
      <c r="B157" s="5" t="inlineStr">
        <is>
          <t>Corsair Vengeance RGB DDR5 32GB (2x16) 6000</t>
        </is>
      </c>
      <c r="C157" s="5" t="inlineStr">
        <is>
          <t>RAM</t>
        </is>
      </c>
      <c r="D157" s="7" t="n">
        <v>450</v>
      </c>
      <c r="E157" s="7" t="n">
        <v>419.99</v>
      </c>
      <c r="F157" s="8" t="n">
        <v>5800</v>
      </c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46313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46314</v>
      </c>
      <c r="B158" s="5" t="inlineStr">
        <is>
          <t>Corsair Vengeance RGB DDR5 32GB (2x16) 5600</t>
        </is>
      </c>
      <c r="C158" s="5" t="inlineStr">
        <is>
          <t>RAM</t>
        </is>
      </c>
      <c r="D158" s="7" t="n">
        <v>429.97</v>
      </c>
      <c r="E158" s="7" t="n">
        <v>379.99</v>
      </c>
      <c r="F158" s="2" t="n"/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46313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46313</v>
      </c>
      <c r="B159" s="5" t="inlineStr">
        <is>
          <t>SSD NVMe 2TB</t>
        </is>
      </c>
      <c r="C159" s="5" t="inlineStr">
        <is>
          <t>SSD</t>
        </is>
      </c>
      <c r="D159" s="7" t="n">
        <v>209.99</v>
      </c>
      <c r="E159" s="7" t="n">
        <v>160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46312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46313</v>
      </c>
      <c r="B160" s="5" t="inlineStr">
        <is>
          <t>SSD NVMe 1TB</t>
        </is>
      </c>
      <c r="C160" s="5" t="inlineStr">
        <is>
          <t>SSD</t>
        </is>
      </c>
      <c r="D160" s="7" t="n">
        <v>93.5</v>
      </c>
      <c r="E160" s="7" t="n">
        <v>96.94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46312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46313</v>
      </c>
      <c r="B161" s="5" t="inlineStr">
        <is>
          <t>Ryzen 9 9950X</t>
        </is>
      </c>
      <c r="C161" s="5" t="inlineStr">
        <is>
          <t>CPU</t>
        </is>
      </c>
      <c r="D161" s="7" t="n">
        <v>549.99</v>
      </c>
      <c r="E161" s="7" t="n">
        <v>454.99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46312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46313</v>
      </c>
      <c r="B162" s="5" t="inlineStr">
        <is>
          <t>Ryzen 7 7800X3D</t>
        </is>
      </c>
      <c r="C162" s="5" t="inlineStr">
        <is>
          <t>CPU</t>
        </is>
      </c>
      <c r="D162" s="7" t="n">
        <v>324.99</v>
      </c>
      <c r="E162" s="7" t="n">
        <v>289.99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46312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46313</v>
      </c>
      <c r="B163" s="5" t="inlineStr">
        <is>
          <t>Ryzen 7 5700X3D</t>
        </is>
      </c>
      <c r="C163" s="5" t="inlineStr">
        <is>
          <t>CPU</t>
        </is>
      </c>
      <c r="D163" s="2" t="n"/>
      <c r="E163" s="7" t="n">
        <v>315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46312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46313</v>
      </c>
      <c r="B164" s="5" t="inlineStr">
        <is>
          <t>Ryzen 5 7600</t>
        </is>
      </c>
      <c r="C164" s="5" t="inlineStr">
        <is>
          <t>CPU</t>
        </is>
      </c>
      <c r="D164" s="7" t="n">
        <v>213.95</v>
      </c>
      <c r="E164" s="7" t="n">
        <v>120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46312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46313</v>
      </c>
      <c r="B165" s="5" t="inlineStr">
        <is>
          <t>Ryzen 5 5600</t>
        </is>
      </c>
      <c r="C165" s="5" t="inlineStr">
        <is>
          <t>CPU</t>
        </is>
      </c>
      <c r="D165" s="7" t="n">
        <v>138.9</v>
      </c>
      <c r="E165" s="7" t="n">
        <v>129.99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46312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46313</v>
      </c>
      <c r="B166" s="5" t="inlineStr">
        <is>
          <t>RAM DDR4 16GB (2x8) 3200</t>
        </is>
      </c>
      <c r="C166" s="5" t="inlineStr">
        <is>
          <t>RAM</t>
        </is>
      </c>
      <c r="D166" s="7" t="n">
        <v>118.96</v>
      </c>
      <c r="E166" s="7" t="n">
        <v>72.95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46312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46313</v>
      </c>
      <c r="B167" s="5" t="inlineStr">
        <is>
          <t>Intel Core i5-14400F</t>
        </is>
      </c>
      <c r="C167" s="5" t="inlineStr">
        <is>
          <t>CPU</t>
        </is>
      </c>
      <c r="D167" s="7" t="n">
        <v>164.49</v>
      </c>
      <c r="E167" s="7" t="n">
        <v>139.99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46312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46313</v>
      </c>
      <c r="B168" s="5" t="inlineStr">
        <is>
          <t>Intel Core i5-13400</t>
        </is>
      </c>
      <c r="C168" s="5" t="inlineStr">
        <is>
          <t>CPU</t>
        </is>
      </c>
      <c r="D168" s="2" t="n"/>
      <c r="E168" s="7" t="n">
        <v>125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46312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46313</v>
      </c>
      <c r="B169" s="5" t="inlineStr">
        <is>
          <t>Intel Core i5-12400F</t>
        </is>
      </c>
      <c r="C169" s="5" t="inlineStr">
        <is>
          <t>CPU</t>
        </is>
      </c>
      <c r="D169" s="7" t="n">
        <v>150</v>
      </c>
      <c r="E169" s="7" t="n">
        <v>124.99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46312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46313</v>
      </c>
      <c r="B170" s="5" t="inlineStr">
        <is>
          <t>Intel Core Ultra 7 265K</t>
        </is>
      </c>
      <c r="C170" s="5" t="inlineStr">
        <is>
          <t>CPU</t>
        </is>
      </c>
      <c r="D170" s="7" t="n">
        <v>235.27</v>
      </c>
      <c r="E170" s="7" t="n">
        <v>209.68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46312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46313</v>
      </c>
      <c r="B171" s="5" t="inlineStr">
        <is>
          <t>Corsair Vengeance RGB DDR5 32GB (2x16) 6000</t>
        </is>
      </c>
      <c r="C171" s="5" t="inlineStr">
        <is>
          <t>RAM</t>
        </is>
      </c>
      <c r="D171" s="7" t="n">
        <v>450</v>
      </c>
      <c r="E171" s="7" t="n">
        <v>419.99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46312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46313</v>
      </c>
      <c r="B172" s="5" t="inlineStr">
        <is>
          <t>Corsair Vengeance RGB DDR5 32GB (2x16) 5600</t>
        </is>
      </c>
      <c r="C172" s="5" t="inlineStr">
        <is>
          <t>RAM</t>
        </is>
      </c>
      <c r="D172" s="7" t="n">
        <v>429.97</v>
      </c>
      <c r="E172" s="7" t="n">
        <v>379.99</v>
      </c>
      <c r="F172" s="2" t="n"/>
      <c r="G172" s="2" t="n"/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46312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46312</v>
      </c>
      <c r="B173" s="5" t="inlineStr">
        <is>
          <t>SSD NVMe 2TB</t>
        </is>
      </c>
      <c r="C173" s="5" t="inlineStr">
        <is>
          <t>SSD</t>
        </is>
      </c>
      <c r="D173" s="7" t="n">
        <v>209.99</v>
      </c>
      <c r="E173" s="7" t="n">
        <v>160</v>
      </c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46311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46312</v>
      </c>
      <c r="B174" s="5" t="inlineStr">
        <is>
          <t>SSD NVMe 1TB</t>
        </is>
      </c>
      <c r="C174" s="5" t="inlineStr">
        <is>
          <t>SSD</t>
        </is>
      </c>
      <c r="D174" s="7" t="n">
        <v>128.99</v>
      </c>
      <c r="E174" s="7" t="n">
        <v>98.59</v>
      </c>
      <c r="F174" s="8" t="n">
        <v>1230</v>
      </c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46311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46312</v>
      </c>
      <c r="B175" s="5" t="inlineStr">
        <is>
          <t>Ryzen 9 9950X</t>
        </is>
      </c>
      <c r="C175" s="5" t="inlineStr">
        <is>
          <t>CPU</t>
        </is>
      </c>
      <c r="D175" s="7" t="n">
        <v>549.99</v>
      </c>
      <c r="E175" s="7" t="n">
        <v>454.99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46311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46312</v>
      </c>
      <c r="B176" s="5" t="inlineStr">
        <is>
          <t>Ryzen 7 7800X3D</t>
        </is>
      </c>
      <c r="C176" s="5" t="inlineStr">
        <is>
          <t>CPU</t>
        </is>
      </c>
      <c r="D176" s="7" t="n">
        <v>324.99</v>
      </c>
      <c r="E176" s="7" t="n">
        <v>275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46311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46312</v>
      </c>
      <c r="B177" s="5" t="inlineStr">
        <is>
          <t>Ryzen 7 5700X3D</t>
        </is>
      </c>
      <c r="C177" s="5" t="inlineStr">
        <is>
          <t>CPU</t>
        </is>
      </c>
      <c r="D177" s="2" t="n"/>
      <c r="E177" s="7" t="n">
        <v>315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46311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46312</v>
      </c>
      <c r="B178" s="5" t="inlineStr">
        <is>
          <t>Ryzen 5 7600</t>
        </is>
      </c>
      <c r="C178" s="5" t="inlineStr">
        <is>
          <t>CPU</t>
        </is>
      </c>
      <c r="D178" s="7" t="n">
        <v>140.26</v>
      </c>
      <c r="E178" s="7" t="n">
        <v>120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46311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46312</v>
      </c>
      <c r="B179" s="5" t="inlineStr">
        <is>
          <t>Ryzen 5 5600</t>
        </is>
      </c>
      <c r="C179" s="5" t="inlineStr">
        <is>
          <t>CPU</t>
        </is>
      </c>
      <c r="D179" s="7" t="n">
        <v>138.9</v>
      </c>
      <c r="E179" s="7" t="n">
        <v>129.99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46311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46312</v>
      </c>
      <c r="B180" s="5" t="inlineStr">
        <is>
          <t>RAM DDR4 16GB (2x8) 3200</t>
        </is>
      </c>
      <c r="C180" s="5" t="inlineStr">
        <is>
          <t>RAM</t>
        </is>
      </c>
      <c r="D180" s="7" t="n">
        <v>118.96</v>
      </c>
      <c r="E180" s="7" t="n">
        <v>71.95</v>
      </c>
      <c r="F180" s="2" t="n"/>
      <c r="G180" s="2" t="n"/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46311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46312</v>
      </c>
      <c r="B181" s="5" t="inlineStr">
        <is>
          <t>Intel Core i5-14400F</t>
        </is>
      </c>
      <c r="C181" s="5" t="inlineStr">
        <is>
          <t>CPU</t>
        </is>
      </c>
      <c r="D181" s="7" t="n">
        <v>164.49</v>
      </c>
      <c r="E181" s="7" t="n">
        <v>139.99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46311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46312</v>
      </c>
      <c r="B182" s="5" t="inlineStr">
        <is>
          <t>Intel Core i5-13400</t>
        </is>
      </c>
      <c r="C182" s="5" t="inlineStr">
        <is>
          <t>CPU</t>
        </is>
      </c>
      <c r="D182" s="2" t="n"/>
      <c r="E182" s="7" t="n">
        <v>125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46311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46312</v>
      </c>
      <c r="B183" s="5" t="inlineStr">
        <is>
          <t>Intel Core i5-12400F</t>
        </is>
      </c>
      <c r="C183" s="5" t="inlineStr">
        <is>
          <t>CPU</t>
        </is>
      </c>
      <c r="D183" s="7" t="n">
        <v>150</v>
      </c>
      <c r="E183" s="7" t="n">
        <v>120.99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46311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46312</v>
      </c>
      <c r="B184" s="5" t="inlineStr">
        <is>
          <t>Intel Core Ultra 7 265K</t>
        </is>
      </c>
      <c r="C184" s="5" t="inlineStr">
        <is>
          <t>CPU</t>
        </is>
      </c>
      <c r="D184" s="7" t="n">
        <v>235.27</v>
      </c>
      <c r="E184" s="7" t="n">
        <v>229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46311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46312</v>
      </c>
      <c r="B185" s="5" t="inlineStr">
        <is>
          <t>Corsair Vengeance RGB DDR5 32GB (2x16) 6000</t>
        </is>
      </c>
      <c r="C185" s="5" t="inlineStr">
        <is>
          <t>RAM</t>
        </is>
      </c>
      <c r="D185" s="7" t="n">
        <v>474.49</v>
      </c>
      <c r="E185" s="7" t="n">
        <v>399.99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46311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46312</v>
      </c>
      <c r="B186" s="5" t="inlineStr">
        <is>
          <t>Corsair Vengeance RGB DDR5 32GB (2x16) 5600</t>
        </is>
      </c>
      <c r="C186" s="5" t="inlineStr">
        <is>
          <t>RAM</t>
        </is>
      </c>
      <c r="D186" s="7" t="n">
        <v>429.97</v>
      </c>
      <c r="E186" s="7" t="n">
        <v>375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46311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46311</v>
      </c>
      <c r="B187" s="5" t="inlineStr">
        <is>
          <t>SSD NVMe 2TB</t>
        </is>
      </c>
      <c r="C187" s="5" t="inlineStr">
        <is>
          <t>SSD</t>
        </is>
      </c>
      <c r="D187" s="7" t="n">
        <v>209.99</v>
      </c>
      <c r="E187" s="7" t="n">
        <v>161.99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46310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46311</v>
      </c>
      <c r="B188" s="5" t="inlineStr">
        <is>
          <t>SSD NVMe 1TB</t>
        </is>
      </c>
      <c r="C188" s="5" t="inlineStr">
        <is>
          <t>SSD</t>
        </is>
      </c>
      <c r="D188" s="7" t="n">
        <v>110</v>
      </c>
      <c r="E188" s="7" t="n">
        <v>80</v>
      </c>
      <c r="F188" s="8" t="n">
        <v>1730</v>
      </c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46310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46311</v>
      </c>
      <c r="B189" s="5" t="inlineStr">
        <is>
          <t>Ryzen 9 9950X</t>
        </is>
      </c>
      <c r="C189" s="5" t="inlineStr">
        <is>
          <t>CPU</t>
        </is>
      </c>
      <c r="D189" s="7" t="n">
        <v>549.99</v>
      </c>
      <c r="E189" s="7" t="n">
        <v>454.99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46310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46311</v>
      </c>
      <c r="B190" s="5" t="inlineStr">
        <is>
          <t>Ryzen 7 7800X3D</t>
        </is>
      </c>
      <c r="C190" s="5" t="inlineStr">
        <is>
          <t>CPU</t>
        </is>
      </c>
      <c r="D190" s="7" t="n">
        <v>320</v>
      </c>
      <c r="E190" s="7" t="n">
        <v>279.99</v>
      </c>
      <c r="F190" s="2" t="n"/>
      <c r="G190" s="8" t="n">
        <v>5664</v>
      </c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46310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46311</v>
      </c>
      <c r="B191" s="5" t="inlineStr">
        <is>
          <t>Ryzen 7 5700X3D</t>
        </is>
      </c>
      <c r="C191" s="5" t="inlineStr">
        <is>
          <t>CPU</t>
        </is>
      </c>
      <c r="D191" s="2" t="n"/>
      <c r="E191" s="7" t="n">
        <v>298.01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46310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46311</v>
      </c>
      <c r="B192" s="5" t="inlineStr">
        <is>
          <t>Ryzen 5 7600</t>
        </is>
      </c>
      <c r="C192" s="5" t="inlineStr">
        <is>
          <t>CPU</t>
        </is>
      </c>
      <c r="D192" s="7" t="n">
        <v>141.24</v>
      </c>
      <c r="E192" s="7" t="n">
        <v>120</v>
      </c>
      <c r="F192" s="2" t="n"/>
      <c r="G192" s="8" t="n">
        <v>2850</v>
      </c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46310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46311</v>
      </c>
      <c r="B193" s="5" t="inlineStr">
        <is>
          <t>Ryzen 5 5600</t>
        </is>
      </c>
      <c r="C193" s="5" t="inlineStr">
        <is>
          <t>CPU</t>
        </is>
      </c>
      <c r="D193" s="7" t="n">
        <v>138.9</v>
      </c>
      <c r="E193" s="7" t="n">
        <v>129.99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46310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46311</v>
      </c>
      <c r="B194" s="5" t="inlineStr">
        <is>
          <t>RAM DDR4 16GB (2x8) 3200</t>
        </is>
      </c>
      <c r="C194" s="5" t="inlineStr">
        <is>
          <t>RAM</t>
        </is>
      </c>
      <c r="D194" s="7" t="n">
        <v>118.96</v>
      </c>
      <c r="E194" s="7" t="n">
        <v>73.95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46310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46311</v>
      </c>
      <c r="B195" s="5" t="inlineStr">
        <is>
          <t>Intel Core i5-14400F</t>
        </is>
      </c>
      <c r="C195" s="5" t="inlineStr">
        <is>
          <t>CPU</t>
        </is>
      </c>
      <c r="D195" s="7" t="n">
        <v>164.49</v>
      </c>
      <c r="E195" s="7" t="n">
        <v>139.99</v>
      </c>
      <c r="F195" s="2" t="n"/>
      <c r="G195" s="8" t="n">
        <v>2384</v>
      </c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46310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46311</v>
      </c>
      <c r="B196" s="5" t="inlineStr">
        <is>
          <t>Intel Core i5-13400</t>
        </is>
      </c>
      <c r="C196" s="5" t="inlineStr">
        <is>
          <t>CPU</t>
        </is>
      </c>
      <c r="D196" s="2" t="n"/>
      <c r="E196" s="7" t="n">
        <v>149.99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46310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46311</v>
      </c>
      <c r="B197" s="5" t="inlineStr">
        <is>
          <t>Intel Core i5-12400F</t>
        </is>
      </c>
      <c r="C197" s="5" t="inlineStr">
        <is>
          <t>CPU</t>
        </is>
      </c>
      <c r="D197" s="7" t="n">
        <v>150</v>
      </c>
      <c r="E197" s="7" t="n">
        <v>120.99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46310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46311</v>
      </c>
      <c r="B198" s="5" t="inlineStr">
        <is>
          <t>Intel Core Ultra 7 265K</t>
        </is>
      </c>
      <c r="C198" s="5" t="inlineStr">
        <is>
          <t>CPU</t>
        </is>
      </c>
      <c r="D198" s="7" t="n">
        <v>234.99</v>
      </c>
      <c r="E198" s="7" t="n">
        <v>229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46310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46311</v>
      </c>
      <c r="B199" s="5" t="inlineStr">
        <is>
          <t>Corsair Vengeance RGB DDR5 32GB (2x16) 6000</t>
        </is>
      </c>
      <c r="C199" s="5" t="inlineStr">
        <is>
          <t>RAM</t>
        </is>
      </c>
      <c r="D199" s="7" t="n">
        <v>474.49</v>
      </c>
      <c r="E199" s="7" t="n">
        <v>389.99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46310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46311</v>
      </c>
      <c r="B200" s="5" t="inlineStr">
        <is>
          <t>Corsair Vengeance RGB DDR5 32GB (2x16) 5600</t>
        </is>
      </c>
      <c r="C200" s="5" t="inlineStr">
        <is>
          <t>RAM</t>
        </is>
      </c>
      <c r="D200" s="7" t="n">
        <v>429.97</v>
      </c>
      <c r="E200" s="7" t="n">
        <v>379.99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46310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46310</v>
      </c>
      <c r="B201" s="5" t="inlineStr">
        <is>
          <t>SSD NVMe 2TB</t>
        </is>
      </c>
      <c r="C201" s="5" t="inlineStr">
        <is>
          <t>SSD</t>
        </is>
      </c>
      <c r="D201" s="7" t="n">
        <v>209.99</v>
      </c>
      <c r="E201" s="7" t="n">
        <v>175</v>
      </c>
      <c r="F201" s="2" t="n"/>
      <c r="G201" s="2" t="n"/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46309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46310</v>
      </c>
      <c r="B202" s="5" t="inlineStr">
        <is>
          <t>SSD NVMe 1TB</t>
        </is>
      </c>
      <c r="C202" s="5" t="inlineStr">
        <is>
          <t>SSD</t>
        </is>
      </c>
      <c r="D202" s="7" t="n">
        <v>128.99</v>
      </c>
      <c r="E202" s="7" t="n">
        <v>80</v>
      </c>
      <c r="F202" s="2" t="n"/>
      <c r="G202" s="8" t="n">
        <v>1754</v>
      </c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46309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46310</v>
      </c>
      <c r="B203" s="5" t="inlineStr">
        <is>
          <t>Ryzen 9 9950X</t>
        </is>
      </c>
      <c r="C203" s="5" t="inlineStr">
        <is>
          <t>CPU</t>
        </is>
      </c>
      <c r="D203" s="7" t="n">
        <v>689.34</v>
      </c>
      <c r="E203" s="7" t="n">
        <v>375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46309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46310</v>
      </c>
      <c r="B204" s="5" t="inlineStr">
        <is>
          <t>Ryzen 7 7800X3D</t>
        </is>
      </c>
      <c r="C204" s="5" t="inlineStr">
        <is>
          <t>CPU</t>
        </is>
      </c>
      <c r="D204" s="7" t="n">
        <v>320</v>
      </c>
      <c r="E204" s="7" t="n">
        <v>279.99</v>
      </c>
      <c r="F204" s="2" t="n"/>
      <c r="G204" s="8" t="n">
        <v>5890</v>
      </c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46309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46310</v>
      </c>
      <c r="B205" s="5" t="inlineStr">
        <is>
          <t>Ryzen 7 7700X</t>
        </is>
      </c>
      <c r="C205" s="5" t="inlineStr">
        <is>
          <t>CPU</t>
        </is>
      </c>
      <c r="D205" s="2" t="n"/>
      <c r="E205" s="2" t="n"/>
      <c r="F205" s="2" t="n"/>
      <c r="G205" s="8" t="n">
        <v>3480</v>
      </c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2" t="n"/>
      <c r="K205" s="5" t="n"/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46310</v>
      </c>
      <c r="B206" s="5" t="inlineStr">
        <is>
          <t>Ryzen 7 5700X3D</t>
        </is>
      </c>
      <c r="C206" s="5" t="inlineStr">
        <is>
          <t>CPU</t>
        </is>
      </c>
      <c r="D206" s="2" t="n"/>
      <c r="E206" s="7" t="n">
        <v>295</v>
      </c>
      <c r="F206" s="2" t="n"/>
      <c r="G206" s="2" t="n"/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46309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46310</v>
      </c>
      <c r="B207" s="5" t="inlineStr">
        <is>
          <t>Ryzen 5 7600</t>
        </is>
      </c>
      <c r="C207" s="5" t="inlineStr">
        <is>
          <t>CPU</t>
        </is>
      </c>
      <c r="D207" s="7" t="n">
        <v>142.24</v>
      </c>
      <c r="E207" s="7" t="n">
        <v>120</v>
      </c>
      <c r="F207" s="2" t="n"/>
      <c r="G207" s="8" t="n">
        <v>2800</v>
      </c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46309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46310</v>
      </c>
      <c r="B208" s="5" t="inlineStr">
        <is>
          <t>Ryzen 5 5600</t>
        </is>
      </c>
      <c r="C208" s="5" t="inlineStr">
        <is>
          <t>CPU</t>
        </is>
      </c>
      <c r="D208" s="7" t="n">
        <v>138.9</v>
      </c>
      <c r="E208" s="7" t="n">
        <v>135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46309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46310</v>
      </c>
      <c r="B209" s="5" t="inlineStr">
        <is>
          <t>RAM DDR4 16GB (2x8) 3200</t>
        </is>
      </c>
      <c r="C209" s="5" t="inlineStr">
        <is>
          <t>RAM</t>
        </is>
      </c>
      <c r="D209" s="7" t="n">
        <v>75</v>
      </c>
      <c r="E209" s="7" t="n">
        <v>73.95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46309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46310</v>
      </c>
      <c r="B210" s="5" t="inlineStr">
        <is>
          <t>Intel Core i5-14400F</t>
        </is>
      </c>
      <c r="C210" s="5" t="inlineStr">
        <is>
          <t>CPU</t>
        </is>
      </c>
      <c r="D210" s="7" t="n">
        <v>164.49</v>
      </c>
      <c r="E210" s="7" t="n">
        <v>134.99</v>
      </c>
      <c r="F210" s="2" t="n"/>
      <c r="G210" s="8" t="n">
        <v>2750</v>
      </c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46309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46310</v>
      </c>
      <c r="B211" s="5" t="inlineStr">
        <is>
          <t>Intel Core i5-13400</t>
        </is>
      </c>
      <c r="C211" s="5" t="inlineStr">
        <is>
          <t>CPU</t>
        </is>
      </c>
      <c r="D211" s="2" t="n"/>
      <c r="E211" s="7" t="n">
        <v>149.99</v>
      </c>
      <c r="F211" s="2" t="n"/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46309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46310</v>
      </c>
      <c r="B212" s="5" t="inlineStr">
        <is>
          <t>Intel Core i5-12400F</t>
        </is>
      </c>
      <c r="C212" s="5" t="inlineStr">
        <is>
          <t>CPU</t>
        </is>
      </c>
      <c r="D212" s="7" t="n">
        <v>150</v>
      </c>
      <c r="E212" s="7" t="n">
        <v>114.99</v>
      </c>
      <c r="F212" s="2" t="n"/>
      <c r="G212" s="8" t="n">
        <v>2260</v>
      </c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46309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46310</v>
      </c>
      <c r="B213" s="5" t="inlineStr">
        <is>
          <t>Intel Core Ultra 7 265K</t>
        </is>
      </c>
      <c r="C213" s="5" t="inlineStr">
        <is>
          <t>CPU</t>
        </is>
      </c>
      <c r="D213" s="7" t="n">
        <v>234.99</v>
      </c>
      <c r="E213" s="7" t="n">
        <v>229</v>
      </c>
      <c r="F213" s="2" t="n"/>
      <c r="G213" s="2" t="n"/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46309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46310</v>
      </c>
      <c r="B214" s="5" t="inlineStr">
        <is>
          <t>Corsair Vengeance RGB DDR5 32GB (2x16) 6000</t>
        </is>
      </c>
      <c r="C214" s="5" t="inlineStr">
        <is>
          <t>RAM</t>
        </is>
      </c>
      <c r="D214" s="7" t="n">
        <v>435.99</v>
      </c>
      <c r="E214" s="7" t="n">
        <v>394.99</v>
      </c>
      <c r="F214" s="2" t="n"/>
      <c r="G214" s="2" t="n"/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46309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46310</v>
      </c>
      <c r="B215" s="5" t="inlineStr">
        <is>
          <t>Corsair Vengeance RGB DDR5 32GB (2x16) 5600</t>
        </is>
      </c>
      <c r="C215" s="5" t="inlineStr">
        <is>
          <t>RAM</t>
        </is>
      </c>
      <c r="D215" s="7" t="n">
        <v>429.97</v>
      </c>
      <c r="E215" s="7" t="n">
        <v>375</v>
      </c>
      <c r="F215" s="2" t="n"/>
      <c r="G215" s="2" t="n"/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46309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46309</v>
      </c>
      <c r="B216" s="5" t="inlineStr">
        <is>
          <t>SSD NVMe 2TB</t>
        </is>
      </c>
      <c r="C216" s="5" t="inlineStr">
        <is>
          <t>SSD</t>
        </is>
      </c>
      <c r="D216" s="7" t="n">
        <v>209.99</v>
      </c>
      <c r="E216" s="7" t="n">
        <v>164.99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15" t="n">
        <v>46308</v>
      </c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46309</v>
      </c>
      <c r="B217" s="5" t="inlineStr">
        <is>
          <t>SSD NVMe 1TB</t>
        </is>
      </c>
      <c r="C217" s="5" t="inlineStr">
        <is>
          <t>SSD</t>
        </is>
      </c>
      <c r="D217" s="7" t="n">
        <v>117.99</v>
      </c>
      <c r="E217" s="7" t="n">
        <v>92.98999999999999</v>
      </c>
      <c r="F217" s="2" t="n"/>
      <c r="G217" s="2" t="n"/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46308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46309</v>
      </c>
      <c r="B218" s="5" t="inlineStr">
        <is>
          <t>Ryzen 9 9950X</t>
        </is>
      </c>
      <c r="C218" s="5" t="inlineStr">
        <is>
          <t>CPU</t>
        </is>
      </c>
      <c r="D218" s="7" t="n">
        <v>499.99</v>
      </c>
      <c r="E218" s="7" t="n">
        <v>454.99</v>
      </c>
      <c r="F218" s="2" t="n"/>
      <c r="G218" s="2" t="n"/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15" t="n">
        <v>46308</v>
      </c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46309</v>
      </c>
      <c r="B219" s="5" t="inlineStr">
        <is>
          <t>Ryzen 7 7800X3D</t>
        </is>
      </c>
      <c r="C219" s="5" t="inlineStr">
        <is>
          <t>CPU</t>
        </is>
      </c>
      <c r="D219" s="7" t="n">
        <v>329</v>
      </c>
      <c r="E219" s="7" t="n">
        <v>275.99</v>
      </c>
      <c r="F219" s="2" t="n"/>
      <c r="G219" s="2" t="n"/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46308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46309</v>
      </c>
      <c r="B220" s="5" t="inlineStr">
        <is>
          <t>Ryzen 7 5700X3D</t>
        </is>
      </c>
      <c r="C220" s="5" t="inlineStr">
        <is>
          <t>CPU</t>
        </is>
      </c>
      <c r="D220" s="2" t="n"/>
      <c r="E220" s="7" t="n">
        <v>295</v>
      </c>
      <c r="F220" s="2" t="n"/>
      <c r="G220" s="2" t="n"/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46308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46309</v>
      </c>
      <c r="B221" s="5" t="inlineStr">
        <is>
          <t>Ryzen 5 7600</t>
        </is>
      </c>
      <c r="C221" s="5" t="inlineStr">
        <is>
          <t>CPU</t>
        </is>
      </c>
      <c r="D221" s="7" t="n">
        <v>142.24</v>
      </c>
      <c r="E221" s="7" t="n">
        <v>121.99</v>
      </c>
      <c r="F221" s="2" t="n"/>
      <c r="G221" s="2" t="n"/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6" t="inlineStr">
        <is>
          <t>ver anuncio</t>
        </is>
      </c>
      <c r="K221" s="15" t="n">
        <v>46308</v>
      </c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46309</v>
      </c>
      <c r="B222" s="5" t="inlineStr">
        <is>
          <t>Ryzen 5 5600</t>
        </is>
      </c>
      <c r="C222" s="5" t="inlineStr">
        <is>
          <t>CPU</t>
        </is>
      </c>
      <c r="D222" s="7" t="n">
        <v>138.9</v>
      </c>
      <c r="E222" s="7" t="n">
        <v>129.99</v>
      </c>
      <c r="F222" s="2" t="n"/>
      <c r="G222" s="2" t="n"/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15" t="n">
        <v>46308</v>
      </c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46309</v>
      </c>
      <c r="B223" s="5" t="inlineStr">
        <is>
          <t>RAM DDR4 16GB (2x8) 3200</t>
        </is>
      </c>
      <c r="C223" s="5" t="inlineStr">
        <is>
          <t>RAM</t>
        </is>
      </c>
      <c r="D223" s="7" t="n">
        <v>72.98999999999999</v>
      </c>
      <c r="E223" s="7" t="n">
        <v>65</v>
      </c>
      <c r="F223" s="2" t="n"/>
      <c r="G223" s="2" t="n"/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46308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46309</v>
      </c>
      <c r="B224" s="5" t="inlineStr">
        <is>
          <t>Intel Core i5-14400F</t>
        </is>
      </c>
      <c r="C224" s="5" t="inlineStr">
        <is>
          <t>CPU</t>
        </is>
      </c>
      <c r="D224" s="7" t="n">
        <v>164.49</v>
      </c>
      <c r="E224" s="7" t="n">
        <v>134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46308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46309</v>
      </c>
      <c r="B225" s="5" t="inlineStr">
        <is>
          <t>Intel Core i5-13400</t>
        </is>
      </c>
      <c r="C225" s="5" t="inlineStr">
        <is>
          <t>CPU</t>
        </is>
      </c>
      <c r="D225" s="2" t="n"/>
      <c r="E225" s="7" t="n">
        <v>149.99</v>
      </c>
      <c r="F225" s="2" t="n"/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15" t="n">
        <v>46308</v>
      </c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46309</v>
      </c>
      <c r="B226" s="5" t="inlineStr">
        <is>
          <t>Intel Core i5-12400F</t>
        </is>
      </c>
      <c r="C226" s="5" t="inlineStr">
        <is>
          <t>CPU</t>
        </is>
      </c>
      <c r="D226" s="7" t="n">
        <v>150</v>
      </c>
      <c r="E226" s="7" t="n">
        <v>120.99</v>
      </c>
      <c r="F226" s="2" t="n"/>
      <c r="G226" s="2" t="n"/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6" t="inlineStr">
        <is>
          <t>ver anuncio</t>
        </is>
      </c>
      <c r="K226" s="15" t="n">
        <v>46308</v>
      </c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46309</v>
      </c>
      <c r="B227" s="5" t="inlineStr">
        <is>
          <t>Intel Core Ultra 7 265K</t>
        </is>
      </c>
      <c r="C227" s="5" t="inlineStr">
        <is>
          <t>CPU</t>
        </is>
      </c>
      <c r="D227" s="7" t="n">
        <v>234.99</v>
      </c>
      <c r="E227" s="7" t="n">
        <v>229</v>
      </c>
      <c r="F227" s="2" t="n"/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15" t="n">
        <v>46308</v>
      </c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46309</v>
      </c>
      <c r="B228" s="5" t="inlineStr">
        <is>
          <t>Corsair Vengeance RGB DDR5 32GB (2x16) 6000</t>
        </is>
      </c>
      <c r="C228" s="5" t="inlineStr">
        <is>
          <t>RAM</t>
        </is>
      </c>
      <c r="D228" s="7" t="n">
        <v>435.99</v>
      </c>
      <c r="E228" s="7" t="n">
        <v>399.9</v>
      </c>
      <c r="F228" s="2" t="n"/>
      <c r="G228" s="2" t="n"/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15" t="n">
        <v>46308</v>
      </c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46309</v>
      </c>
      <c r="B229" s="5" t="inlineStr">
        <is>
          <t>Corsair Vengeance RGB DDR5 32GB (2x16) 5600</t>
        </is>
      </c>
      <c r="C229" s="5" t="inlineStr">
        <is>
          <t>RAM</t>
        </is>
      </c>
      <c r="D229" s="7" t="n">
        <v>429.97</v>
      </c>
      <c r="E229" s="7" t="n">
        <v>379.99</v>
      </c>
      <c r="F229" s="2" t="n"/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15" t="n">
        <v>46308</v>
      </c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46308</v>
      </c>
      <c r="B230" s="5" t="inlineStr">
        <is>
          <t>SSD NVMe 2TB</t>
        </is>
      </c>
      <c r="C230" s="5" t="inlineStr">
        <is>
          <t>SSD</t>
        </is>
      </c>
      <c r="D230" s="7" t="n">
        <v>209.99</v>
      </c>
      <c r="E230" s="7" t="n">
        <v>170</v>
      </c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6" t="inlineStr">
        <is>
          <t>ver anuncio</t>
        </is>
      </c>
      <c r="K230" s="15" t="n">
        <v>46307</v>
      </c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46308</v>
      </c>
      <c r="B231" s="5" t="inlineStr">
        <is>
          <t>SSD NVMe 1TB</t>
        </is>
      </c>
      <c r="C231" s="5" t="inlineStr">
        <is>
          <t>SSD</t>
        </is>
      </c>
      <c r="D231" s="7" t="n">
        <v>114.99</v>
      </c>
      <c r="E231" s="7" t="n">
        <v>99.98999999999999</v>
      </c>
      <c r="F231" s="2" t="n"/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15" t="n">
        <v>46307</v>
      </c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46308</v>
      </c>
      <c r="B232" s="5" t="inlineStr">
        <is>
          <t>Ryzen 9 9950X</t>
        </is>
      </c>
      <c r="C232" s="5" t="inlineStr">
        <is>
          <t>CPU</t>
        </is>
      </c>
      <c r="D232" s="7" t="n">
        <v>499.99</v>
      </c>
      <c r="E232" s="7" t="n">
        <v>454.99</v>
      </c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6" t="inlineStr">
        <is>
          <t>ver anuncio</t>
        </is>
      </c>
      <c r="K232" s="15" t="n">
        <v>46307</v>
      </c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46308</v>
      </c>
      <c r="B233" s="5" t="inlineStr">
        <is>
          <t>Ryzen 7 7800X3D</t>
        </is>
      </c>
      <c r="C233" s="5" t="inlineStr">
        <is>
          <t>CPU</t>
        </is>
      </c>
      <c r="D233" s="7" t="n">
        <v>329</v>
      </c>
      <c r="E233" s="7" t="n">
        <v>283.99</v>
      </c>
      <c r="F233" s="8" t="n">
        <v>4800</v>
      </c>
      <c r="G233" s="8" t="n">
        <v>5350</v>
      </c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15" t="n">
        <v>46307</v>
      </c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46308</v>
      </c>
      <c r="B234" s="5" t="inlineStr">
        <is>
          <t>Ryzen 7 5700X3D</t>
        </is>
      </c>
      <c r="C234" s="5" t="inlineStr">
        <is>
          <t>CPU</t>
        </is>
      </c>
      <c r="D234" s="2" t="n"/>
      <c r="E234" s="7" t="n">
        <v>299.99</v>
      </c>
      <c r="F234" s="2" t="n"/>
      <c r="G234" s="2" t="n"/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15" t="n">
        <v>46307</v>
      </c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46308</v>
      </c>
      <c r="B235" s="5" t="inlineStr">
        <is>
          <t>Ryzen 5 7600</t>
        </is>
      </c>
      <c r="C235" s="5" t="inlineStr">
        <is>
          <t>CPU</t>
        </is>
      </c>
      <c r="D235" s="7" t="n">
        <v>143.24</v>
      </c>
      <c r="E235" s="7" t="n">
        <v>122.99</v>
      </c>
      <c r="F235" s="2" t="n"/>
      <c r="G235" s="2" t="n"/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15" t="n">
        <v>46307</v>
      </c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  <row r="236">
      <c r="A236" s="15" t="n">
        <v>46308</v>
      </c>
      <c r="B236" s="5" t="inlineStr">
        <is>
          <t>Ryzen 5 5600</t>
        </is>
      </c>
      <c r="C236" s="5" t="inlineStr">
        <is>
          <t>CPU</t>
        </is>
      </c>
      <c r="D236" s="7" t="n">
        <v>138.9</v>
      </c>
      <c r="E236" s="7" t="n">
        <v>135</v>
      </c>
      <c r="F236" s="2" t="n"/>
      <c r="G236" s="2" t="n"/>
      <c r="H236" s="9">
        <f>IFERROR(IF(INDEX(Dólar!$B:$B,MATCH(A236,Dólar!$A:$A,0))="","",INDEX(Dólar!$B:$B,MATCH(A236,Dólar!$A:$A,0))),"")</f>
        <v/>
      </c>
      <c r="I236" s="10">
        <f>IFERROR(INDEX(Dólar!$E:$E,MATCH(A236,Dólar!$A:$A,0)),"")</f>
        <v/>
      </c>
      <c r="J236" s="6" t="inlineStr">
        <is>
          <t>ver anuncio</t>
        </is>
      </c>
      <c r="K236" s="15" t="n">
        <v>46307</v>
      </c>
      <c r="L236" s="16">
        <f>IF(OR($K236="",D236=""),"",IF(COUNTIFS($B:$B,$B236,$A:$A,$K236,D:D,"&gt;=0")=0,"",D236-SUMIFS(D:D,$B:$B,$B236,$A:$A,$K236)))</f>
        <v/>
      </c>
      <c r="M236" s="16">
        <f>IF(OR($K236="",E236=""),"",IF(COUNTIFS($B:$B,$B236,$A:$A,$K236,E:E,"&gt;=0")=0,"",E236-SUMIFS(E:E,$B:$B,$B236,$A:$A,$K236)))</f>
        <v/>
      </c>
      <c r="N236" s="16">
        <f>IF(OR($K236="",F236=""),"",IF(COUNTIFS($B:$B,$B236,$A:$A,$K236,F:F,"&gt;=0")=0,"",F236-SUMIFS(F:F,$B:$B,$B236,$A:$A,$K236)))</f>
        <v/>
      </c>
      <c r="O236" s="16">
        <f>IF(OR($K236="",G236=""),"",IF(COUNTIFS($B:$B,$B236,$A:$A,$K236,G:G,"&gt;=0")=0,"",G236-SUMIFS(G:G,$B:$B,$B236,$A:$A,$K236)))</f>
        <v/>
      </c>
    </row>
    <row r="237">
      <c r="A237" s="15" t="n">
        <v>46308</v>
      </c>
      <c r="B237" s="5" t="inlineStr">
        <is>
          <t>RAM DDR4 16GB (2x8) 3200</t>
        </is>
      </c>
      <c r="C237" s="5" t="inlineStr">
        <is>
          <t>RAM</t>
        </is>
      </c>
      <c r="D237" s="7" t="n">
        <v>92.98999999999999</v>
      </c>
      <c r="E237" s="7" t="n">
        <v>64.98999999999999</v>
      </c>
      <c r="F237" s="2" t="n"/>
      <c r="G237" s="2" t="n"/>
      <c r="H237" s="9">
        <f>IFERROR(IF(INDEX(Dólar!$B:$B,MATCH(A237,Dólar!$A:$A,0))="","",INDEX(Dólar!$B:$B,MATCH(A237,Dólar!$A:$A,0))),"")</f>
        <v/>
      </c>
      <c r="I237" s="10">
        <f>IFERROR(INDEX(Dólar!$E:$E,MATCH(A237,Dólar!$A:$A,0)),"")</f>
        <v/>
      </c>
      <c r="J237" s="6" t="inlineStr">
        <is>
          <t>ver anuncio</t>
        </is>
      </c>
      <c r="K237" s="15" t="n">
        <v>46307</v>
      </c>
      <c r="L237" s="16">
        <f>IF(OR($K237="",D237=""),"",IF(COUNTIFS($B:$B,$B237,$A:$A,$K237,D:D,"&gt;=0")=0,"",D237-SUMIFS(D:D,$B:$B,$B237,$A:$A,$K237)))</f>
        <v/>
      </c>
      <c r="M237" s="16">
        <f>IF(OR($K237="",E237=""),"",IF(COUNTIFS($B:$B,$B237,$A:$A,$K237,E:E,"&gt;=0")=0,"",E237-SUMIFS(E:E,$B:$B,$B237,$A:$A,$K237)))</f>
        <v/>
      </c>
      <c r="N237" s="16">
        <f>IF(OR($K237="",F237=""),"",IF(COUNTIFS($B:$B,$B237,$A:$A,$K237,F:F,"&gt;=0")=0,"",F237-SUMIFS(F:F,$B:$B,$B237,$A:$A,$K237)))</f>
        <v/>
      </c>
      <c r="O237" s="16">
        <f>IF(OR($K237="",G237=""),"",IF(COUNTIFS($B:$B,$B237,$A:$A,$K237,G:G,"&gt;=0")=0,"",G237-SUMIFS(G:G,$B:$B,$B237,$A:$A,$K237)))</f>
        <v/>
      </c>
    </row>
    <row r="238">
      <c r="A238" s="15" t="n">
        <v>46308</v>
      </c>
      <c r="B238" s="5" t="inlineStr">
        <is>
          <t>Intel Core i5-14400F</t>
        </is>
      </c>
      <c r="C238" s="5" t="inlineStr">
        <is>
          <t>CPU</t>
        </is>
      </c>
      <c r="D238" s="7" t="n">
        <v>164.49</v>
      </c>
      <c r="E238" s="7" t="n">
        <v>134</v>
      </c>
      <c r="F238" s="2" t="n"/>
      <c r="G238" s="8" t="n">
        <v>2460</v>
      </c>
      <c r="H238" s="9">
        <f>IFERROR(IF(INDEX(Dólar!$B:$B,MATCH(A238,Dólar!$A:$A,0))="","",INDEX(Dólar!$B:$B,MATCH(A238,Dólar!$A:$A,0))),"")</f>
        <v/>
      </c>
      <c r="I238" s="10">
        <f>IFERROR(INDEX(Dólar!$E:$E,MATCH(A238,Dólar!$A:$A,0)),"")</f>
        <v/>
      </c>
      <c r="J238" s="6" t="inlineStr">
        <is>
          <t>ver anuncio</t>
        </is>
      </c>
      <c r="K238" s="15" t="n">
        <v>46307</v>
      </c>
      <c r="L238" s="16">
        <f>IF(OR($K238="",D238=""),"",IF(COUNTIFS($B:$B,$B238,$A:$A,$K238,D:D,"&gt;=0")=0,"",D238-SUMIFS(D:D,$B:$B,$B238,$A:$A,$K238)))</f>
        <v/>
      </c>
      <c r="M238" s="16">
        <f>IF(OR($K238="",E238=""),"",IF(COUNTIFS($B:$B,$B238,$A:$A,$K238,E:E,"&gt;=0")=0,"",E238-SUMIFS(E:E,$B:$B,$B238,$A:$A,$K238)))</f>
        <v/>
      </c>
      <c r="N238" s="16">
        <f>IF(OR($K238="",F238=""),"",IF(COUNTIFS($B:$B,$B238,$A:$A,$K238,F:F,"&gt;=0")=0,"",F238-SUMIFS(F:F,$B:$B,$B238,$A:$A,$K238)))</f>
        <v/>
      </c>
      <c r="O238" s="16">
        <f>IF(OR($K238="",G238=""),"",IF(COUNTIFS($B:$B,$B238,$A:$A,$K238,G:G,"&gt;=0")=0,"",G238-SUMIFS(G:G,$B:$B,$B238,$A:$A,$K238)))</f>
        <v/>
      </c>
    </row>
    <row r="239">
      <c r="A239" s="15" t="n">
        <v>46308</v>
      </c>
      <c r="B239" s="5" t="inlineStr">
        <is>
          <t>Intel Core i5-13400</t>
        </is>
      </c>
      <c r="C239" s="5" t="inlineStr">
        <is>
          <t>CPU</t>
        </is>
      </c>
      <c r="D239" s="2" t="n"/>
      <c r="E239" s="7" t="n">
        <v>149.99</v>
      </c>
      <c r="F239" s="2" t="n"/>
      <c r="G239" s="2" t="n"/>
      <c r="H239" s="9">
        <f>IFERROR(IF(INDEX(Dólar!$B:$B,MATCH(A239,Dólar!$A:$A,0))="","",INDEX(Dólar!$B:$B,MATCH(A239,Dólar!$A:$A,0))),"")</f>
        <v/>
      </c>
      <c r="I239" s="10">
        <f>IFERROR(INDEX(Dólar!$E:$E,MATCH(A239,Dólar!$A:$A,0)),"")</f>
        <v/>
      </c>
      <c r="J239" s="6" t="inlineStr">
        <is>
          <t>ver anuncio</t>
        </is>
      </c>
      <c r="K239" s="15" t="n">
        <v>46307</v>
      </c>
      <c r="L239" s="16">
        <f>IF(OR($K239="",D239=""),"",IF(COUNTIFS($B:$B,$B239,$A:$A,$K239,D:D,"&gt;=0")=0,"",D239-SUMIFS(D:D,$B:$B,$B239,$A:$A,$K239)))</f>
        <v/>
      </c>
      <c r="M239" s="16">
        <f>IF(OR($K239="",E239=""),"",IF(COUNTIFS($B:$B,$B239,$A:$A,$K239,E:E,"&gt;=0")=0,"",E239-SUMIFS(E:E,$B:$B,$B239,$A:$A,$K239)))</f>
        <v/>
      </c>
      <c r="N239" s="16">
        <f>IF(OR($K239="",F239=""),"",IF(COUNTIFS($B:$B,$B239,$A:$A,$K239,F:F,"&gt;=0")=0,"",F239-SUMIFS(F:F,$B:$B,$B239,$A:$A,$K239)))</f>
        <v/>
      </c>
      <c r="O239" s="16">
        <f>IF(OR($K239="",G239=""),"",IF(COUNTIFS($B:$B,$B239,$A:$A,$K239,G:G,"&gt;=0")=0,"",G239-SUMIFS(G:G,$B:$B,$B239,$A:$A,$K239)))</f>
        <v/>
      </c>
    </row>
    <row r="240">
      <c r="A240" s="15" t="n">
        <v>46308</v>
      </c>
      <c r="B240" s="5" t="inlineStr">
        <is>
          <t>Intel Core i5-12400F</t>
        </is>
      </c>
      <c r="C240" s="5" t="inlineStr">
        <is>
          <t>CPU</t>
        </is>
      </c>
      <c r="D240" s="7" t="n">
        <v>150</v>
      </c>
      <c r="E240" s="7" t="n">
        <v>99</v>
      </c>
      <c r="F240" s="2" t="n"/>
      <c r="G240" s="2" t="n"/>
      <c r="H240" s="9">
        <f>IFERROR(IF(INDEX(Dólar!$B:$B,MATCH(A240,Dólar!$A:$A,0))="","",INDEX(Dólar!$B:$B,MATCH(A240,Dólar!$A:$A,0))),"")</f>
        <v/>
      </c>
      <c r="I240" s="10">
        <f>IFERROR(INDEX(Dólar!$E:$E,MATCH(A240,Dólar!$A:$A,0)),"")</f>
        <v/>
      </c>
      <c r="J240" s="6" t="inlineStr">
        <is>
          <t>ver anuncio</t>
        </is>
      </c>
      <c r="K240" s="15" t="n">
        <v>46307</v>
      </c>
      <c r="L240" s="16">
        <f>IF(OR($K240="",D240=""),"",IF(COUNTIFS($B:$B,$B240,$A:$A,$K240,D:D,"&gt;=0")=0,"",D240-SUMIFS(D:D,$B:$B,$B240,$A:$A,$K240)))</f>
        <v/>
      </c>
      <c r="M240" s="16">
        <f>IF(OR($K240="",E240=""),"",IF(COUNTIFS($B:$B,$B240,$A:$A,$K240,E:E,"&gt;=0")=0,"",E240-SUMIFS(E:E,$B:$B,$B240,$A:$A,$K240)))</f>
        <v/>
      </c>
      <c r="N240" s="16">
        <f>IF(OR($K240="",F240=""),"",IF(COUNTIFS($B:$B,$B240,$A:$A,$K240,F:F,"&gt;=0")=0,"",F240-SUMIFS(F:F,$B:$B,$B240,$A:$A,$K240)))</f>
        <v/>
      </c>
      <c r="O240" s="16">
        <f>IF(OR($K240="",G240=""),"",IF(COUNTIFS($B:$B,$B240,$A:$A,$K240,G:G,"&gt;=0")=0,"",G240-SUMIFS(G:G,$B:$B,$B240,$A:$A,$K240)))</f>
        <v/>
      </c>
    </row>
    <row r="241">
      <c r="A241" s="15" t="n">
        <v>46308</v>
      </c>
      <c r="B241" s="5" t="inlineStr">
        <is>
          <t>Intel Core Ultra 7 265K</t>
        </is>
      </c>
      <c r="C241" s="5" t="inlineStr">
        <is>
          <t>CPU</t>
        </is>
      </c>
      <c r="D241" s="7" t="n">
        <v>234.99</v>
      </c>
      <c r="E241" s="7" t="n">
        <v>209.99</v>
      </c>
      <c r="F241" s="2" t="n"/>
      <c r="G241" s="2" t="n"/>
      <c r="H241" s="9">
        <f>IFERROR(IF(INDEX(Dólar!$B:$B,MATCH(A241,Dólar!$A:$A,0))="","",INDEX(Dólar!$B:$B,MATCH(A241,Dólar!$A:$A,0))),"")</f>
        <v/>
      </c>
      <c r="I241" s="10">
        <f>IFERROR(INDEX(Dólar!$E:$E,MATCH(A241,Dólar!$A:$A,0)),"")</f>
        <v/>
      </c>
      <c r="J241" s="6" t="inlineStr">
        <is>
          <t>ver anuncio</t>
        </is>
      </c>
      <c r="K241" s="15" t="n">
        <v>46307</v>
      </c>
      <c r="L241" s="16">
        <f>IF(OR($K241="",D241=""),"",IF(COUNTIFS($B:$B,$B241,$A:$A,$K241,D:D,"&gt;=0")=0,"",D241-SUMIFS(D:D,$B:$B,$B241,$A:$A,$K241)))</f>
        <v/>
      </c>
      <c r="M241" s="16">
        <f>IF(OR($K241="",E241=""),"",IF(COUNTIFS($B:$B,$B241,$A:$A,$K241,E:E,"&gt;=0")=0,"",E241-SUMIFS(E:E,$B:$B,$B241,$A:$A,$K241)))</f>
        <v/>
      </c>
      <c r="N241" s="16">
        <f>IF(OR($K241="",F241=""),"",IF(COUNTIFS($B:$B,$B241,$A:$A,$K241,F:F,"&gt;=0")=0,"",F241-SUMIFS(F:F,$B:$B,$B241,$A:$A,$K241)))</f>
        <v/>
      </c>
      <c r="O241" s="16">
        <f>IF(OR($K241="",G241=""),"",IF(COUNTIFS($B:$B,$B241,$A:$A,$K241,G:G,"&gt;=0")=0,"",G241-SUMIFS(G:G,$B:$B,$B241,$A:$A,$K241)))</f>
        <v/>
      </c>
    </row>
    <row r="242">
      <c r="A242" s="15" t="n">
        <v>46308</v>
      </c>
      <c r="B242" s="5" t="inlineStr">
        <is>
          <t>Corsair Vengeance RGB DDR5 32GB (2x16) 6000</t>
        </is>
      </c>
      <c r="C242" s="5" t="inlineStr">
        <is>
          <t>RAM</t>
        </is>
      </c>
      <c r="D242" s="7" t="n">
        <v>435.99</v>
      </c>
      <c r="E242" s="7" t="n">
        <v>399.9</v>
      </c>
      <c r="F242" s="2" t="n"/>
      <c r="G242" s="2" t="n"/>
      <c r="H242" s="9">
        <f>IFERROR(IF(INDEX(Dólar!$B:$B,MATCH(A242,Dólar!$A:$A,0))="","",INDEX(Dólar!$B:$B,MATCH(A242,Dólar!$A:$A,0))),"")</f>
        <v/>
      </c>
      <c r="I242" s="10">
        <f>IFERROR(INDEX(Dólar!$E:$E,MATCH(A242,Dólar!$A:$A,0)),"")</f>
        <v/>
      </c>
      <c r="J242" s="6" t="inlineStr">
        <is>
          <t>ver anuncio</t>
        </is>
      </c>
      <c r="K242" s="15" t="n">
        <v>46307</v>
      </c>
      <c r="L242" s="16">
        <f>IF(OR($K242="",D242=""),"",IF(COUNTIFS($B:$B,$B242,$A:$A,$K242,D:D,"&gt;=0")=0,"",D242-SUMIFS(D:D,$B:$B,$B242,$A:$A,$K242)))</f>
        <v/>
      </c>
      <c r="M242" s="16">
        <f>IF(OR($K242="",E242=""),"",IF(COUNTIFS($B:$B,$B242,$A:$A,$K242,E:E,"&gt;=0")=0,"",E242-SUMIFS(E:E,$B:$B,$B242,$A:$A,$K242)))</f>
        <v/>
      </c>
      <c r="N242" s="16">
        <f>IF(OR($K242="",F242=""),"",IF(COUNTIFS($B:$B,$B242,$A:$A,$K242,F:F,"&gt;=0")=0,"",F242-SUMIFS(F:F,$B:$B,$B242,$A:$A,$K242)))</f>
        <v/>
      </c>
      <c r="O242" s="16">
        <f>IF(OR($K242="",G242=""),"",IF(COUNTIFS($B:$B,$B242,$A:$A,$K242,G:G,"&gt;=0")=0,"",G242-SUMIFS(G:G,$B:$B,$B242,$A:$A,$K242)))</f>
        <v/>
      </c>
    </row>
    <row r="243">
      <c r="A243" s="15" t="n">
        <v>46308</v>
      </c>
      <c r="B243" s="5" t="inlineStr">
        <is>
          <t>Corsair Vengeance RGB DDR5 32GB (2x16) 5600</t>
        </is>
      </c>
      <c r="C243" s="5" t="inlineStr">
        <is>
          <t>RAM</t>
        </is>
      </c>
      <c r="D243" s="7" t="n">
        <v>493</v>
      </c>
      <c r="E243" s="7" t="n">
        <v>383.99</v>
      </c>
      <c r="F243" s="2" t="n"/>
      <c r="G243" s="2" t="n"/>
      <c r="H243" s="9">
        <f>IFERROR(IF(INDEX(Dólar!$B:$B,MATCH(A243,Dólar!$A:$A,0))="","",INDEX(Dólar!$B:$B,MATCH(A243,Dólar!$A:$A,0))),"")</f>
        <v/>
      </c>
      <c r="I243" s="10">
        <f>IFERROR(INDEX(Dólar!$E:$E,MATCH(A243,Dólar!$A:$A,0)),"")</f>
        <v/>
      </c>
      <c r="J243" s="6" t="inlineStr">
        <is>
          <t>ver anuncio</t>
        </is>
      </c>
      <c r="K243" s="15" t="n">
        <v>46307</v>
      </c>
      <c r="L243" s="16">
        <f>IF(OR($K243="",D243=""),"",IF(COUNTIFS($B:$B,$B243,$A:$A,$K243,D:D,"&gt;=0")=0,"",D243-SUMIFS(D:D,$B:$B,$B243,$A:$A,$K243)))</f>
        <v/>
      </c>
      <c r="M243" s="16">
        <f>IF(OR($K243="",E243=""),"",IF(COUNTIFS($B:$B,$B243,$A:$A,$K243,E:E,"&gt;=0")=0,"",E243-SUMIFS(E:E,$B:$B,$B243,$A:$A,$K243)))</f>
        <v/>
      </c>
      <c r="N243" s="16">
        <f>IF(OR($K243="",F243=""),"",IF(COUNTIFS($B:$B,$B243,$A:$A,$K243,F:F,"&gt;=0")=0,"",F243-SUMIFS(F:F,$B:$B,$B243,$A:$A,$K243)))</f>
        <v/>
      </c>
      <c r="O243" s="16">
        <f>IF(OR($K243="",G243=""),"",IF(COUNTIFS($B:$B,$B243,$A:$A,$K243,G:G,"&gt;=0")=0,"",G243-SUMIFS(G:G,$B:$B,$B243,$A:$A,$K243)))</f>
        <v/>
      </c>
    </row>
    <row r="244">
      <c r="A244" s="15" t="n">
        <v>46307</v>
      </c>
      <c r="B244" s="5" t="inlineStr">
        <is>
          <t>SSD NVMe 2TB</t>
        </is>
      </c>
      <c r="C244" s="5" t="inlineStr">
        <is>
          <t>SSD</t>
        </is>
      </c>
      <c r="D244" s="7" t="n">
        <v>209.99</v>
      </c>
      <c r="E244" s="7" t="n">
        <v>179.99</v>
      </c>
      <c r="F244" s="2" t="n"/>
      <c r="G244" s="8" t="n">
        <v>4060</v>
      </c>
      <c r="H244" s="9">
        <f>IFERROR(IF(INDEX(Dólar!$B:$B,MATCH(A244,Dólar!$A:$A,0))="","",INDEX(Dólar!$B:$B,MATCH(A244,Dólar!$A:$A,0))),"")</f>
        <v/>
      </c>
      <c r="I244" s="10">
        <f>IFERROR(INDEX(Dólar!$E:$E,MATCH(A244,Dólar!$A:$A,0)),"")</f>
        <v/>
      </c>
      <c r="J244" s="6" t="inlineStr">
        <is>
          <t>ver anuncio</t>
        </is>
      </c>
      <c r="K244" s="15" t="n">
        <v>46306</v>
      </c>
      <c r="L244" s="16">
        <f>IF(OR($K244="",D244=""),"",IF(COUNTIFS($B:$B,$B244,$A:$A,$K244,D:D,"&gt;=0")=0,"",D244-SUMIFS(D:D,$B:$B,$B244,$A:$A,$K244)))</f>
        <v/>
      </c>
      <c r="M244" s="16">
        <f>IF(OR($K244="",E244=""),"",IF(COUNTIFS($B:$B,$B244,$A:$A,$K244,E:E,"&gt;=0")=0,"",E244-SUMIFS(E:E,$B:$B,$B244,$A:$A,$K244)))</f>
        <v/>
      </c>
      <c r="N244" s="16">
        <f>IF(OR($K244="",F244=""),"",IF(COUNTIFS($B:$B,$B244,$A:$A,$K244,F:F,"&gt;=0")=0,"",F244-SUMIFS(F:F,$B:$B,$B244,$A:$A,$K244)))</f>
        <v/>
      </c>
      <c r="O244" s="16">
        <f>IF(OR($K244="",G244=""),"",IF(COUNTIFS($B:$B,$B244,$A:$A,$K244,G:G,"&gt;=0")=0,"",G244-SUMIFS(G:G,$B:$B,$B244,$A:$A,$K244)))</f>
        <v/>
      </c>
    </row>
    <row r="245">
      <c r="A245" s="15" t="n">
        <v>46307</v>
      </c>
      <c r="B245" s="5" t="inlineStr">
        <is>
          <t>SSD NVMe 1TB</t>
        </is>
      </c>
      <c r="C245" s="5" t="inlineStr">
        <is>
          <t>SSD</t>
        </is>
      </c>
      <c r="D245" s="7" t="n">
        <v>114.99</v>
      </c>
      <c r="E245" s="7" t="n">
        <v>99.98999999999999</v>
      </c>
      <c r="F245" s="2" t="n"/>
      <c r="G245" s="8" t="n">
        <v>1860</v>
      </c>
      <c r="H245" s="9">
        <f>IFERROR(IF(INDEX(Dólar!$B:$B,MATCH(A245,Dólar!$A:$A,0))="","",INDEX(Dólar!$B:$B,MATCH(A245,Dólar!$A:$A,0))),"")</f>
        <v/>
      </c>
      <c r="I245" s="10">
        <f>IFERROR(INDEX(Dólar!$E:$E,MATCH(A245,Dólar!$A:$A,0)),"")</f>
        <v/>
      </c>
      <c r="J245" s="6" t="inlineStr">
        <is>
          <t>ver anuncio</t>
        </is>
      </c>
      <c r="K245" s="15" t="n">
        <v>46306</v>
      </c>
      <c r="L245" s="16">
        <f>IF(OR($K245="",D245=""),"",IF(COUNTIFS($B:$B,$B245,$A:$A,$K245,D:D,"&gt;=0")=0,"",D245-SUMIFS(D:D,$B:$B,$B245,$A:$A,$K245)))</f>
        <v/>
      </c>
      <c r="M245" s="16">
        <f>IF(OR($K245="",E245=""),"",IF(COUNTIFS($B:$B,$B245,$A:$A,$K245,E:E,"&gt;=0")=0,"",E245-SUMIFS(E:E,$B:$B,$B245,$A:$A,$K245)))</f>
        <v/>
      </c>
      <c r="N245" s="16">
        <f>IF(OR($K245="",F245=""),"",IF(COUNTIFS($B:$B,$B245,$A:$A,$K245,F:F,"&gt;=0")=0,"",F245-SUMIFS(F:F,$B:$B,$B245,$A:$A,$K245)))</f>
        <v/>
      </c>
      <c r="O245" s="16">
        <f>IF(OR($K245="",G245=""),"",IF(COUNTIFS($B:$B,$B245,$A:$A,$K245,G:G,"&gt;=0")=0,"",G245-SUMIFS(G:G,$B:$B,$B245,$A:$A,$K245)))</f>
        <v/>
      </c>
    </row>
    <row r="246">
      <c r="A246" s="15" t="n">
        <v>46307</v>
      </c>
      <c r="B246" s="5" t="inlineStr">
        <is>
          <t>Ryzen 9 9950X</t>
        </is>
      </c>
      <c r="C246" s="5" t="inlineStr">
        <is>
          <t>CPU</t>
        </is>
      </c>
      <c r="D246" s="7" t="n">
        <v>499.99</v>
      </c>
      <c r="E246" s="7" t="n">
        <v>454.99</v>
      </c>
      <c r="F246" s="2" t="n"/>
      <c r="G246" s="8" t="n">
        <v>6140</v>
      </c>
      <c r="H246" s="9">
        <f>IFERROR(IF(INDEX(Dólar!$B:$B,MATCH(A246,Dólar!$A:$A,0))="","",INDEX(Dólar!$B:$B,MATCH(A246,Dólar!$A:$A,0))),"")</f>
        <v/>
      </c>
      <c r="I246" s="10">
        <f>IFERROR(INDEX(Dólar!$E:$E,MATCH(A246,Dólar!$A:$A,0)),"")</f>
        <v/>
      </c>
      <c r="J246" s="6" t="inlineStr">
        <is>
          <t>ver anuncio</t>
        </is>
      </c>
      <c r="K246" s="15" t="n">
        <v>46306</v>
      </c>
      <c r="L246" s="16">
        <f>IF(OR($K246="",D246=""),"",IF(COUNTIFS($B:$B,$B246,$A:$A,$K246,D:D,"&gt;=0")=0,"",D246-SUMIFS(D:D,$B:$B,$B246,$A:$A,$K246)))</f>
        <v/>
      </c>
      <c r="M246" s="16">
        <f>IF(OR($K246="",E246=""),"",IF(COUNTIFS($B:$B,$B246,$A:$A,$K246,E:E,"&gt;=0")=0,"",E246-SUMIFS(E:E,$B:$B,$B246,$A:$A,$K246)))</f>
        <v/>
      </c>
      <c r="N246" s="16">
        <f>IF(OR($K246="",F246=""),"",IF(COUNTIFS($B:$B,$B246,$A:$A,$K246,F:F,"&gt;=0")=0,"",F246-SUMIFS(F:F,$B:$B,$B246,$A:$A,$K246)))</f>
        <v/>
      </c>
      <c r="O246" s="16">
        <f>IF(OR($K246="",G246=""),"",IF(COUNTIFS($B:$B,$B246,$A:$A,$K246,G:G,"&gt;=0")=0,"",G246-SUMIFS(G:G,$B:$B,$B246,$A:$A,$K246)))</f>
        <v/>
      </c>
    </row>
    <row r="247">
      <c r="A247" s="15" t="n">
        <v>46307</v>
      </c>
      <c r="B247" s="5" t="inlineStr">
        <is>
          <t>Ryzen 7 7800X3D</t>
        </is>
      </c>
      <c r="C247" s="5" t="inlineStr">
        <is>
          <t>CPU</t>
        </is>
      </c>
      <c r="D247" s="7" t="n">
        <v>329</v>
      </c>
      <c r="E247" s="7" t="n">
        <v>283.99</v>
      </c>
      <c r="F247" s="2" t="n"/>
      <c r="G247" s="8" t="n">
        <v>4760</v>
      </c>
      <c r="H247" s="9">
        <f>IFERROR(IF(INDEX(Dólar!$B:$B,MATCH(A247,Dólar!$A:$A,0))="","",INDEX(Dólar!$B:$B,MATCH(A247,Dólar!$A:$A,0))),"")</f>
        <v/>
      </c>
      <c r="I247" s="10">
        <f>IFERROR(INDEX(Dólar!$E:$E,MATCH(A247,Dólar!$A:$A,0)),"")</f>
        <v/>
      </c>
      <c r="J247" s="6" t="inlineStr">
        <is>
          <t>ver anuncio</t>
        </is>
      </c>
      <c r="K247" s="15" t="n">
        <v>46306</v>
      </c>
      <c r="L247" s="16">
        <f>IF(OR($K247="",D247=""),"",IF(COUNTIFS($B:$B,$B247,$A:$A,$K247,D:D,"&gt;=0")=0,"",D247-SUMIFS(D:D,$B:$B,$B247,$A:$A,$K247)))</f>
        <v/>
      </c>
      <c r="M247" s="16">
        <f>IF(OR($K247="",E247=""),"",IF(COUNTIFS($B:$B,$B247,$A:$A,$K247,E:E,"&gt;=0")=0,"",E247-SUMIFS(E:E,$B:$B,$B247,$A:$A,$K247)))</f>
        <v/>
      </c>
      <c r="N247" s="16">
        <f>IF(OR($K247="",F247=""),"",IF(COUNTIFS($B:$B,$B247,$A:$A,$K247,F:F,"&gt;=0")=0,"",F247-SUMIFS(F:F,$B:$B,$B247,$A:$A,$K247)))</f>
        <v/>
      </c>
      <c r="O247" s="16">
        <f>IF(OR($K247="",G247=""),"",IF(COUNTIFS($B:$B,$B247,$A:$A,$K247,G:G,"&gt;=0")=0,"",G247-SUMIFS(G:G,$B:$B,$B247,$A:$A,$K247)))</f>
        <v/>
      </c>
    </row>
    <row r="248">
      <c r="A248" s="15" t="n">
        <v>46307</v>
      </c>
      <c r="B248" s="5" t="inlineStr">
        <is>
          <t>Ryzen 7 5700X3D</t>
        </is>
      </c>
      <c r="C248" s="5" t="inlineStr">
        <is>
          <t>CPU</t>
        </is>
      </c>
      <c r="D248" s="2" t="n"/>
      <c r="E248" s="7" t="n">
        <v>305</v>
      </c>
      <c r="F248" s="2" t="n"/>
      <c r="G248" s="2" t="n"/>
      <c r="H248" s="9">
        <f>IFERROR(IF(INDEX(Dólar!$B:$B,MATCH(A248,Dólar!$A:$A,0))="","",INDEX(Dólar!$B:$B,MATCH(A248,Dólar!$A:$A,0))),"")</f>
        <v/>
      </c>
      <c r="I248" s="10">
        <f>IFERROR(INDEX(Dólar!$E:$E,MATCH(A248,Dólar!$A:$A,0)),"")</f>
        <v/>
      </c>
      <c r="J248" s="6" t="inlineStr">
        <is>
          <t>ver anuncio</t>
        </is>
      </c>
      <c r="K248" s="5" t="n"/>
      <c r="L248" s="16">
        <f>IF(OR($K248="",D248=""),"",IF(COUNTIFS($B:$B,$B248,$A:$A,$K248,D:D,"&gt;=0")=0,"",D248-SUMIFS(D:D,$B:$B,$B248,$A:$A,$K248)))</f>
        <v/>
      </c>
      <c r="M248" s="16">
        <f>IF(OR($K248="",E248=""),"",IF(COUNTIFS($B:$B,$B248,$A:$A,$K248,E:E,"&gt;=0")=0,"",E248-SUMIFS(E:E,$B:$B,$B248,$A:$A,$K248)))</f>
        <v/>
      </c>
      <c r="N248" s="16">
        <f>IF(OR($K248="",F248=""),"",IF(COUNTIFS($B:$B,$B248,$A:$A,$K248,F:F,"&gt;=0")=0,"",F248-SUMIFS(F:F,$B:$B,$B248,$A:$A,$K248)))</f>
        <v/>
      </c>
      <c r="O248" s="16">
        <f>IF(OR($K248="",G248=""),"",IF(COUNTIFS($B:$B,$B248,$A:$A,$K248,G:G,"&gt;=0")=0,"",G248-SUMIFS(G:G,$B:$B,$B248,$A:$A,$K248)))</f>
        <v/>
      </c>
    </row>
    <row r="249">
      <c r="A249" s="15" t="n">
        <v>46307</v>
      </c>
      <c r="B249" s="5" t="inlineStr">
        <is>
          <t>Ryzen 5 7600</t>
        </is>
      </c>
      <c r="C249" s="5" t="inlineStr">
        <is>
          <t>CPU</t>
        </is>
      </c>
      <c r="D249" s="7" t="n">
        <v>144.25</v>
      </c>
      <c r="E249" s="7" t="n">
        <v>122.99</v>
      </c>
      <c r="F249" s="2" t="n"/>
      <c r="G249" s="8" t="n">
        <v>2860</v>
      </c>
      <c r="H249" s="9">
        <f>IFERROR(IF(INDEX(Dólar!$B:$B,MATCH(A249,Dólar!$A:$A,0))="","",INDEX(Dólar!$B:$B,MATCH(A249,Dólar!$A:$A,0))),"")</f>
        <v/>
      </c>
      <c r="I249" s="10">
        <f>IFERROR(INDEX(Dólar!$E:$E,MATCH(A249,Dólar!$A:$A,0)),"")</f>
        <v/>
      </c>
      <c r="J249" s="6" t="inlineStr">
        <is>
          <t>ver anuncio</t>
        </is>
      </c>
      <c r="K249" s="15" t="n">
        <v>46306</v>
      </c>
      <c r="L249" s="16">
        <f>IF(OR($K249="",D249=""),"",IF(COUNTIFS($B:$B,$B249,$A:$A,$K249,D:D,"&gt;=0")=0,"",D249-SUMIFS(D:D,$B:$B,$B249,$A:$A,$K249)))</f>
        <v/>
      </c>
      <c r="M249" s="16">
        <f>IF(OR($K249="",E249=""),"",IF(COUNTIFS($B:$B,$B249,$A:$A,$K249,E:E,"&gt;=0")=0,"",E249-SUMIFS(E:E,$B:$B,$B249,$A:$A,$K249)))</f>
        <v/>
      </c>
      <c r="N249" s="16">
        <f>IF(OR($K249="",F249=""),"",IF(COUNTIFS($B:$B,$B249,$A:$A,$K249,F:F,"&gt;=0")=0,"",F249-SUMIFS(F:F,$B:$B,$B249,$A:$A,$K249)))</f>
        <v/>
      </c>
      <c r="O249" s="16">
        <f>IF(OR($K249="",G249=""),"",IF(COUNTIFS($B:$B,$B249,$A:$A,$K249,G:G,"&gt;=0")=0,"",G249-SUMIFS(G:G,$B:$B,$B249,$A:$A,$K249)))</f>
        <v/>
      </c>
    </row>
    <row r="250">
      <c r="A250" s="15" t="n">
        <v>46307</v>
      </c>
      <c r="B250" s="5" t="inlineStr">
        <is>
          <t>Ryzen 5 5600</t>
        </is>
      </c>
      <c r="C250" s="5" t="inlineStr">
        <is>
          <t>CPU</t>
        </is>
      </c>
      <c r="D250" s="7" t="n">
        <v>138.9</v>
      </c>
      <c r="E250" s="7" t="n">
        <v>135</v>
      </c>
      <c r="F250" s="2" t="n"/>
      <c r="G250" s="2" t="n"/>
      <c r="H250" s="9">
        <f>IFERROR(IF(INDEX(Dólar!$B:$B,MATCH(A250,Dólar!$A:$A,0))="","",INDEX(Dólar!$B:$B,MATCH(A250,Dólar!$A:$A,0))),"")</f>
        <v/>
      </c>
      <c r="I250" s="10">
        <f>IFERROR(INDEX(Dólar!$E:$E,MATCH(A250,Dólar!$A:$A,0)),"")</f>
        <v/>
      </c>
      <c r="J250" s="6" t="inlineStr">
        <is>
          <t>ver anuncio</t>
        </is>
      </c>
      <c r="K250" s="5" t="n"/>
      <c r="L250" s="16">
        <f>IF(OR($K250="",D250=""),"",IF(COUNTIFS($B:$B,$B250,$A:$A,$K250,D:D,"&gt;=0")=0,"",D250-SUMIFS(D:D,$B:$B,$B250,$A:$A,$K250)))</f>
        <v/>
      </c>
      <c r="M250" s="16">
        <f>IF(OR($K250="",E250=""),"",IF(COUNTIFS($B:$B,$B250,$A:$A,$K250,E:E,"&gt;=0")=0,"",E250-SUMIFS(E:E,$B:$B,$B250,$A:$A,$K250)))</f>
        <v/>
      </c>
      <c r="N250" s="16">
        <f>IF(OR($K250="",F250=""),"",IF(COUNTIFS($B:$B,$B250,$A:$A,$K250,F:F,"&gt;=0")=0,"",F250-SUMIFS(F:F,$B:$B,$B250,$A:$A,$K250)))</f>
        <v/>
      </c>
      <c r="O250" s="16">
        <f>IF(OR($K250="",G250=""),"",IF(COUNTIFS($B:$B,$B250,$A:$A,$K250,G:G,"&gt;=0")=0,"",G250-SUMIFS(G:G,$B:$B,$B250,$A:$A,$K250)))</f>
        <v/>
      </c>
    </row>
    <row r="251">
      <c r="A251" s="15" t="n">
        <v>46307</v>
      </c>
      <c r="B251" s="5" t="inlineStr">
        <is>
          <t>RAM DDR4 16GB (2x8) 3200</t>
        </is>
      </c>
      <c r="C251" s="5" t="inlineStr">
        <is>
          <t>RAM</t>
        </is>
      </c>
      <c r="D251" s="7" t="n">
        <v>75</v>
      </c>
      <c r="E251" s="7" t="n">
        <v>59.99</v>
      </c>
      <c r="F251" s="2" t="n"/>
      <c r="G251" s="8" t="n">
        <v>2150</v>
      </c>
      <c r="H251" s="9">
        <f>IFERROR(IF(INDEX(Dólar!$B:$B,MATCH(A251,Dólar!$A:$A,0))="","",INDEX(Dólar!$B:$B,MATCH(A251,Dólar!$A:$A,0))),"")</f>
        <v/>
      </c>
      <c r="I251" s="10">
        <f>IFERROR(INDEX(Dólar!$E:$E,MATCH(A251,Dólar!$A:$A,0)),"")</f>
        <v/>
      </c>
      <c r="J251" s="6" t="inlineStr">
        <is>
          <t>ver anuncio</t>
        </is>
      </c>
      <c r="K251" s="15" t="n">
        <v>46306</v>
      </c>
      <c r="L251" s="16">
        <f>IF(OR($K251="",D251=""),"",IF(COUNTIFS($B:$B,$B251,$A:$A,$K251,D:D,"&gt;=0")=0,"",D251-SUMIFS(D:D,$B:$B,$B251,$A:$A,$K251)))</f>
        <v/>
      </c>
      <c r="M251" s="16">
        <f>IF(OR($K251="",E251=""),"",IF(COUNTIFS($B:$B,$B251,$A:$A,$K251,E:E,"&gt;=0")=0,"",E251-SUMIFS(E:E,$B:$B,$B251,$A:$A,$K251)))</f>
        <v/>
      </c>
      <c r="N251" s="16">
        <f>IF(OR($K251="",F251=""),"",IF(COUNTIFS($B:$B,$B251,$A:$A,$K251,F:F,"&gt;=0")=0,"",F251-SUMIFS(F:F,$B:$B,$B251,$A:$A,$K251)))</f>
        <v/>
      </c>
      <c r="O251" s="16">
        <f>IF(OR($K251="",G251=""),"",IF(COUNTIFS($B:$B,$B251,$A:$A,$K251,G:G,"&gt;=0")=0,"",G251-SUMIFS(G:G,$B:$B,$B251,$A:$A,$K251)))</f>
        <v/>
      </c>
    </row>
    <row r="252">
      <c r="A252" s="15" t="n">
        <v>46307</v>
      </c>
      <c r="B252" s="5" t="inlineStr">
        <is>
          <t>Intel Core i5-14400F</t>
        </is>
      </c>
      <c r="C252" s="5" t="inlineStr">
        <is>
          <t>CPU</t>
        </is>
      </c>
      <c r="D252" s="7" t="n">
        <v>164.49</v>
      </c>
      <c r="E252" s="7" t="n">
        <v>136.99</v>
      </c>
      <c r="F252" s="2" t="n"/>
      <c r="G252" s="8" t="n">
        <v>2520</v>
      </c>
      <c r="H252" s="9">
        <f>IFERROR(IF(INDEX(Dólar!$B:$B,MATCH(A252,Dólar!$A:$A,0))="","",INDEX(Dólar!$B:$B,MATCH(A252,Dólar!$A:$A,0))),"")</f>
        <v/>
      </c>
      <c r="I252" s="10">
        <f>IFERROR(INDEX(Dólar!$E:$E,MATCH(A252,Dólar!$A:$A,0)),"")</f>
        <v/>
      </c>
      <c r="J252" s="6" t="inlineStr">
        <is>
          <t>ver anuncio</t>
        </is>
      </c>
      <c r="K252" s="15" t="n">
        <v>46306</v>
      </c>
      <c r="L252" s="16">
        <f>IF(OR($K252="",D252=""),"",IF(COUNTIFS($B:$B,$B252,$A:$A,$K252,D:D,"&gt;=0")=0,"",D252-SUMIFS(D:D,$B:$B,$B252,$A:$A,$K252)))</f>
        <v/>
      </c>
      <c r="M252" s="16">
        <f>IF(OR($K252="",E252=""),"",IF(COUNTIFS($B:$B,$B252,$A:$A,$K252,E:E,"&gt;=0")=0,"",E252-SUMIFS(E:E,$B:$B,$B252,$A:$A,$K252)))</f>
        <v/>
      </c>
      <c r="N252" s="16">
        <f>IF(OR($K252="",F252=""),"",IF(COUNTIFS($B:$B,$B252,$A:$A,$K252,F:F,"&gt;=0")=0,"",F252-SUMIFS(F:F,$B:$B,$B252,$A:$A,$K252)))</f>
        <v/>
      </c>
      <c r="O252" s="16">
        <f>IF(OR($K252="",G252=""),"",IF(COUNTIFS($B:$B,$B252,$A:$A,$K252,G:G,"&gt;=0")=0,"",G252-SUMIFS(G:G,$B:$B,$B252,$A:$A,$K252)))</f>
        <v/>
      </c>
    </row>
    <row r="253">
      <c r="A253" s="15" t="n">
        <v>46307</v>
      </c>
      <c r="B253" s="5" t="inlineStr">
        <is>
          <t>Intel Core i5-13400</t>
        </is>
      </c>
      <c r="C253" s="5" t="inlineStr">
        <is>
          <t>CPU</t>
        </is>
      </c>
      <c r="D253" s="7" t="n">
        <v>259.78</v>
      </c>
      <c r="E253" s="7" t="n">
        <v>149.99</v>
      </c>
      <c r="F253" s="2" t="n"/>
      <c r="G253" s="2" t="n"/>
      <c r="H253" s="9">
        <f>IFERROR(IF(INDEX(Dólar!$B:$B,MATCH(A253,Dólar!$A:$A,0))="","",INDEX(Dólar!$B:$B,MATCH(A253,Dólar!$A:$A,0))),"")</f>
        <v/>
      </c>
      <c r="I253" s="10">
        <f>IFERROR(INDEX(Dólar!$E:$E,MATCH(A253,Dólar!$A:$A,0)),"")</f>
        <v/>
      </c>
      <c r="J253" s="6" t="inlineStr">
        <is>
          <t>ver anuncio</t>
        </is>
      </c>
      <c r="K253" s="15" t="n">
        <v>46306</v>
      </c>
      <c r="L253" s="16">
        <f>IF(OR($K253="",D253=""),"",IF(COUNTIFS($B:$B,$B253,$A:$A,$K253,D:D,"&gt;=0")=0,"",D253-SUMIFS(D:D,$B:$B,$B253,$A:$A,$K253)))</f>
        <v/>
      </c>
      <c r="M253" s="16">
        <f>IF(OR($K253="",E253=""),"",IF(COUNTIFS($B:$B,$B253,$A:$A,$K253,E:E,"&gt;=0")=0,"",E253-SUMIFS(E:E,$B:$B,$B253,$A:$A,$K253)))</f>
        <v/>
      </c>
      <c r="N253" s="16">
        <f>IF(OR($K253="",F253=""),"",IF(COUNTIFS($B:$B,$B253,$A:$A,$K253,F:F,"&gt;=0")=0,"",F253-SUMIFS(F:F,$B:$B,$B253,$A:$A,$K253)))</f>
        <v/>
      </c>
      <c r="O253" s="16">
        <f>IF(OR($K253="",G253=""),"",IF(COUNTIFS($B:$B,$B253,$A:$A,$K253,G:G,"&gt;=0")=0,"",G253-SUMIFS(G:G,$B:$B,$B253,$A:$A,$K253)))</f>
        <v/>
      </c>
    </row>
    <row r="254">
      <c r="A254" s="15" t="n">
        <v>46307</v>
      </c>
      <c r="B254" s="5" t="inlineStr">
        <is>
          <t>Intel Core i5-12400F</t>
        </is>
      </c>
      <c r="C254" s="5" t="inlineStr">
        <is>
          <t>CPU</t>
        </is>
      </c>
      <c r="D254" s="7" t="n">
        <v>150</v>
      </c>
      <c r="E254" s="7" t="n">
        <v>119.95</v>
      </c>
      <c r="F254" s="2" t="n"/>
      <c r="G254" s="8" t="n">
        <v>2460</v>
      </c>
      <c r="H254" s="9">
        <f>IFERROR(IF(INDEX(Dólar!$B:$B,MATCH(A254,Dólar!$A:$A,0))="","",INDEX(Dólar!$B:$B,MATCH(A254,Dólar!$A:$A,0))),"")</f>
        <v/>
      </c>
      <c r="I254" s="10">
        <f>IFERROR(INDEX(Dólar!$E:$E,MATCH(A254,Dólar!$A:$A,0)),"")</f>
        <v/>
      </c>
      <c r="J254" s="6" t="inlineStr">
        <is>
          <t>ver anuncio</t>
        </is>
      </c>
      <c r="K254" s="5" t="n"/>
      <c r="L254" s="16">
        <f>IF(OR($K254="",D254=""),"",IF(COUNTIFS($B:$B,$B254,$A:$A,$K254,D:D,"&gt;=0")=0,"",D254-SUMIFS(D:D,$B:$B,$B254,$A:$A,$K254)))</f>
        <v/>
      </c>
      <c r="M254" s="16">
        <f>IF(OR($K254="",E254=""),"",IF(COUNTIFS($B:$B,$B254,$A:$A,$K254,E:E,"&gt;=0")=0,"",E254-SUMIFS(E:E,$B:$B,$B254,$A:$A,$K254)))</f>
        <v/>
      </c>
      <c r="N254" s="16">
        <f>IF(OR($K254="",F254=""),"",IF(COUNTIFS($B:$B,$B254,$A:$A,$K254,F:F,"&gt;=0")=0,"",F254-SUMIFS(F:F,$B:$B,$B254,$A:$A,$K254)))</f>
        <v/>
      </c>
      <c r="O254" s="16">
        <f>IF(OR($K254="",G254=""),"",IF(COUNTIFS($B:$B,$B254,$A:$A,$K254,G:G,"&gt;=0")=0,"",G254-SUMIFS(G:G,$B:$B,$B254,$A:$A,$K254)))</f>
        <v/>
      </c>
    </row>
    <row r="255">
      <c r="A255" s="15" t="n">
        <v>46307</v>
      </c>
      <c r="B255" s="5" t="inlineStr">
        <is>
          <t>Intel Core Ultra 7 265K</t>
        </is>
      </c>
      <c r="C255" s="5" t="inlineStr">
        <is>
          <t>CPU</t>
        </is>
      </c>
      <c r="D255" s="7" t="n">
        <v>244.87</v>
      </c>
      <c r="E255" s="7" t="n">
        <v>209.99</v>
      </c>
      <c r="F255" s="2" t="n"/>
      <c r="G255" s="8" t="n">
        <v>4290</v>
      </c>
      <c r="H255" s="9">
        <f>IFERROR(IF(INDEX(Dólar!$B:$B,MATCH(A255,Dólar!$A:$A,0))="","",INDEX(Dólar!$B:$B,MATCH(A255,Dólar!$A:$A,0))),"")</f>
        <v/>
      </c>
      <c r="I255" s="10">
        <f>IFERROR(INDEX(Dólar!$E:$E,MATCH(A255,Dólar!$A:$A,0)),"")</f>
        <v/>
      </c>
      <c r="J255" s="6" t="inlineStr">
        <is>
          <t>ver anuncio</t>
        </is>
      </c>
      <c r="K255" s="15" t="n">
        <v>46306</v>
      </c>
      <c r="L255" s="16">
        <f>IF(OR($K255="",D255=""),"",IF(COUNTIFS($B:$B,$B255,$A:$A,$K255,D:D,"&gt;=0")=0,"",D255-SUMIFS(D:D,$B:$B,$B255,$A:$A,$K255)))</f>
        <v/>
      </c>
      <c r="M255" s="16">
        <f>IF(OR($K255="",E255=""),"",IF(COUNTIFS($B:$B,$B255,$A:$A,$K255,E:E,"&gt;=0")=0,"",E255-SUMIFS(E:E,$B:$B,$B255,$A:$A,$K255)))</f>
        <v/>
      </c>
      <c r="N255" s="16">
        <f>IF(OR($K255="",F255=""),"",IF(COUNTIFS($B:$B,$B255,$A:$A,$K255,F:F,"&gt;=0")=0,"",F255-SUMIFS(F:F,$B:$B,$B255,$A:$A,$K255)))</f>
        <v/>
      </c>
      <c r="O255" s="16">
        <f>IF(OR($K255="",G255=""),"",IF(COUNTIFS($B:$B,$B255,$A:$A,$K255,G:G,"&gt;=0")=0,"",G255-SUMIFS(G:G,$B:$B,$B255,$A:$A,$K255)))</f>
        <v/>
      </c>
    </row>
    <row r="256">
      <c r="A256" s="15" t="n">
        <v>46307</v>
      </c>
      <c r="B256" s="5" t="inlineStr">
        <is>
          <t>Corsair Vengeance RGB DDR5 32GB (2x16) 6000</t>
        </is>
      </c>
      <c r="C256" s="5" t="inlineStr">
        <is>
          <t>RAM</t>
        </is>
      </c>
      <c r="D256" s="7" t="n">
        <v>435.99</v>
      </c>
      <c r="E256" s="7" t="n">
        <v>399.9</v>
      </c>
      <c r="F256" s="2" t="n"/>
      <c r="G256" s="2" t="n"/>
      <c r="H256" s="9">
        <f>IFERROR(IF(INDEX(Dólar!$B:$B,MATCH(A256,Dólar!$A:$A,0))="","",INDEX(Dólar!$B:$B,MATCH(A256,Dólar!$A:$A,0))),"")</f>
        <v/>
      </c>
      <c r="I256" s="10">
        <f>IFERROR(INDEX(Dólar!$E:$E,MATCH(A256,Dólar!$A:$A,0)),"")</f>
        <v/>
      </c>
      <c r="J256" s="6" t="inlineStr">
        <is>
          <t>ver anuncio</t>
        </is>
      </c>
      <c r="K256" s="15" t="n">
        <v>46306</v>
      </c>
      <c r="L256" s="16">
        <f>IF(OR($K256="",D256=""),"",IF(COUNTIFS($B:$B,$B256,$A:$A,$K256,D:D,"&gt;=0")=0,"",D256-SUMIFS(D:D,$B:$B,$B256,$A:$A,$K256)))</f>
        <v/>
      </c>
      <c r="M256" s="16">
        <f>IF(OR($K256="",E256=""),"",IF(COUNTIFS($B:$B,$B256,$A:$A,$K256,E:E,"&gt;=0")=0,"",E256-SUMIFS(E:E,$B:$B,$B256,$A:$A,$K256)))</f>
        <v/>
      </c>
      <c r="N256" s="16">
        <f>IF(OR($K256="",F256=""),"",IF(COUNTIFS($B:$B,$B256,$A:$A,$K256,F:F,"&gt;=0")=0,"",F256-SUMIFS(F:F,$B:$B,$B256,$A:$A,$K256)))</f>
        <v/>
      </c>
      <c r="O256" s="16">
        <f>IF(OR($K256="",G256=""),"",IF(COUNTIFS($B:$B,$B256,$A:$A,$K256,G:G,"&gt;=0")=0,"",G256-SUMIFS(G:G,$B:$B,$B256,$A:$A,$K256)))</f>
        <v/>
      </c>
    </row>
    <row r="257">
      <c r="A257" s="15" t="n">
        <v>46307</v>
      </c>
      <c r="B257" s="5" t="inlineStr">
        <is>
          <t>Corsair Vengeance RGB DDR5 32GB (2x16) 5600</t>
        </is>
      </c>
      <c r="C257" s="5" t="inlineStr">
        <is>
          <t>RAM</t>
        </is>
      </c>
      <c r="D257" s="7" t="n">
        <v>493</v>
      </c>
      <c r="E257" s="7" t="n">
        <v>399.99</v>
      </c>
      <c r="F257" s="8" t="n">
        <v>4500</v>
      </c>
      <c r="G257" s="2" t="n"/>
      <c r="H257" s="9">
        <f>IFERROR(IF(INDEX(Dólar!$B:$B,MATCH(A257,Dólar!$A:$A,0))="","",INDEX(Dólar!$B:$B,MATCH(A257,Dólar!$A:$A,0))),"")</f>
        <v/>
      </c>
      <c r="I257" s="10">
        <f>IFERROR(INDEX(Dólar!$E:$E,MATCH(A257,Dólar!$A:$A,0)),"")</f>
        <v/>
      </c>
      <c r="J257" s="6" t="inlineStr">
        <is>
          <t>ver anuncio</t>
        </is>
      </c>
      <c r="K257" s="5" t="n"/>
      <c r="L257" s="16">
        <f>IF(OR($K257="",D257=""),"",IF(COUNTIFS($B:$B,$B257,$A:$A,$K257,D:D,"&gt;=0")=0,"",D257-SUMIFS(D:D,$B:$B,$B257,$A:$A,$K257)))</f>
        <v/>
      </c>
      <c r="M257" s="16">
        <f>IF(OR($K257="",E257=""),"",IF(COUNTIFS($B:$B,$B257,$A:$A,$K257,E:E,"&gt;=0")=0,"",E257-SUMIFS(E:E,$B:$B,$B257,$A:$A,$K257)))</f>
        <v/>
      </c>
      <c r="N257" s="16">
        <f>IF(OR($K257="",F257=""),"",IF(COUNTIFS($B:$B,$B257,$A:$A,$K257,F:F,"&gt;=0")=0,"",F257-SUMIFS(F:F,$B:$B,$B257,$A:$A,$K257)))</f>
        <v/>
      </c>
      <c r="O257" s="16">
        <f>IF(OR($K257="",G257=""),"",IF(COUNTIFS($B:$B,$B257,$A:$A,$K257,G:G,"&gt;=0")=0,"",G257-SUMIFS(G:G,$B:$B,$B257,$A:$A,$K257)))</f>
        <v/>
      </c>
    </row>
    <row r="258">
      <c r="A258" s="15" t="n">
        <v>46306</v>
      </c>
      <c r="B258" s="5" t="inlineStr">
        <is>
          <t>SSD NVMe 2TB</t>
        </is>
      </c>
      <c r="C258" s="5" t="inlineStr">
        <is>
          <t>SSD</t>
        </is>
      </c>
      <c r="D258" s="2" t="n"/>
      <c r="E258" s="2" t="n"/>
      <c r="F258" s="2" t="n"/>
      <c r="G258" s="2" t="n"/>
      <c r="H258" s="9">
        <f>IFERROR(IF(INDEX(Dólar!$B:$B,MATCH(A258,Dólar!$A:$A,0))="","",INDEX(Dólar!$B:$B,MATCH(A258,Dólar!$A:$A,0))),"")</f>
        <v/>
      </c>
      <c r="I258" s="10">
        <f>IFERROR(INDEX(Dólar!$E:$E,MATCH(A258,Dólar!$A:$A,0)),"")</f>
        <v/>
      </c>
      <c r="J258" s="2" t="n"/>
      <c r="K258" s="5" t="n"/>
      <c r="L258" s="16">
        <f>IF(OR($K258="",D258=""),"",IF(COUNTIFS($B:$B,$B258,$A:$A,$K258,D:D,"&gt;=0")=0,"",D258-SUMIFS(D:D,$B:$B,$B258,$A:$A,$K258)))</f>
        <v/>
      </c>
      <c r="M258" s="16">
        <f>IF(OR($K258="",E258=""),"",IF(COUNTIFS($B:$B,$B258,$A:$A,$K258,E:E,"&gt;=0")=0,"",E258-SUMIFS(E:E,$B:$B,$B258,$A:$A,$K258)))</f>
        <v/>
      </c>
      <c r="N258" s="16">
        <f>IF(OR($K258="",F258=""),"",IF(COUNTIFS($B:$B,$B258,$A:$A,$K258,F:F,"&gt;=0")=0,"",F258-SUMIFS(F:F,$B:$B,$B258,$A:$A,$K258)))</f>
        <v/>
      </c>
      <c r="O258" s="16">
        <f>IF(OR($K258="",G258=""),"",IF(COUNTIFS($B:$B,$B258,$A:$A,$K258,G:G,"&gt;=0")=0,"",G258-SUMIFS(G:G,$B:$B,$B258,$A:$A,$K258)))</f>
        <v/>
      </c>
    </row>
    <row r="259">
      <c r="A259" s="15" t="n">
        <v>46306</v>
      </c>
      <c r="B259" s="5" t="inlineStr">
        <is>
          <t>SSD NVMe 1TB</t>
        </is>
      </c>
      <c r="C259" s="5" t="inlineStr">
        <is>
          <t>SSD</t>
        </is>
      </c>
      <c r="D259" s="2" t="n"/>
      <c r="E259" s="2" t="n"/>
      <c r="F259" s="8" t="n">
        <v>1800</v>
      </c>
      <c r="G259" s="2" t="n"/>
      <c r="H259" s="9">
        <f>IFERROR(IF(INDEX(Dólar!$B:$B,MATCH(A259,Dólar!$A:$A,0))="","",INDEX(Dólar!$B:$B,MATCH(A259,Dólar!$A:$A,0))),"")</f>
        <v/>
      </c>
      <c r="I259" s="10">
        <f>IFERROR(INDEX(Dólar!$E:$E,MATCH(A259,Dólar!$A:$A,0)),"")</f>
        <v/>
      </c>
      <c r="J259" s="6" t="inlineStr">
        <is>
          <t>ver anuncio</t>
        </is>
      </c>
      <c r="K259" s="5" t="n"/>
      <c r="L259" s="16">
        <f>IF(OR($K259="",D259=""),"",IF(COUNTIFS($B:$B,$B259,$A:$A,$K259,D:D,"&gt;=0")=0,"",D259-SUMIFS(D:D,$B:$B,$B259,$A:$A,$K259)))</f>
        <v/>
      </c>
      <c r="M259" s="16">
        <f>IF(OR($K259="",E259=""),"",IF(COUNTIFS($B:$B,$B259,$A:$A,$K259,E:E,"&gt;=0")=0,"",E259-SUMIFS(E:E,$B:$B,$B259,$A:$A,$K259)))</f>
        <v/>
      </c>
      <c r="N259" s="16">
        <f>IF(OR($K259="",F259=""),"",IF(COUNTIFS($B:$B,$B259,$A:$A,$K259,F:F,"&gt;=0")=0,"",F259-SUMIFS(F:F,$B:$B,$B259,$A:$A,$K259)))</f>
        <v/>
      </c>
      <c r="O259" s="16">
        <f>IF(OR($K259="",G259=""),"",IF(COUNTIFS($B:$B,$B259,$A:$A,$K259,G:G,"&gt;=0")=0,"",G259-SUMIFS(G:G,$B:$B,$B259,$A:$A,$K259)))</f>
        <v/>
      </c>
    </row>
    <row r="260">
      <c r="A260" s="15" t="n">
        <v>46306</v>
      </c>
      <c r="B260" s="5" t="inlineStr">
        <is>
          <t>Ryzen 9 9950X</t>
        </is>
      </c>
      <c r="C260" s="5" t="inlineStr">
        <is>
          <t>CPU</t>
        </is>
      </c>
      <c r="D260" s="2" t="n"/>
      <c r="E260" s="2" t="n"/>
      <c r="F260" s="2" t="n"/>
      <c r="G260" s="8" t="n">
        <v>5580</v>
      </c>
      <c r="H260" s="9">
        <f>IFERROR(IF(INDEX(Dólar!$B:$B,MATCH(A260,Dólar!$A:$A,0))="","",INDEX(Dólar!$B:$B,MATCH(A260,Dólar!$A:$A,0))),"")</f>
        <v/>
      </c>
      <c r="I260" s="10">
        <f>IFERROR(INDEX(Dólar!$E:$E,MATCH(A260,Dólar!$A:$A,0)),"")</f>
        <v/>
      </c>
      <c r="J260" s="6" t="inlineStr">
        <is>
          <t>ver anuncio</t>
        </is>
      </c>
      <c r="K260" s="5" t="n"/>
      <c r="L260" s="16">
        <f>IF(OR($K260="",D260=""),"",IF(COUNTIFS($B:$B,$B260,$A:$A,$K260,D:D,"&gt;=0")=0,"",D260-SUMIFS(D:D,$B:$B,$B260,$A:$A,$K260)))</f>
        <v/>
      </c>
      <c r="M260" s="16">
        <f>IF(OR($K260="",E260=""),"",IF(COUNTIFS($B:$B,$B260,$A:$A,$K260,E:E,"&gt;=0")=0,"",E260-SUMIFS(E:E,$B:$B,$B260,$A:$A,$K260)))</f>
        <v/>
      </c>
      <c r="N260" s="16">
        <f>IF(OR($K260="",F260=""),"",IF(COUNTIFS($B:$B,$B260,$A:$A,$K260,F:F,"&gt;=0")=0,"",F260-SUMIFS(F:F,$B:$B,$B260,$A:$A,$K260)))</f>
        <v/>
      </c>
      <c r="O260" s="16">
        <f>IF(OR($K260="",G260=""),"",IF(COUNTIFS($B:$B,$B260,$A:$A,$K260,G:G,"&gt;=0")=0,"",G260-SUMIFS(G:G,$B:$B,$B260,$A:$A,$K260)))</f>
        <v/>
      </c>
    </row>
    <row r="261">
      <c r="A261" s="15" t="n">
        <v>46306</v>
      </c>
      <c r="B261" s="5" t="inlineStr">
        <is>
          <t>Ryzen 7 7800X3D</t>
        </is>
      </c>
      <c r="C261" s="5" t="inlineStr">
        <is>
          <t>CPU</t>
        </is>
      </c>
      <c r="D261" s="2" t="n"/>
      <c r="E261" s="2" t="n"/>
      <c r="F261" s="8" t="n">
        <v>4800</v>
      </c>
      <c r="G261" s="2" t="n"/>
      <c r="H261" s="9">
        <f>IFERROR(IF(INDEX(Dólar!$B:$B,MATCH(A261,Dólar!$A:$A,0))="","",INDEX(Dólar!$B:$B,MATCH(A261,Dólar!$A:$A,0))),"")</f>
        <v/>
      </c>
      <c r="I261" s="10">
        <f>IFERROR(INDEX(Dólar!$E:$E,MATCH(A261,Dólar!$A:$A,0)),"")</f>
        <v/>
      </c>
      <c r="J261" s="6" t="inlineStr">
        <is>
          <t>ver anuncio</t>
        </is>
      </c>
      <c r="K261" s="5" t="n"/>
      <c r="L261" s="16">
        <f>IF(OR($K261="",D261=""),"",IF(COUNTIFS($B:$B,$B261,$A:$A,$K261,D:D,"&gt;=0")=0,"",D261-SUMIFS(D:D,$B:$B,$B261,$A:$A,$K261)))</f>
        <v/>
      </c>
      <c r="M261" s="16">
        <f>IF(OR($K261="",E261=""),"",IF(COUNTIFS($B:$B,$B261,$A:$A,$K261,E:E,"&gt;=0")=0,"",E261-SUMIFS(E:E,$B:$B,$B261,$A:$A,$K261)))</f>
        <v/>
      </c>
      <c r="N261" s="16">
        <f>IF(OR($K261="",F261=""),"",IF(COUNTIFS($B:$B,$B261,$A:$A,$K261,F:F,"&gt;=0")=0,"",F261-SUMIFS(F:F,$B:$B,$B261,$A:$A,$K261)))</f>
        <v/>
      </c>
      <c r="O261" s="16">
        <f>IF(OR($K261="",G261=""),"",IF(COUNTIFS($B:$B,$B261,$A:$A,$K261,G:G,"&gt;=0")=0,"",G261-SUMIFS(G:G,$B:$B,$B261,$A:$A,$K261)))</f>
        <v/>
      </c>
    </row>
    <row r="262">
      <c r="A262" s="15" t="n">
        <v>46306</v>
      </c>
      <c r="B262" s="5" t="inlineStr">
        <is>
          <t>Ryzen 5 7600</t>
        </is>
      </c>
      <c r="C262" s="5" t="inlineStr">
        <is>
          <t>CPU</t>
        </is>
      </c>
      <c r="D262" s="2" t="n"/>
      <c r="E262" s="2" t="n"/>
      <c r="F262" s="2" t="n"/>
      <c r="G262" s="2" t="n"/>
      <c r="H262" s="9">
        <f>IFERROR(IF(INDEX(Dólar!$B:$B,MATCH(A262,Dólar!$A:$A,0))="","",INDEX(Dólar!$B:$B,MATCH(A262,Dólar!$A:$A,0))),"")</f>
        <v/>
      </c>
      <c r="I262" s="10">
        <f>IFERROR(INDEX(Dólar!$E:$E,MATCH(A262,Dólar!$A:$A,0)),"")</f>
        <v/>
      </c>
      <c r="J262" s="2" t="n"/>
      <c r="K262" s="5" t="n"/>
      <c r="L262" s="16">
        <f>IF(OR($K262="",D262=""),"",IF(COUNTIFS($B:$B,$B262,$A:$A,$K262,D:D,"&gt;=0")=0,"",D262-SUMIFS(D:D,$B:$B,$B262,$A:$A,$K262)))</f>
        <v/>
      </c>
      <c r="M262" s="16">
        <f>IF(OR($K262="",E262=""),"",IF(COUNTIFS($B:$B,$B262,$A:$A,$K262,E:E,"&gt;=0")=0,"",E262-SUMIFS(E:E,$B:$B,$B262,$A:$A,$K262)))</f>
        <v/>
      </c>
      <c r="N262" s="16">
        <f>IF(OR($K262="",F262=""),"",IF(COUNTIFS($B:$B,$B262,$A:$A,$K262,F:F,"&gt;=0")=0,"",F262-SUMIFS(F:F,$B:$B,$B262,$A:$A,$K262)))</f>
        <v/>
      </c>
      <c r="O262" s="16">
        <f>IF(OR($K262="",G262=""),"",IF(COUNTIFS($B:$B,$B262,$A:$A,$K262,G:G,"&gt;=0")=0,"",G262-SUMIFS(G:G,$B:$B,$B262,$A:$A,$K262)))</f>
        <v/>
      </c>
    </row>
    <row r="263">
      <c r="A263" s="15" t="n">
        <v>46306</v>
      </c>
      <c r="B263" s="5" t="inlineStr">
        <is>
          <t>RAM DDR4 16GB (2x8) 3200</t>
        </is>
      </c>
      <c r="C263" s="5" t="inlineStr">
        <is>
          <t>RAM</t>
        </is>
      </c>
      <c r="D263" s="2" t="n"/>
      <c r="E263" s="2" t="n"/>
      <c r="F263" s="8" t="n">
        <v>900</v>
      </c>
      <c r="G263" s="2" t="n"/>
      <c r="H263" s="9">
        <f>IFERROR(IF(INDEX(Dólar!$B:$B,MATCH(A263,Dólar!$A:$A,0))="","",INDEX(Dólar!$B:$B,MATCH(A263,Dólar!$A:$A,0))),"")</f>
        <v/>
      </c>
      <c r="I263" s="10">
        <f>IFERROR(INDEX(Dólar!$E:$E,MATCH(A263,Dólar!$A:$A,0)),"")</f>
        <v/>
      </c>
      <c r="J263" s="6" t="inlineStr">
        <is>
          <t>ver anuncio</t>
        </is>
      </c>
      <c r="K263" s="5" t="n"/>
      <c r="L263" s="16">
        <f>IF(OR($K263="",D263=""),"",IF(COUNTIFS($B:$B,$B263,$A:$A,$K263,D:D,"&gt;=0")=0,"",D263-SUMIFS(D:D,$B:$B,$B263,$A:$A,$K263)))</f>
        <v/>
      </c>
      <c r="M263" s="16">
        <f>IF(OR($K263="",E263=""),"",IF(COUNTIFS($B:$B,$B263,$A:$A,$K263,E:E,"&gt;=0")=0,"",E263-SUMIFS(E:E,$B:$B,$B263,$A:$A,$K263)))</f>
        <v/>
      </c>
      <c r="N263" s="16">
        <f>IF(OR($K263="",F263=""),"",IF(COUNTIFS($B:$B,$B263,$A:$A,$K263,F:F,"&gt;=0")=0,"",F263-SUMIFS(F:F,$B:$B,$B263,$A:$A,$K263)))</f>
        <v/>
      </c>
      <c r="O263" s="16">
        <f>IF(OR($K263="",G263=""),"",IF(COUNTIFS($B:$B,$B263,$A:$A,$K263,G:G,"&gt;=0")=0,"",G263-SUMIFS(G:G,$B:$B,$B263,$A:$A,$K263)))</f>
        <v/>
      </c>
    </row>
    <row r="264">
      <c r="A264" s="15" t="n">
        <v>46306</v>
      </c>
      <c r="B264" s="5" t="inlineStr">
        <is>
          <t>Intel Core i5-14400F</t>
        </is>
      </c>
      <c r="C264" s="5" t="inlineStr">
        <is>
          <t>CPU</t>
        </is>
      </c>
      <c r="D264" s="2" t="n"/>
      <c r="E264" s="2" t="n"/>
      <c r="F264" s="2" t="n"/>
      <c r="G264" s="2" t="n"/>
      <c r="H264" s="9">
        <f>IFERROR(IF(INDEX(Dólar!$B:$B,MATCH(A264,Dólar!$A:$A,0))="","",INDEX(Dólar!$B:$B,MATCH(A264,Dólar!$A:$A,0))),"")</f>
        <v/>
      </c>
      <c r="I264" s="10">
        <f>IFERROR(INDEX(Dólar!$E:$E,MATCH(A264,Dólar!$A:$A,0)),"")</f>
        <v/>
      </c>
      <c r="J264" s="2" t="n"/>
      <c r="K264" s="5" t="n"/>
      <c r="L264" s="16">
        <f>IF(OR($K264="",D264=""),"",IF(COUNTIFS($B:$B,$B264,$A:$A,$K264,D:D,"&gt;=0")=0,"",D264-SUMIFS(D:D,$B:$B,$B264,$A:$A,$K264)))</f>
        <v/>
      </c>
      <c r="M264" s="16">
        <f>IF(OR($K264="",E264=""),"",IF(COUNTIFS($B:$B,$B264,$A:$A,$K264,E:E,"&gt;=0")=0,"",E264-SUMIFS(E:E,$B:$B,$B264,$A:$A,$K264)))</f>
        <v/>
      </c>
      <c r="N264" s="16">
        <f>IF(OR($K264="",F264=""),"",IF(COUNTIFS($B:$B,$B264,$A:$A,$K264,F:F,"&gt;=0")=0,"",F264-SUMIFS(F:F,$B:$B,$B264,$A:$A,$K264)))</f>
        <v/>
      </c>
      <c r="O264" s="16">
        <f>IF(OR($K264="",G264=""),"",IF(COUNTIFS($B:$B,$B264,$A:$A,$K264,G:G,"&gt;=0")=0,"",G264-SUMIFS(G:G,$B:$B,$B264,$A:$A,$K264)))</f>
        <v/>
      </c>
    </row>
    <row r="265">
      <c r="A265" s="15" t="n">
        <v>46306</v>
      </c>
      <c r="B265" s="5" t="inlineStr">
        <is>
          <t>Intel Core i5-13400</t>
        </is>
      </c>
      <c r="C265" s="5" t="inlineStr">
        <is>
          <t>CPU</t>
        </is>
      </c>
      <c r="D265" s="2" t="n"/>
      <c r="E265" s="2" t="n"/>
      <c r="F265" s="2" t="n"/>
      <c r="G265" s="8" t="n">
        <v>2300</v>
      </c>
      <c r="H265" s="9">
        <f>IFERROR(IF(INDEX(Dólar!$B:$B,MATCH(A265,Dólar!$A:$A,0))="","",INDEX(Dólar!$B:$B,MATCH(A265,Dólar!$A:$A,0))),"")</f>
        <v/>
      </c>
      <c r="I265" s="10">
        <f>IFERROR(INDEX(Dólar!$E:$E,MATCH(A265,Dólar!$A:$A,0)),"")</f>
        <v/>
      </c>
      <c r="J265" s="6" t="inlineStr">
        <is>
          <t>ver anuncio</t>
        </is>
      </c>
      <c r="K265" s="5" t="n"/>
      <c r="L265" s="16">
        <f>IF(OR($K265="",D265=""),"",IF(COUNTIFS($B:$B,$B265,$A:$A,$K265,D:D,"&gt;=0")=0,"",D265-SUMIFS(D:D,$B:$B,$B265,$A:$A,$K265)))</f>
        <v/>
      </c>
      <c r="M265" s="16">
        <f>IF(OR($K265="",E265=""),"",IF(COUNTIFS($B:$B,$B265,$A:$A,$K265,E:E,"&gt;=0")=0,"",E265-SUMIFS(E:E,$B:$B,$B265,$A:$A,$K265)))</f>
        <v/>
      </c>
      <c r="N265" s="16">
        <f>IF(OR($K265="",F265=""),"",IF(COUNTIFS($B:$B,$B265,$A:$A,$K265,F:F,"&gt;=0")=0,"",F265-SUMIFS(F:F,$B:$B,$B265,$A:$A,$K265)))</f>
        <v/>
      </c>
      <c r="O265" s="16">
        <f>IF(OR($K265="",G265=""),"",IF(COUNTIFS($B:$B,$B265,$A:$A,$K265,G:G,"&gt;=0")=0,"",G265-SUMIFS(G:G,$B:$B,$B265,$A:$A,$K265)))</f>
        <v/>
      </c>
    </row>
    <row r="266">
      <c r="A266" s="15" t="n">
        <v>46306</v>
      </c>
      <c r="B266" s="5" t="inlineStr">
        <is>
          <t>Intel Core Ultra 7 265K</t>
        </is>
      </c>
      <c r="C266" s="5" t="inlineStr">
        <is>
          <t>CPU</t>
        </is>
      </c>
      <c r="D266" s="2" t="n"/>
      <c r="E266" s="2" t="n"/>
      <c r="F266" s="2" t="n"/>
      <c r="G266" s="8" t="n">
        <v>3950</v>
      </c>
      <c r="H266" s="9">
        <f>IFERROR(IF(INDEX(Dólar!$B:$B,MATCH(A266,Dólar!$A:$A,0))="","",INDEX(Dólar!$B:$B,MATCH(A266,Dólar!$A:$A,0))),"")</f>
        <v/>
      </c>
      <c r="I266" s="10">
        <f>IFERROR(INDEX(Dólar!$E:$E,MATCH(A266,Dólar!$A:$A,0)),"")</f>
        <v/>
      </c>
      <c r="J266" s="6" t="inlineStr">
        <is>
          <t>ver anuncio</t>
        </is>
      </c>
      <c r="K266" s="5" t="n"/>
      <c r="L266" s="16">
        <f>IF(OR($K266="",D266=""),"",IF(COUNTIFS($B:$B,$B266,$A:$A,$K266,D:D,"&gt;=0")=0,"",D266-SUMIFS(D:D,$B:$B,$B266,$A:$A,$K266)))</f>
        <v/>
      </c>
      <c r="M266" s="16">
        <f>IF(OR($K266="",E266=""),"",IF(COUNTIFS($B:$B,$B266,$A:$A,$K266,E:E,"&gt;=0")=0,"",E266-SUMIFS(E:E,$B:$B,$B266,$A:$A,$K266)))</f>
        <v/>
      </c>
      <c r="N266" s="16">
        <f>IF(OR($K266="",F266=""),"",IF(COUNTIFS($B:$B,$B266,$A:$A,$K266,F:F,"&gt;=0")=0,"",F266-SUMIFS(F:F,$B:$B,$B266,$A:$A,$K266)))</f>
        <v/>
      </c>
      <c r="O266" s="16">
        <f>IF(OR($K266="",G266=""),"",IF(COUNTIFS($B:$B,$B266,$A:$A,$K266,G:G,"&gt;=0")=0,"",G266-SUMIFS(G:G,$B:$B,$B266,$A:$A,$K266)))</f>
        <v/>
      </c>
    </row>
    <row r="267">
      <c r="A267" s="15" t="n">
        <v>46306</v>
      </c>
      <c r="B267" s="5" t="inlineStr">
        <is>
          <t>Corsair Vengeance RGB DDR5 32GB (2x16) 6000</t>
        </is>
      </c>
      <c r="C267" s="5" t="inlineStr">
        <is>
          <t>RAM</t>
        </is>
      </c>
      <c r="D267" s="2" t="n"/>
      <c r="E267" s="2" t="n"/>
      <c r="F267" s="8" t="n">
        <v>6200</v>
      </c>
      <c r="G267" s="2" t="n"/>
      <c r="H267" s="9">
        <f>IFERROR(IF(INDEX(Dólar!$B:$B,MATCH(A267,Dólar!$A:$A,0))="","",INDEX(Dólar!$B:$B,MATCH(A267,Dólar!$A:$A,0))),"")</f>
        <v/>
      </c>
      <c r="I267" s="10">
        <f>IFERROR(INDEX(Dólar!$E:$E,MATCH(A267,Dólar!$A:$A,0)),"")</f>
        <v/>
      </c>
      <c r="J267" s="6" t="inlineStr">
        <is>
          <t>ver anuncio</t>
        </is>
      </c>
      <c r="K267" s="5" t="n"/>
      <c r="L267" s="16">
        <f>IF(OR($K267="",D267=""),"",IF(COUNTIFS($B:$B,$B267,$A:$A,$K267,D:D,"&gt;=0")=0,"",D267-SUMIFS(D:D,$B:$B,$B267,$A:$A,$K267)))</f>
        <v/>
      </c>
      <c r="M267" s="16">
        <f>IF(OR($K267="",E267=""),"",IF(COUNTIFS($B:$B,$B267,$A:$A,$K267,E:E,"&gt;=0")=0,"",E267-SUMIFS(E:E,$B:$B,$B267,$A:$A,$K267)))</f>
        <v/>
      </c>
      <c r="N267" s="16">
        <f>IF(OR($K267="",F267=""),"",IF(COUNTIFS($B:$B,$B267,$A:$A,$K267,F:F,"&gt;=0")=0,"",F267-SUMIFS(F:F,$B:$B,$B267,$A:$A,$K267)))</f>
        <v/>
      </c>
      <c r="O267" s="16">
        <f>IF(OR($K267="",G267=""),"",IF(COUNTIFS($B:$B,$B267,$A:$A,$K267,G:G,"&gt;=0")=0,"",G267-SUMIFS(G:G,$B:$B,$B267,$A:$A,$K267)))</f>
        <v/>
      </c>
    </row>
  </sheetData>
  <conditionalFormatting sqref="L2:M26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6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6" r:id="rId204"/>
    <hyperlink xmlns:r="http://schemas.openxmlformats.org/officeDocument/2006/relationships" ref="J207" r:id="rId205"/>
    <hyperlink xmlns:r="http://schemas.openxmlformats.org/officeDocument/2006/relationships" ref="J208" r:id="rId206"/>
    <hyperlink xmlns:r="http://schemas.openxmlformats.org/officeDocument/2006/relationships" ref="J209" r:id="rId207"/>
    <hyperlink xmlns:r="http://schemas.openxmlformats.org/officeDocument/2006/relationships" ref="J210" r:id="rId208"/>
    <hyperlink xmlns:r="http://schemas.openxmlformats.org/officeDocument/2006/relationships" ref="J211" r:id="rId209"/>
    <hyperlink xmlns:r="http://schemas.openxmlformats.org/officeDocument/2006/relationships" ref="J212" r:id="rId210"/>
    <hyperlink xmlns:r="http://schemas.openxmlformats.org/officeDocument/2006/relationships" ref="J213" r:id="rId211"/>
    <hyperlink xmlns:r="http://schemas.openxmlformats.org/officeDocument/2006/relationships" ref="J214" r:id="rId212"/>
    <hyperlink xmlns:r="http://schemas.openxmlformats.org/officeDocument/2006/relationships" ref="J215" r:id="rId213"/>
    <hyperlink xmlns:r="http://schemas.openxmlformats.org/officeDocument/2006/relationships" ref="J216" r:id="rId214"/>
    <hyperlink xmlns:r="http://schemas.openxmlformats.org/officeDocument/2006/relationships" ref="J217" r:id="rId215"/>
    <hyperlink xmlns:r="http://schemas.openxmlformats.org/officeDocument/2006/relationships" ref="J218" r:id="rId216"/>
    <hyperlink xmlns:r="http://schemas.openxmlformats.org/officeDocument/2006/relationships" ref="J219" r:id="rId217"/>
    <hyperlink xmlns:r="http://schemas.openxmlformats.org/officeDocument/2006/relationships" ref="J220" r:id="rId218"/>
    <hyperlink xmlns:r="http://schemas.openxmlformats.org/officeDocument/2006/relationships" ref="J221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6" r:id="rId224"/>
    <hyperlink xmlns:r="http://schemas.openxmlformats.org/officeDocument/2006/relationships" ref="J227" r:id="rId225"/>
    <hyperlink xmlns:r="http://schemas.openxmlformats.org/officeDocument/2006/relationships" ref="J228" r:id="rId226"/>
    <hyperlink xmlns:r="http://schemas.openxmlformats.org/officeDocument/2006/relationships" ref="J229" r:id="rId227"/>
    <hyperlink xmlns:r="http://schemas.openxmlformats.org/officeDocument/2006/relationships" ref="J230" r:id="rId228"/>
    <hyperlink xmlns:r="http://schemas.openxmlformats.org/officeDocument/2006/relationships" ref="J231" r:id="rId229"/>
    <hyperlink xmlns:r="http://schemas.openxmlformats.org/officeDocument/2006/relationships" ref="J232" r:id="rId230"/>
    <hyperlink xmlns:r="http://schemas.openxmlformats.org/officeDocument/2006/relationships" ref="J233" r:id="rId231"/>
    <hyperlink xmlns:r="http://schemas.openxmlformats.org/officeDocument/2006/relationships" ref="J234" r:id="rId232"/>
    <hyperlink xmlns:r="http://schemas.openxmlformats.org/officeDocument/2006/relationships" ref="J235" r:id="rId233"/>
    <hyperlink xmlns:r="http://schemas.openxmlformats.org/officeDocument/2006/relationships" ref="J236" r:id="rId234"/>
    <hyperlink xmlns:r="http://schemas.openxmlformats.org/officeDocument/2006/relationships" ref="J237" r:id="rId235"/>
    <hyperlink xmlns:r="http://schemas.openxmlformats.org/officeDocument/2006/relationships" ref="J238" r:id="rId236"/>
    <hyperlink xmlns:r="http://schemas.openxmlformats.org/officeDocument/2006/relationships" ref="J239" r:id="rId237"/>
    <hyperlink xmlns:r="http://schemas.openxmlformats.org/officeDocument/2006/relationships" ref="J240" r:id="rId238"/>
    <hyperlink xmlns:r="http://schemas.openxmlformats.org/officeDocument/2006/relationships" ref="J241" r:id="rId239"/>
    <hyperlink xmlns:r="http://schemas.openxmlformats.org/officeDocument/2006/relationships" ref="J242" r:id="rId240"/>
    <hyperlink xmlns:r="http://schemas.openxmlformats.org/officeDocument/2006/relationships" ref="J243" r:id="rId241"/>
    <hyperlink xmlns:r="http://schemas.openxmlformats.org/officeDocument/2006/relationships" ref="J244" r:id="rId242"/>
    <hyperlink xmlns:r="http://schemas.openxmlformats.org/officeDocument/2006/relationships" ref="J245" r:id="rId243"/>
    <hyperlink xmlns:r="http://schemas.openxmlformats.org/officeDocument/2006/relationships" ref="J246" r:id="rId244"/>
    <hyperlink xmlns:r="http://schemas.openxmlformats.org/officeDocument/2006/relationships" ref="J247" r:id="rId245"/>
    <hyperlink xmlns:r="http://schemas.openxmlformats.org/officeDocument/2006/relationships" ref="J248" r:id="rId246"/>
    <hyperlink xmlns:r="http://schemas.openxmlformats.org/officeDocument/2006/relationships" ref="J249" r:id="rId247"/>
    <hyperlink xmlns:r="http://schemas.openxmlformats.org/officeDocument/2006/relationships" ref="J250" r:id="rId248"/>
    <hyperlink xmlns:r="http://schemas.openxmlformats.org/officeDocument/2006/relationships" ref="J251" r:id="rId249"/>
    <hyperlink xmlns:r="http://schemas.openxmlformats.org/officeDocument/2006/relationships" ref="J252" r:id="rId250"/>
    <hyperlink xmlns:r="http://schemas.openxmlformats.org/officeDocument/2006/relationships" ref="J253" r:id="rId251"/>
    <hyperlink xmlns:r="http://schemas.openxmlformats.org/officeDocument/2006/relationships" ref="J254" r:id="rId252"/>
    <hyperlink xmlns:r="http://schemas.openxmlformats.org/officeDocument/2006/relationships" ref="J255" r:id="rId253"/>
    <hyperlink xmlns:r="http://schemas.openxmlformats.org/officeDocument/2006/relationships" ref="J256" r:id="rId254"/>
    <hyperlink xmlns:r="http://schemas.openxmlformats.org/officeDocument/2006/relationships" ref="J257" r:id="rId255"/>
    <hyperlink xmlns:r="http://schemas.openxmlformats.org/officeDocument/2006/relationships" ref="J259" r:id="rId256"/>
    <hyperlink xmlns:r="http://schemas.openxmlformats.org/officeDocument/2006/relationships" ref="J260" r:id="rId257"/>
    <hyperlink xmlns:r="http://schemas.openxmlformats.org/officeDocument/2006/relationships" ref="J261" r:id="rId258"/>
    <hyperlink xmlns:r="http://schemas.openxmlformats.org/officeDocument/2006/relationships" ref="J263" r:id="rId259"/>
    <hyperlink xmlns:r="http://schemas.openxmlformats.org/officeDocument/2006/relationships" ref="J265" r:id="rId260"/>
    <hyperlink xmlns:r="http://schemas.openxmlformats.org/officeDocument/2006/relationships" ref="J266" r:id="rId261"/>
    <hyperlink xmlns:r="http://schemas.openxmlformats.org/officeDocument/2006/relationships" ref="J267" r:id="rId262"/>
  </hyperlinks>
  <pageMargins left="0.75" right="0.75" top="1" bottom="1" header="0.5" footer="0.5"/>
  <tableParts count="1">
    <tablePart xmlns:r="http://schemas.openxmlformats.org/officeDocument/2006/relationships" r:id="rId26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  <row r="19">
      <c r="A19" s="24" t="n">
        <v>46322</v>
      </c>
      <c r="B19" s="19" t="n">
        <v>11.88</v>
      </c>
      <c r="C19" s="19" t="n">
        <v>12.05</v>
      </c>
      <c r="D19" s="19" t="n">
        <v>12.06</v>
      </c>
      <c r="E19" s="10">
        <f>IF(COUNT(C19:D19)=2,AVERAGE(C19:D19),"")</f>
        <v/>
      </c>
      <c r="F19" s="19" t="n">
        <v>12.06</v>
      </c>
      <c r="G19" s="5" t="inlineStr">
        <is>
          <t>BCB oficial 11.88 (dolarbolivia.net 27/10 07:56 BOT); paralelo dolarbolivia.net 27/10 (compra 12.05 / venta 12.06); usado = promedio del paralelo; Binance P2P USDT/BOB 27/10 12:04 BOT (mediana de los 20 primeros anuncios: compra 12.06 / venta 12.10; contraste, no cambia el usado; fuente 2 del paralelo, tarea 2026-10-26-5). Discrepancia dolarbolivia.net: compra &gt; venta 24, 25 y 26/10 (3 días seguidos); hoy compra 12.05 &lt; venta 12.06, sin inversión</t>
        </is>
      </c>
    </row>
    <row r="20">
      <c r="A20" s="24" t="n">
        <v>46323</v>
      </c>
      <c r="B20" s="19" t="n">
        <v>12.02</v>
      </c>
      <c r="C20" s="19" t="n">
        <v>12.16</v>
      </c>
      <c r="D20" s="19" t="n">
        <v>12.14</v>
      </c>
      <c r="E20" s="10">
        <f>IF(COUNT(C20:D20)=2,AVERAGE(C20:D20),"")</f>
        <v/>
      </c>
      <c r="F20" s="19" t="n">
        <v>12.15</v>
      </c>
      <c r="G20" s="5" t="inlineStr">
        <is>
          <t>BCB oficial 12.02 (dolarbolivia.net 28/10 07:57 BOT, subió desde 11.88); paralelo dolarbolivia.net 28/10 (compra 12.16 / venta 12.14);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46322</v>
      </c>
      <c r="B445" s="5" t="inlineStr">
        <is>
          <t>eBay</t>
        </is>
      </c>
      <c r="C445" s="5" t="inlineStr">
        <is>
          <t>Ryzen 5 5600</t>
        </is>
      </c>
      <c r="D445" s="5" t="inlineStr">
        <is>
          <t>nuevo</t>
        </is>
      </c>
      <c r="E445" s="11" t="n">
        <v>159.99</v>
      </c>
      <c r="F445" s="5" t="inlineStr">
        <is>
          <t>USD</t>
        </is>
      </c>
      <c r="G445" s="5" t="inlineStr">
        <is>
          <t>eBay API; vendedor aaawavecom 99.8%; AMD Ryzen 5 5600 Processor (Zen 3) 6-Core 3.5GHz AM4 65W CPU</t>
        </is>
      </c>
      <c r="H445" s="6" t="inlineStr">
        <is>
          <t>ver</t>
        </is>
      </c>
    </row>
    <row r="446">
      <c r="A446" s="15" t="n">
        <v>46322</v>
      </c>
      <c r="B446" s="5" t="inlineStr">
        <is>
          <t>eBay</t>
        </is>
      </c>
      <c r="C446" s="5" t="inlineStr">
        <is>
          <t>Ryzen 5 7600</t>
        </is>
      </c>
      <c r="D446" s="5" t="inlineStr">
        <is>
          <t>nuevo</t>
        </is>
      </c>
      <c r="E446" s="11" t="n">
        <v>146.98</v>
      </c>
      <c r="F446" s="5" t="inlineStr">
        <is>
          <t>USD</t>
        </is>
      </c>
      <c r="G446" s="5" t="inlineStr">
        <is>
          <t>eBay API; vendedor setbuy 98.7%; AMD Ryzen 5 7600 6-Core 12-Thread AM5 CPU 5.1GHz 100-0000010</t>
        </is>
      </c>
      <c r="H446" s="6" t="inlineStr">
        <is>
          <t>ver</t>
        </is>
      </c>
    </row>
    <row r="447">
      <c r="A447" s="15" t="n">
        <v>46322</v>
      </c>
      <c r="B447" s="5" t="inlineStr">
        <is>
          <t>eBay</t>
        </is>
      </c>
      <c r="C447" s="5" t="inlineStr">
        <is>
          <t>Ryzen 7 7800X3D</t>
        </is>
      </c>
      <c r="D447" s="5" t="inlineStr">
        <is>
          <t>nuevo</t>
        </is>
      </c>
      <c r="E447" s="11" t="n">
        <v>325</v>
      </c>
      <c r="F447" s="5" t="inlineStr">
        <is>
          <t>USD</t>
        </is>
      </c>
      <c r="G447" s="5" t="inlineStr">
        <is>
          <t>eBay API; vendedor thegoodzvault 99.2%; AMD Ryzen 7 7800X3D 8-Core 5.0GHz Turbo 4.2GHz Base Desktop ; envío no indicado</t>
        </is>
      </c>
      <c r="H447" s="6" t="inlineStr">
        <is>
          <t>ver</t>
        </is>
      </c>
    </row>
    <row r="448">
      <c r="A448" s="15" t="n">
        <v>46322</v>
      </c>
      <c r="B448" s="5" t="inlineStr">
        <is>
          <t>eBay</t>
        </is>
      </c>
      <c r="C448" s="5" t="inlineStr">
        <is>
          <t>Ryzen 9 9950X</t>
        </is>
      </c>
      <c r="D448" s="5" t="inlineStr">
        <is>
          <t>nuevo</t>
        </is>
      </c>
      <c r="E448" s="11" t="n">
        <v>549.99</v>
      </c>
      <c r="F448" s="5" t="inlineStr">
        <is>
          <t>USD</t>
        </is>
      </c>
      <c r="G448" s="5" t="inlineStr">
        <is>
          <t>eBay API; vendedor newegg 99.6%; AMD Ryzen 9 9950X - Ryzen 9 9000 Series Granite Ridge (Zen 5</t>
        </is>
      </c>
      <c r="H448" s="6" t="inlineStr">
        <is>
          <t>ver</t>
        </is>
      </c>
    </row>
    <row r="449">
      <c r="A449" s="15" t="n">
        <v>46322</v>
      </c>
      <c r="B449" s="5" t="inlineStr">
        <is>
          <t>eBay</t>
        </is>
      </c>
      <c r="C449" s="5" t="inlineStr">
        <is>
          <t>Intel Core i5-12400F</t>
        </is>
      </c>
      <c r="D449" s="5" t="inlineStr">
        <is>
          <t>nuevo</t>
        </is>
      </c>
      <c r="E449" s="11" t="n">
        <v>140</v>
      </c>
      <c r="F449" s="5" t="inlineStr">
        <is>
          <t>USD</t>
        </is>
      </c>
      <c r="G449" s="5" t="inlineStr">
        <is>
          <t>eBay API; vendedor picturesofheaven 99.8%; NEW - INTEL CPU Core i5-12400F / 6/12 / 2.5GHz / BX807151240</t>
        </is>
      </c>
      <c r="H449" s="6" t="inlineStr">
        <is>
          <t>ver</t>
        </is>
      </c>
    </row>
    <row r="450">
      <c r="A450" s="15" t="n">
        <v>46322</v>
      </c>
      <c r="B450" s="5" t="inlineStr">
        <is>
          <t>eBay</t>
        </is>
      </c>
      <c r="C450" s="5" t="inlineStr">
        <is>
          <t>Intel Core i5-14400F</t>
        </is>
      </c>
      <c r="D450" s="5" t="inlineStr">
        <is>
          <t>nuevo</t>
        </is>
      </c>
      <c r="E450" s="11" t="n">
        <v>164.49</v>
      </c>
      <c r="F450" s="5" t="inlineStr">
        <is>
          <t>USD</t>
        </is>
      </c>
      <c r="G450" s="5" t="inlineStr">
        <is>
          <t xml:space="preserve">eBay API; vendedor newegg 99.6%; Intel Core i5-14400F - Core i5 14th Gen Raptor Lake 10-Core </t>
        </is>
      </c>
      <c r="H450" s="6" t="inlineStr">
        <is>
          <t>ver</t>
        </is>
      </c>
    </row>
    <row r="451">
      <c r="A451" s="15" t="n">
        <v>46322</v>
      </c>
      <c r="B451" s="5" t="inlineStr">
        <is>
          <t>eBay</t>
        </is>
      </c>
      <c r="C451" s="5" t="inlineStr">
        <is>
          <t>Intel Core Ultra 7 265K</t>
        </is>
      </c>
      <c r="D451" s="5" t="inlineStr">
        <is>
          <t>nuevo</t>
        </is>
      </c>
      <c r="E451" s="11" t="n">
        <v>259.99</v>
      </c>
      <c r="F451" s="5" t="inlineStr">
        <is>
          <t>USD</t>
        </is>
      </c>
      <c r="G451" s="5" t="inlineStr">
        <is>
          <t>eBay API; vendedor luis11389 99.1%; Intel Core Ultra 7 265K 20-Core LGA 1851 Unlocked CPU BX8076; envío no indicado</t>
        </is>
      </c>
      <c r="H451" s="6" t="inlineStr">
        <is>
          <t>ver</t>
        </is>
      </c>
    </row>
    <row r="452">
      <c r="A452" s="15" t="n">
        <v>46322</v>
      </c>
      <c r="B452" s="5" t="inlineStr">
        <is>
          <t>eBay</t>
        </is>
      </c>
      <c r="C452" s="5" t="inlineStr">
        <is>
          <t>Corsair Vengeance RGB DDR5 32GB (2x16) 5600</t>
        </is>
      </c>
      <c r="D452" s="5" t="inlineStr">
        <is>
          <t>nuevo</t>
        </is>
      </c>
      <c r="E452" s="11" t="n">
        <v>459</v>
      </c>
      <c r="F452" s="5" t="inlineStr">
        <is>
          <t>USD</t>
        </is>
      </c>
      <c r="G452" s="5" t="inlineStr">
        <is>
          <t>eBay API; vendedor 2012roms 100.0%; Corsair Vengeance 32GB (2x16GB) DDR5 5600MHz CL36 Desktop RA; envío no indicado</t>
        </is>
      </c>
      <c r="H452" s="6" t="inlineStr">
        <is>
          <t>ver</t>
        </is>
      </c>
    </row>
    <row r="453">
      <c r="A453" s="15" t="n">
        <v>46322</v>
      </c>
      <c r="B453" s="5" t="inlineStr">
        <is>
          <t>eBay</t>
        </is>
      </c>
      <c r="C453" s="5" t="inlineStr">
        <is>
          <t>Corsair Vengeance RGB DDR5 32GB (2x16) 6000</t>
        </is>
      </c>
      <c r="D453" s="5" t="inlineStr">
        <is>
          <t>nuevo</t>
        </is>
      </c>
      <c r="E453" s="11" t="n">
        <v>450</v>
      </c>
      <c r="F453" s="5" t="inlineStr">
        <is>
          <t>USD</t>
        </is>
      </c>
      <c r="G453" s="5" t="inlineStr">
        <is>
          <t>eBay API; vendedor kn32451 99.9%; CORSAIR Vengeance RGB 32GB (2x16GB) DDR5 6000MHz CL36 AMD EX</t>
        </is>
      </c>
      <c r="H453" s="6" t="inlineStr">
        <is>
          <t>ver</t>
        </is>
      </c>
    </row>
    <row r="454">
      <c r="A454" s="15" t="n">
        <v>46322</v>
      </c>
      <c r="B454" s="5" t="inlineStr">
        <is>
          <t>eBay</t>
        </is>
      </c>
      <c r="C454" s="5" t="inlineStr">
        <is>
          <t>RAM DDR4 16GB (2x8) 3200</t>
        </is>
      </c>
      <c r="D454" s="5" t="inlineStr">
        <is>
          <t>nuevo</t>
        </is>
      </c>
      <c r="E454" s="11" t="n">
        <v>109</v>
      </c>
      <c r="F454" s="5" t="inlineStr">
        <is>
          <t>USD</t>
        </is>
      </c>
      <c r="G454" s="5" t="inlineStr">
        <is>
          <t>eBay API; vendedor memorymasters 99.6%; 16GB 2x 8GB PC4-25600 Desktop DIMM DDR4 3200MHz Non-ECC Memo</t>
        </is>
      </c>
      <c r="H454" s="6" t="inlineStr">
        <is>
          <t>ver</t>
        </is>
      </c>
    </row>
    <row r="455">
      <c r="A455" s="15" t="n">
        <v>46322</v>
      </c>
      <c r="B455" s="5" t="inlineStr">
        <is>
          <t>eBay</t>
        </is>
      </c>
      <c r="C455" s="5" t="inlineStr">
        <is>
          <t>SSD NVMe 1TB</t>
        </is>
      </c>
      <c r="D455" s="5" t="inlineStr">
        <is>
          <t>nuevo</t>
        </is>
      </c>
      <c r="E455" s="11" t="n">
        <v>114.99</v>
      </c>
      <c r="F455" s="5" t="inlineStr">
        <is>
          <t>USD</t>
        </is>
      </c>
      <c r="G455" s="5" t="inlineStr">
        <is>
          <t>eBay API; vendedor gadgetworld03 99.0%; Derlar DN-850Q 1TB M.2 NVME PCIe 4.0 SSD - New</t>
        </is>
      </c>
      <c r="H455" s="6" t="inlineStr">
        <is>
          <t>ver</t>
        </is>
      </c>
    </row>
    <row r="456">
      <c r="A456" s="15" t="n">
        <v>46322</v>
      </c>
      <c r="B456" s="5" t="inlineStr">
        <is>
          <t>eBay</t>
        </is>
      </c>
      <c r="C456" s="5" t="inlineStr">
        <is>
          <t>SSD NVMe 2TB</t>
        </is>
      </c>
      <c r="D456" s="5" t="inlineStr">
        <is>
          <t>nuevo</t>
        </is>
      </c>
      <c r="E456" s="11" t="n">
        <v>185</v>
      </c>
      <c r="F456" s="5" t="inlineStr">
        <is>
          <t>USD</t>
        </is>
      </c>
      <c r="G456" s="5" t="inlineStr">
        <is>
          <t>eBay API; vendedor honestdeals 100.0%; 2TB Leven 2280mm Lares 2TB M.2 NVMe Gen 3.0 SSD JPS600-2TB T</t>
        </is>
      </c>
      <c r="H456" s="6" t="inlineStr">
        <is>
          <t>ver</t>
        </is>
      </c>
    </row>
    <row r="457">
      <c r="A457" s="15" t="n">
        <v>46322</v>
      </c>
      <c r="B457" s="5" t="inlineStr">
        <is>
          <t>eBay</t>
        </is>
      </c>
      <c r="C457" s="5" t="inlineStr">
        <is>
          <t>Ryzen 7 7700X</t>
        </is>
      </c>
      <c r="D457" s="5" t="inlineStr">
        <is>
          <t>nuevo</t>
        </is>
      </c>
      <c r="E457" s="11" t="n">
        <v>219</v>
      </c>
      <c r="F457" s="5" t="inlineStr">
        <is>
          <t>USD</t>
        </is>
      </c>
      <c r="G457" s="5" t="inlineStr">
        <is>
          <t>eBay API; vendedor greatdaytreasures 100.0%; AMD Ryzen 7 7700X CPU Processor - Brand New/Unopened</t>
        </is>
      </c>
      <c r="H457" s="6" t="inlineStr">
        <is>
          <t>ver</t>
        </is>
      </c>
    </row>
    <row r="458">
      <c r="A458" s="15" t="n">
        <v>46322</v>
      </c>
      <c r="B458" s="5" t="inlineStr">
        <is>
          <t>eBay</t>
        </is>
      </c>
      <c r="C458" s="5" t="inlineStr">
        <is>
          <t>Ryzen 5 7500F</t>
        </is>
      </c>
      <c r="D458" s="5" t="inlineStr">
        <is>
          <t>nuevo</t>
        </is>
      </c>
      <c r="E458" s="11" t="n">
        <v>135.6</v>
      </c>
      <c r="F458" s="5" t="inlineStr">
        <is>
          <t>USD</t>
        </is>
      </c>
      <c r="G458" s="5" t="inlineStr">
        <is>
          <t>eBay API; vendedor technological-trend 99.3%; AMD Ryzen 5 7500F - Ryzen 5 7000 Series Zen 4 6-Core 3.7 GHz</t>
        </is>
      </c>
      <c r="H458" s="6" t="inlineStr">
        <is>
          <t>ver</t>
        </is>
      </c>
    </row>
    <row r="459">
      <c r="A459" s="15" t="n">
        <v>46322</v>
      </c>
      <c r="B459" s="5" t="inlineStr">
        <is>
          <t>eBay</t>
        </is>
      </c>
      <c r="C459" s="5" t="inlineStr">
        <is>
          <t>Ryzen 5 5600</t>
        </is>
      </c>
      <c r="D459" s="5" t="inlineStr">
        <is>
          <t>usado</t>
        </is>
      </c>
      <c r="E459" s="11" t="n">
        <v>133.99</v>
      </c>
      <c r="F459" s="5" t="inlineStr">
        <is>
          <t>USD</t>
        </is>
      </c>
      <c r="G459" s="5" t="inlineStr">
        <is>
          <t>eBay API; vendedor damoses1 100.0%; AMD Ryzen 5 5600 6-Core 12-Thread Socket AM4 3.5GHz 4.4 Boos; envío no indicado</t>
        </is>
      </c>
      <c r="H459" s="6" t="inlineStr">
        <is>
          <t>ver</t>
        </is>
      </c>
    </row>
    <row r="460">
      <c r="A460" s="15" t="n">
        <v>46322</v>
      </c>
      <c r="B460" s="5" t="inlineStr">
        <is>
          <t>eBay</t>
        </is>
      </c>
      <c r="C460" s="5" t="inlineStr">
        <is>
          <t>Ryzen 7 5700X3D</t>
        </is>
      </c>
      <c r="D460" s="5" t="inlineStr">
        <is>
          <t>usado</t>
        </is>
      </c>
      <c r="E460" s="11" t="n">
        <v>319.99</v>
      </c>
      <c r="F460" s="5" t="inlineStr">
        <is>
          <t>USD</t>
        </is>
      </c>
      <c r="G460" s="5" t="inlineStr">
        <is>
          <t>eBay API; vendedor bradvallier-0 100.0%; AMD Ryzen 7 5700X3D R7 CPU Socket AM4 Zen 3 96MB L3 Desktop ; envío no indicado</t>
        </is>
      </c>
      <c r="H460" s="6" t="inlineStr">
        <is>
          <t>ver</t>
        </is>
      </c>
    </row>
    <row r="461">
      <c r="A461" s="15" t="n">
        <v>46322</v>
      </c>
      <c r="B461" s="5" t="inlineStr">
        <is>
          <t>eBay</t>
        </is>
      </c>
      <c r="C461" s="5" t="inlineStr">
        <is>
          <t>Ryzen 5 7600</t>
        </is>
      </c>
      <c r="D461" s="5" t="inlineStr">
        <is>
          <t>usado</t>
        </is>
      </c>
      <c r="E461" s="11" t="n">
        <v>119</v>
      </c>
      <c r="F461" s="5" t="inlineStr">
        <is>
          <t>USD</t>
        </is>
      </c>
      <c r="G461" s="5" t="inlineStr">
        <is>
          <t xml:space="preserve">eBay API; vendedor piedmontreeltimemovies 99.6%; AMD Ryzen 5 7600 6-Core 3.8GHz Desktop CPU Processor Socket </t>
        </is>
      </c>
      <c r="H461" s="6" t="inlineStr">
        <is>
          <t>ver</t>
        </is>
      </c>
    </row>
    <row r="462">
      <c r="A462" s="15" t="n">
        <v>46322</v>
      </c>
      <c r="B462" s="5" t="inlineStr">
        <is>
          <t>eBay</t>
        </is>
      </c>
      <c r="C462" s="5" t="inlineStr">
        <is>
          <t>Ryzen 7 7800X3D</t>
        </is>
      </c>
      <c r="D462" s="5" t="inlineStr">
        <is>
          <t>usado</t>
        </is>
      </c>
      <c r="E462" s="11" t="n">
        <v>275</v>
      </c>
      <c r="F462" s="5" t="inlineStr">
        <is>
          <t>USD</t>
        </is>
      </c>
      <c r="G462" s="5" t="inlineStr">
        <is>
          <t>eBay API; vendedor kjhutto1189 100.0%; AMD Ryzen 7 7800X3D Processor (5 GHz, 8 Cores, Socket AM5) B; envío no indicado</t>
        </is>
      </c>
      <c r="H462" s="6" t="inlineStr">
        <is>
          <t>ver</t>
        </is>
      </c>
    </row>
    <row r="463">
      <c r="A463" s="15" t="n">
        <v>46322</v>
      </c>
      <c r="B463" s="5" t="inlineStr">
        <is>
          <t>eBay</t>
        </is>
      </c>
      <c r="C463" s="5" t="inlineStr">
        <is>
          <t>Ryzen 9 9950X</t>
        </is>
      </c>
      <c r="D463" s="5" t="inlineStr">
        <is>
          <t>usado</t>
        </is>
      </c>
      <c r="E463" s="11" t="n">
        <v>430</v>
      </c>
      <c r="F463" s="5" t="inlineStr">
        <is>
          <t>USD</t>
        </is>
      </c>
      <c r="G463" s="5" t="inlineStr">
        <is>
          <t>eBay API; vendedor whoismoses 98.0%; AMD Ryzen 9 9950X Processor (5.7 GHz, 16 Cores, LGA 1718/Soc; envío no indicado</t>
        </is>
      </c>
      <c r="H463" s="6" t="inlineStr">
        <is>
          <t>ver</t>
        </is>
      </c>
    </row>
    <row r="464">
      <c r="A464" s="15" t="n">
        <v>46322</v>
      </c>
      <c r="B464" s="5" t="inlineStr">
        <is>
          <t>eBay</t>
        </is>
      </c>
      <c r="C464" s="5" t="inlineStr">
        <is>
          <t>Intel Core i5-12400F</t>
        </is>
      </c>
      <c r="D464" s="5" t="inlineStr">
        <is>
          <t>usado</t>
        </is>
      </c>
      <c r="E464" s="11" t="n">
        <v>119.89</v>
      </c>
      <c r="F464" s="5" t="inlineStr">
        <is>
          <t>USD</t>
        </is>
      </c>
      <c r="G464" s="5" t="inlineStr">
        <is>
          <t>eBay API; vendedor madebycelsius 99.3%; Intel Core i5-12400F 2.50GHz 6 Core SRL4W 12 Thread LGA 1700</t>
        </is>
      </c>
      <c r="H464" s="6" t="inlineStr">
        <is>
          <t>ver</t>
        </is>
      </c>
    </row>
    <row r="465">
      <c r="A465" s="15" t="n">
        <v>46322</v>
      </c>
      <c r="B465" s="5" t="inlineStr">
        <is>
          <t>eBay</t>
        </is>
      </c>
      <c r="C465" s="5" t="inlineStr">
        <is>
          <t>Intel Core i5-13400</t>
        </is>
      </c>
      <c r="D465" s="5" t="inlineStr">
        <is>
          <t>usado</t>
        </is>
      </c>
      <c r="E465" s="11" t="n">
        <v>150</v>
      </c>
      <c r="F465" s="5" t="inlineStr">
        <is>
          <t>USD</t>
        </is>
      </c>
      <c r="G465" s="5" t="inlineStr">
        <is>
          <t>eBay API; vendedor bargdeals65 99.7%; Intel Core i5-13400 SRMBP 2.5GHz 10-Cores 16 Threads 20MB Ca; envío no indicado</t>
        </is>
      </c>
      <c r="H465" s="6" t="inlineStr">
        <is>
          <t>ver</t>
        </is>
      </c>
    </row>
    <row r="466">
      <c r="A466" s="15" t="n">
        <v>46322</v>
      </c>
      <c r="B466" s="5" t="inlineStr">
        <is>
          <t>eBay</t>
        </is>
      </c>
      <c r="C466" s="5" t="inlineStr">
        <is>
          <t>Intel Core i5-14400F</t>
        </is>
      </c>
      <c r="D466" s="5" t="inlineStr">
        <is>
          <t>usado</t>
        </is>
      </c>
      <c r="E466" s="11" t="n">
        <v>129.99</v>
      </c>
      <c r="F466" s="5" t="inlineStr">
        <is>
          <t>USD</t>
        </is>
      </c>
      <c r="G466" s="5" t="inlineStr">
        <is>
          <t>eBay API; vendedor paymore_south_san_francisco 99.5%; Intel Core i5-14400F 2.50GHz 10 Core SRN3R 16 Thread LGA 170</t>
        </is>
      </c>
      <c r="H466" s="6" t="inlineStr">
        <is>
          <t>ver</t>
        </is>
      </c>
    </row>
    <row r="467">
      <c r="A467" s="15" t="n">
        <v>46322</v>
      </c>
      <c r="B467" s="5" t="inlineStr">
        <is>
          <t>eBay</t>
        </is>
      </c>
      <c r="C467" s="5" t="inlineStr">
        <is>
          <t>Corsair Vengeance RGB DDR5 32GB (2x16) 5600</t>
        </is>
      </c>
      <c r="D467" s="5" t="inlineStr">
        <is>
          <t>usado</t>
        </is>
      </c>
      <c r="E467" s="11" t="n">
        <v>399.99</v>
      </c>
      <c r="F467" s="5" t="inlineStr">
        <is>
          <t>USD</t>
        </is>
      </c>
      <c r="G467" s="5" t="inlineStr">
        <is>
          <t>eBay API; vendedor wazno 99.7%; Corsair Vengeance RGB 32GB 2x16GB DDR5 RAM 5600MHz CMH32GX5M</t>
        </is>
      </c>
      <c r="H467" s="6" t="inlineStr">
        <is>
          <t>ver</t>
        </is>
      </c>
    </row>
    <row r="468">
      <c r="A468" s="15" t="n">
        <v>46322</v>
      </c>
      <c r="B468" s="5" t="inlineStr">
        <is>
          <t>eBay</t>
        </is>
      </c>
      <c r="C468" s="5" t="inlineStr">
        <is>
          <t>Corsair Vengeance RGB DDR5 32GB (2x16) 6000</t>
        </is>
      </c>
      <c r="D468" s="5" t="inlineStr">
        <is>
          <t>usado</t>
        </is>
      </c>
      <c r="E468" s="11" t="n">
        <v>399.99</v>
      </c>
      <c r="F468" s="5" t="inlineStr">
        <is>
          <t>USD</t>
        </is>
      </c>
      <c r="G468" s="5" t="inlineStr">
        <is>
          <t>eBay API; vendedor paymore_mira_mesa 98.5%; Corsair Vengeance RGB 32GB (2x16GB) RAM DDR5 6000MHz CMH32GX</t>
        </is>
      </c>
      <c r="H468" s="6" t="inlineStr">
        <is>
          <t>ver</t>
        </is>
      </c>
    </row>
    <row r="469">
      <c r="A469" s="15" t="n">
        <v>46322</v>
      </c>
      <c r="B469" s="5" t="inlineStr">
        <is>
          <t>eBay</t>
        </is>
      </c>
      <c r="C469" s="5" t="inlineStr">
        <is>
          <t>RAM DDR4 16GB (2x8) 3200</t>
        </is>
      </c>
      <c r="D469" s="5" t="inlineStr">
        <is>
          <t>usado</t>
        </is>
      </c>
      <c r="E469" s="11" t="n">
        <v>59.95</v>
      </c>
      <c r="F469" s="5" t="inlineStr">
        <is>
          <t>USD</t>
        </is>
      </c>
      <c r="G469" s="5" t="inlineStr">
        <is>
          <t>eBay API; vendedor chynco_outlet 100.0%; Micron 16GB (2x8GB) DDR4-3200 DIMM Desktop Memory RAM MTA4AT</t>
        </is>
      </c>
      <c r="H469" s="6" t="inlineStr">
        <is>
          <t>ver</t>
        </is>
      </c>
    </row>
    <row r="470">
      <c r="A470" s="15" t="n">
        <v>46322</v>
      </c>
      <c r="B470" s="5" t="inlineStr">
        <is>
          <t>eBay</t>
        </is>
      </c>
      <c r="C470" s="5" t="inlineStr">
        <is>
          <t>SSD NVMe 1TB</t>
        </is>
      </c>
      <c r="D470" s="5" t="inlineStr">
        <is>
          <t>usado</t>
        </is>
      </c>
      <c r="E470" s="11" t="n">
        <v>89.95</v>
      </c>
      <c r="F470" s="5" t="inlineStr">
        <is>
          <t>USD</t>
        </is>
      </c>
      <c r="G470" s="5" t="inlineStr">
        <is>
          <t>eBay API; vendedor toyarcade 99.2%; Super Talent EX 1TB NVMe PCIe Gen3 x4 M.2 2280 SSD (FPI1TBMW</t>
        </is>
      </c>
      <c r="H470" s="6" t="inlineStr">
        <is>
          <t>ver</t>
        </is>
      </c>
    </row>
    <row r="471">
      <c r="A471" s="15" t="n">
        <v>46322</v>
      </c>
      <c r="B471" s="5" t="inlineStr">
        <is>
          <t>eBay</t>
        </is>
      </c>
      <c r="C471" s="5" t="inlineStr">
        <is>
          <t>SSD NVMe 2TB</t>
        </is>
      </c>
      <c r="D471" s="5" t="inlineStr">
        <is>
          <t>usado</t>
        </is>
      </c>
      <c r="E471" s="11" t="n">
        <v>179.99</v>
      </c>
      <c r="F471" s="5" t="inlineStr">
        <is>
          <t>USD</t>
        </is>
      </c>
      <c r="G471" s="5" t="inlineStr">
        <is>
          <t>eBay API; vendedor wazno 99.7%; Western Digital SN530 2TB SSD PCIe Gen4 NVMe 2280 SSD SDBPNP</t>
        </is>
      </c>
      <c r="H471" s="6" t="inlineStr">
        <is>
          <t>ver</t>
        </is>
      </c>
    </row>
    <row r="472">
      <c r="A472" s="15" t="n">
        <v>46322</v>
      </c>
      <c r="B472" s="5" t="inlineStr">
        <is>
          <t>eBay</t>
        </is>
      </c>
      <c r="C472" s="5" t="inlineStr">
        <is>
          <t>Ryzen 7 7700X</t>
        </is>
      </c>
      <c r="D472" s="5" t="inlineStr">
        <is>
          <t>usado</t>
        </is>
      </c>
      <c r="E472" s="11" t="n">
        <v>189.99</v>
      </c>
      <c r="F472" s="5" t="inlineStr">
        <is>
          <t>USD</t>
        </is>
      </c>
      <c r="G472" s="5" t="inlineStr">
        <is>
          <t>eBay API; vendedor g-electronic 99.7%; AMD Ryzen 7 7700X Desktop Processor 8-Core, 16-Thread 4.5GHz</t>
        </is>
      </c>
      <c r="H472" s="6" t="inlineStr">
        <is>
          <t>ver</t>
        </is>
      </c>
    </row>
    <row r="473">
      <c r="A473" s="15" t="n">
        <v>46322</v>
      </c>
      <c r="B473" s="5" t="inlineStr">
        <is>
          <t>eBay</t>
        </is>
      </c>
      <c r="C473" s="5" t="inlineStr">
        <is>
          <t>Ryzen 5 7500F</t>
        </is>
      </c>
      <c r="D473" s="5" t="inlineStr">
        <is>
          <t>usado</t>
        </is>
      </c>
      <c r="E473" s="11" t="n">
        <v>129.99</v>
      </c>
      <c r="F473" s="5" t="inlineStr">
        <is>
          <t>USD</t>
        </is>
      </c>
      <c r="G473" s="5" t="inlineStr">
        <is>
          <t>eBay API; vendedor jorgejhj 100.0%; AMD Ryzen 5 7500F Ryzen 5 6-Core 3.7GHz Socket AM5; envío no indicado</t>
        </is>
      </c>
      <c r="H473" s="6" t="inlineStr">
        <is>
          <t>ver</t>
        </is>
      </c>
    </row>
    <row r="474">
      <c r="A474" s="15" t="n">
        <v>46323</v>
      </c>
      <c r="B474" s="5" t="inlineStr">
        <is>
          <t>eBay</t>
        </is>
      </c>
      <c r="C474" s="5" t="inlineStr">
        <is>
          <t>Ryzen 5 5600</t>
        </is>
      </c>
      <c r="D474" s="5" t="inlineStr">
        <is>
          <t>nuevo</t>
        </is>
      </c>
      <c r="E474" s="11" t="n">
        <v>138.9</v>
      </c>
      <c r="F474" s="5" t="inlineStr">
        <is>
          <t>USD</t>
        </is>
      </c>
      <c r="G474" s="5" t="inlineStr">
        <is>
          <t>eBay API; vendedor 3c_wholesaler 99.5%; (New) AMD Ryzen 5 5600 Vermeer Zen3 6-Core 12-Thread AM4 CPU</t>
        </is>
      </c>
      <c r="H474" s="6" t="inlineStr">
        <is>
          <t>ver</t>
        </is>
      </c>
    </row>
    <row r="475">
      <c r="A475" s="15" t="n">
        <v>46323</v>
      </c>
      <c r="B475" s="5" t="inlineStr">
        <is>
          <t>eBay</t>
        </is>
      </c>
      <c r="C475" s="5" t="inlineStr">
        <is>
          <t>Ryzen 5 7600</t>
        </is>
      </c>
      <c r="D475" s="5" t="inlineStr">
        <is>
          <t>nuevo</t>
        </is>
      </c>
      <c r="E475" s="11" t="n">
        <v>146.98</v>
      </c>
      <c r="F475" s="5" t="inlineStr">
        <is>
          <t>USD</t>
        </is>
      </c>
      <c r="G475" s="5" t="inlineStr">
        <is>
          <t>eBay API; vendedor setbuy 98.7%; AMD Ryzen 5 7600 6-Core 12-Thread AM5 CPU 5.1GHz 100-0000010</t>
        </is>
      </c>
      <c r="H475" s="6" t="inlineStr">
        <is>
          <t>ver</t>
        </is>
      </c>
    </row>
    <row r="476">
      <c r="A476" s="15" t="n">
        <v>46323</v>
      </c>
      <c r="B476" s="5" t="inlineStr">
        <is>
          <t>eBay</t>
        </is>
      </c>
      <c r="C476" s="5" t="inlineStr">
        <is>
          <t>Ryzen 7 7800X3D</t>
        </is>
      </c>
      <c r="D476" s="5" t="inlineStr">
        <is>
          <t>nuevo</t>
        </is>
      </c>
      <c r="E476" s="11" t="n">
        <v>325</v>
      </c>
      <c r="F476" s="5" t="inlineStr">
        <is>
          <t>USD</t>
        </is>
      </c>
      <c r="G476" s="5" t="inlineStr">
        <is>
          <t>eBay API; vendedor thegoodzvault 99.2%; AMD Ryzen 7 7800X3D 8-Core 5.0GHz Turbo 4.2GHz Base Desktop ; envío no indicado</t>
        </is>
      </c>
      <c r="H476" s="6" t="inlineStr">
        <is>
          <t>ver</t>
        </is>
      </c>
    </row>
    <row r="477">
      <c r="A477" s="15" t="n">
        <v>46323</v>
      </c>
      <c r="B477" s="5" t="inlineStr">
        <is>
          <t>eBay</t>
        </is>
      </c>
      <c r="C477" s="5" t="inlineStr">
        <is>
          <t>Ryzen 9 9950X</t>
        </is>
      </c>
      <c r="D477" s="5" t="inlineStr">
        <is>
          <t>nuevo</t>
        </is>
      </c>
      <c r="E477" s="11" t="n">
        <v>549.99</v>
      </c>
      <c r="F477" s="5" t="inlineStr">
        <is>
          <t>USD</t>
        </is>
      </c>
      <c r="G477" s="5" t="inlineStr">
        <is>
          <t>eBay API; vendedor newegg 99.6%; AMD Ryzen 9 9950X - Ryzen 9 9000 Series Granite Ridge (Zen 5</t>
        </is>
      </c>
      <c r="H477" s="6" t="inlineStr">
        <is>
          <t>ver</t>
        </is>
      </c>
    </row>
    <row r="478">
      <c r="A478" s="15" t="n">
        <v>46323</v>
      </c>
      <c r="B478" s="5" t="inlineStr">
        <is>
          <t>eBay</t>
        </is>
      </c>
      <c r="C478" s="5" t="inlineStr">
        <is>
          <t>Intel Core i5-12400F</t>
        </is>
      </c>
      <c r="D478" s="5" t="inlineStr">
        <is>
          <t>nuevo</t>
        </is>
      </c>
      <c r="E478" s="11" t="n">
        <v>140</v>
      </c>
      <c r="F478" s="5" t="inlineStr">
        <is>
          <t>USD</t>
        </is>
      </c>
      <c r="G478" s="5" t="inlineStr">
        <is>
          <t>eBay API; vendedor picturesofheaven 99.8%; NEW - INTEL CPU Core i5-12400F / 6/12 / 2.5GHz / BX807151240</t>
        </is>
      </c>
      <c r="H478" s="6" t="inlineStr">
        <is>
          <t>ver</t>
        </is>
      </c>
    </row>
    <row r="479">
      <c r="A479" s="15" t="n">
        <v>46323</v>
      </c>
      <c r="B479" s="5" t="inlineStr">
        <is>
          <t>eBay</t>
        </is>
      </c>
      <c r="C479" s="5" t="inlineStr">
        <is>
          <t>Intel Core i5-14400F</t>
        </is>
      </c>
      <c r="D479" s="5" t="inlineStr">
        <is>
          <t>nuevo</t>
        </is>
      </c>
      <c r="E479" s="11" t="n">
        <v>164.49</v>
      </c>
      <c r="F479" s="5" t="inlineStr">
        <is>
          <t>USD</t>
        </is>
      </c>
      <c r="G479" s="5" t="inlineStr">
        <is>
          <t xml:space="preserve">eBay API; vendedor newegg 99.6%; Intel Core i5-14400F - Core i5 14th Gen Raptor Lake 10-Core </t>
        </is>
      </c>
      <c r="H479" s="6" t="inlineStr">
        <is>
          <t>ver</t>
        </is>
      </c>
    </row>
    <row r="480">
      <c r="A480" s="15" t="n">
        <v>46323</v>
      </c>
      <c r="B480" s="5" t="inlineStr">
        <is>
          <t>eBay</t>
        </is>
      </c>
      <c r="C480" s="5" t="inlineStr">
        <is>
          <t>Intel Core Ultra 7 265K</t>
        </is>
      </c>
      <c r="D480" s="5" t="inlineStr">
        <is>
          <t>nuevo</t>
        </is>
      </c>
      <c r="E480" s="11" t="n">
        <v>250</v>
      </c>
      <c r="F480" s="5" t="inlineStr">
        <is>
          <t>USD</t>
        </is>
      </c>
      <c r="G480" s="5" t="inlineStr">
        <is>
          <t>eBay API; vendedor rean_55 100.0%; Intel Core ULTRA 7 265K 20-core CPU 5.5GHz ; envío no indicado</t>
        </is>
      </c>
      <c r="H480" s="6" t="inlineStr">
        <is>
          <t>ver</t>
        </is>
      </c>
    </row>
    <row r="481">
      <c r="A481" s="15" t="n">
        <v>46323</v>
      </c>
      <c r="B481" s="5" t="inlineStr">
        <is>
          <t>eBay</t>
        </is>
      </c>
      <c r="C481" s="5" t="inlineStr">
        <is>
          <t>Corsair Vengeance RGB DDR5 32GB (2x16) 5600</t>
        </is>
      </c>
      <c r="D481" s="5" t="inlineStr">
        <is>
          <t>nuevo</t>
        </is>
      </c>
      <c r="E481" s="11" t="n">
        <v>459</v>
      </c>
      <c r="F481" s="5" t="inlineStr">
        <is>
          <t>USD</t>
        </is>
      </c>
      <c r="G481" s="5" t="inlineStr">
        <is>
          <t>eBay API; vendedor 2012roms 100.0%; Corsair Vengeance 32GB (2x16GB) DDR5 5600MHz CL36 Desktop RA; envío no indicado</t>
        </is>
      </c>
      <c r="H481" s="6" t="inlineStr">
        <is>
          <t>ver</t>
        </is>
      </c>
    </row>
    <row r="482">
      <c r="A482" s="15" t="n">
        <v>46323</v>
      </c>
      <c r="B482" s="5" t="inlineStr">
        <is>
          <t>eBay</t>
        </is>
      </c>
      <c r="C482" s="5" t="inlineStr">
        <is>
          <t>Corsair Vengeance RGB DDR5 32GB (2x16) 6000</t>
        </is>
      </c>
      <c r="D482" s="5" t="inlineStr">
        <is>
          <t>nuevo</t>
        </is>
      </c>
      <c r="E482" s="11" t="n">
        <v>450</v>
      </c>
      <c r="F482" s="5" t="inlineStr">
        <is>
          <t>USD</t>
        </is>
      </c>
      <c r="G482" s="5" t="inlineStr">
        <is>
          <t>eBay API; vendedor andreschneidernyc 100.0%; Corsair Vengeance RGB 32GB (2x16GB) DDR5-6000 DIMM Intel XMP; envío no indicado</t>
        </is>
      </c>
      <c r="H482" s="6" t="inlineStr">
        <is>
          <t>ver</t>
        </is>
      </c>
    </row>
    <row r="483">
      <c r="A483" s="15" t="n">
        <v>46323</v>
      </c>
      <c r="B483" s="5" t="inlineStr">
        <is>
          <t>eBay</t>
        </is>
      </c>
      <c r="C483" s="5" t="inlineStr">
        <is>
          <t>RAM DDR4 16GB (2x8) 3200</t>
        </is>
      </c>
      <c r="D483" s="5" t="inlineStr">
        <is>
          <t>nuevo</t>
        </is>
      </c>
      <c r="E483" s="11" t="n">
        <v>100</v>
      </c>
      <c r="F483" s="5" t="inlineStr">
        <is>
          <t>USD</t>
        </is>
      </c>
      <c r="G483" s="5" t="inlineStr">
        <is>
          <t>eBay API; vendedor jiyuu_4 100.0%; Gloway 16GB (2x8GB) DDR4 3200MHz Desktop RAM CL18 Gaming Mem; envío no indicado</t>
        </is>
      </c>
      <c r="H483" s="6" t="inlineStr">
        <is>
          <t>ver</t>
        </is>
      </c>
    </row>
    <row r="484">
      <c r="A484" s="15" t="n">
        <v>46323</v>
      </c>
      <c r="B484" s="5" t="inlineStr">
        <is>
          <t>eBay</t>
        </is>
      </c>
      <c r="C484" s="5" t="inlineStr">
        <is>
          <t>SSD NVMe 1TB</t>
        </is>
      </c>
      <c r="D484" s="5" t="inlineStr">
        <is>
          <t>nuevo</t>
        </is>
      </c>
      <c r="E484" s="11" t="n">
        <v>114.99</v>
      </c>
      <c r="F484" s="5" t="inlineStr">
        <is>
          <t>USD</t>
        </is>
      </c>
      <c r="G484" s="5" t="inlineStr">
        <is>
          <t>eBay API; vendedor gadgetworld03 99.0%; Derlar DN-850Q 1TB M.2 NVME PCIe 4.0 SSD - New</t>
        </is>
      </c>
      <c r="H484" s="6" t="inlineStr">
        <is>
          <t>ver</t>
        </is>
      </c>
    </row>
    <row r="485">
      <c r="A485" s="15" t="n">
        <v>46323</v>
      </c>
      <c r="B485" s="5" t="inlineStr">
        <is>
          <t>eBay</t>
        </is>
      </c>
      <c r="C485" s="5" t="inlineStr">
        <is>
          <t>SSD NVMe 2TB</t>
        </is>
      </c>
      <c r="D485" s="5" t="inlineStr">
        <is>
          <t>nuevo</t>
        </is>
      </c>
      <c r="E485" s="11" t="n">
        <v>185</v>
      </c>
      <c r="F485" s="5" t="inlineStr">
        <is>
          <t>USD</t>
        </is>
      </c>
      <c r="G485" s="5" t="inlineStr">
        <is>
          <t>eBay API; vendedor honestdeals 100.0%; 2TB Leven 2280mm Lares 2TB M.2 NVMe Gen 3.0 SSD JPS600-2TB T</t>
        </is>
      </c>
      <c r="H485" s="6" t="inlineStr">
        <is>
          <t>ver</t>
        </is>
      </c>
    </row>
    <row r="486">
      <c r="A486" s="15" t="n">
        <v>46323</v>
      </c>
      <c r="B486" s="5" t="inlineStr">
        <is>
          <t>eBay</t>
        </is>
      </c>
      <c r="C486" s="5" t="inlineStr">
        <is>
          <t>Ryzen 7 7700X</t>
        </is>
      </c>
      <c r="D486" s="5" t="inlineStr">
        <is>
          <t>nuevo</t>
        </is>
      </c>
      <c r="E486" s="11" t="n">
        <v>219</v>
      </c>
      <c r="F486" s="5" t="inlineStr">
        <is>
          <t>USD</t>
        </is>
      </c>
      <c r="G486" s="5" t="inlineStr">
        <is>
          <t>eBay API; vendedor greatdaytreasures 100.0%; AMD Ryzen 7 7700X CPU Processor - Brand New/Unopened</t>
        </is>
      </c>
      <c r="H486" s="6" t="inlineStr">
        <is>
          <t>ver</t>
        </is>
      </c>
    </row>
    <row r="487">
      <c r="A487" s="15" t="n">
        <v>46323</v>
      </c>
      <c r="B487" s="5" t="inlineStr">
        <is>
          <t>eBay</t>
        </is>
      </c>
      <c r="C487" s="5" t="inlineStr">
        <is>
          <t>Ryzen 5 7500F</t>
        </is>
      </c>
      <c r="D487" s="5" t="inlineStr">
        <is>
          <t>nuevo</t>
        </is>
      </c>
      <c r="E487" s="11" t="n">
        <v>135.6</v>
      </c>
      <c r="F487" s="5" t="inlineStr">
        <is>
          <t>USD</t>
        </is>
      </c>
      <c r="G487" s="5" t="inlineStr">
        <is>
          <t>eBay API; vendedor technological-trend 99.3%; AMD Ryzen 5 7500F - Ryzen 5 7000 Series Zen 4 6-Core 3.7 GHz</t>
        </is>
      </c>
      <c r="H487" s="6" t="inlineStr">
        <is>
          <t>ver</t>
        </is>
      </c>
    </row>
    <row r="488">
      <c r="A488" s="15" t="n">
        <v>46323</v>
      </c>
      <c r="B488" s="5" t="inlineStr">
        <is>
          <t>eBay</t>
        </is>
      </c>
      <c r="C488" s="5" t="inlineStr">
        <is>
          <t>Ryzen 5 5600</t>
        </is>
      </c>
      <c r="D488" s="5" t="inlineStr">
        <is>
          <t>usado</t>
        </is>
      </c>
      <c r="E488" s="11" t="n">
        <v>131.99</v>
      </c>
      <c r="F488" s="5" t="inlineStr">
        <is>
          <t>USD</t>
        </is>
      </c>
      <c r="G488" s="5" t="inlineStr">
        <is>
          <t>eBay API; vendedor damoses1 100.0%; AMD Ryzen 5 5600 6-Core 12-Thread Socket AM4 3.5GHz 4.4 Boos; envío no indicado</t>
        </is>
      </c>
      <c r="H488" s="6" t="inlineStr">
        <is>
          <t>ver</t>
        </is>
      </c>
    </row>
    <row r="489">
      <c r="A489" s="15" t="n">
        <v>46323</v>
      </c>
      <c r="B489" s="5" t="inlineStr">
        <is>
          <t>eBay</t>
        </is>
      </c>
      <c r="C489" s="5" t="inlineStr">
        <is>
          <t>Ryzen 7 5700X3D</t>
        </is>
      </c>
      <c r="D489" s="5" t="inlineStr">
        <is>
          <t>usado</t>
        </is>
      </c>
      <c r="E489" s="11" t="n">
        <v>336</v>
      </c>
      <c r="F489" s="5" t="inlineStr">
        <is>
          <t>USD</t>
        </is>
      </c>
      <c r="G489" s="5" t="inlineStr">
        <is>
          <t>eBay API; vendedor jariah_tomko 100.0%; AMD Ryzen 7 5700X3D 8-Core 16-Thread AM4 CPU | 96MB 3D V-Cac; envío no indicado</t>
        </is>
      </c>
      <c r="H489" s="6" t="inlineStr">
        <is>
          <t>ver</t>
        </is>
      </c>
    </row>
    <row r="490">
      <c r="A490" s="15" t="n">
        <v>46323</v>
      </c>
      <c r="B490" s="5" t="inlineStr">
        <is>
          <t>eBay</t>
        </is>
      </c>
      <c r="C490" s="5" t="inlineStr">
        <is>
          <t>Ryzen 5 7600</t>
        </is>
      </c>
      <c r="D490" s="5" t="inlineStr">
        <is>
          <t>usado</t>
        </is>
      </c>
      <c r="E490" s="11" t="n">
        <v>119</v>
      </c>
      <c r="F490" s="5" t="inlineStr">
        <is>
          <t>USD</t>
        </is>
      </c>
      <c r="G490" s="5" t="inlineStr">
        <is>
          <t xml:space="preserve">eBay API; vendedor piedmontreeltimemovies 99.6%; AMD Ryzen 5 7600 6-Core 3.8GHz Desktop CPU Processor Socket </t>
        </is>
      </c>
      <c r="H490" s="6" t="inlineStr">
        <is>
          <t>ver</t>
        </is>
      </c>
    </row>
    <row r="491">
      <c r="A491" s="15" t="n">
        <v>46323</v>
      </c>
      <c r="B491" s="5" t="inlineStr">
        <is>
          <t>eBay</t>
        </is>
      </c>
      <c r="C491" s="5" t="inlineStr">
        <is>
          <t>Ryzen 7 7800X3D</t>
        </is>
      </c>
      <c r="D491" s="5" t="inlineStr">
        <is>
          <t>usado</t>
        </is>
      </c>
      <c r="E491" s="11" t="n">
        <v>275</v>
      </c>
      <c r="F491" s="5" t="inlineStr">
        <is>
          <t>USD</t>
        </is>
      </c>
      <c r="G491" s="5" t="inlineStr">
        <is>
          <t>eBay API; vendedor kjhutto1189 100.0%; AMD Ryzen 7 7800X3D Processor (5 GHz, 8 Cores, Socket AM5) B; envío no indicado</t>
        </is>
      </c>
      <c r="H491" s="6" t="inlineStr">
        <is>
          <t>ver</t>
        </is>
      </c>
    </row>
    <row r="492">
      <c r="A492" s="15" t="n">
        <v>46323</v>
      </c>
      <c r="B492" s="5" t="inlineStr">
        <is>
          <t>eBay</t>
        </is>
      </c>
      <c r="C492" s="5" t="inlineStr">
        <is>
          <t>Ryzen 9 9950X</t>
        </is>
      </c>
      <c r="D492" s="5" t="inlineStr">
        <is>
          <t>usado</t>
        </is>
      </c>
      <c r="E492" s="11" t="n">
        <v>454.99</v>
      </c>
      <c r="F492" s="5" t="inlineStr">
        <is>
          <t>USD</t>
        </is>
      </c>
      <c r="G492" s="5" t="inlineStr">
        <is>
          <t>eBay API; vendedor goodios_direct 99.6%; **  AMD Ryzen 9 9950X Processor - USED  **</t>
        </is>
      </c>
      <c r="H492" s="6" t="inlineStr">
        <is>
          <t>ver</t>
        </is>
      </c>
    </row>
    <row r="493">
      <c r="A493" s="15" t="n">
        <v>46323</v>
      </c>
      <c r="B493" s="5" t="inlineStr">
        <is>
          <t>eBay</t>
        </is>
      </c>
      <c r="C493" s="5" t="inlineStr">
        <is>
          <t>Intel Core i5-12400F</t>
        </is>
      </c>
      <c r="D493" s="5" t="inlineStr">
        <is>
          <t>usado</t>
        </is>
      </c>
      <c r="E493" s="11" t="n">
        <v>124.85</v>
      </c>
      <c r="F493" s="5" t="inlineStr">
        <is>
          <t>USD</t>
        </is>
      </c>
      <c r="G493" s="5" t="inlineStr">
        <is>
          <t>eBay API; vendedor techbargains2015 99.4%; 12th Gen Intel Core i5-12400F 2.50GHz 6-Core LGA 1700 Deskto</t>
        </is>
      </c>
      <c r="H493" s="6" t="inlineStr">
        <is>
          <t>ver</t>
        </is>
      </c>
    </row>
    <row r="494">
      <c r="A494" s="15" t="n">
        <v>46323</v>
      </c>
      <c r="B494" s="5" t="inlineStr">
        <is>
          <t>eBay</t>
        </is>
      </c>
      <c r="C494" s="5" t="inlineStr">
        <is>
          <t>Intel Core i5-13400</t>
        </is>
      </c>
      <c r="D494" s="5" t="inlineStr">
        <is>
          <t>usado</t>
        </is>
      </c>
      <c r="E494" s="11" t="n">
        <v>149.99</v>
      </c>
      <c r="F494" s="5" t="inlineStr">
        <is>
          <t>USD</t>
        </is>
      </c>
      <c r="G494" s="5" t="inlineStr">
        <is>
          <t>eBay API; vendedor komercos 98.7%; Intel Core i5-13400 / SRMBP CPU Processor - "A"</t>
        </is>
      </c>
      <c r="H494" s="6" t="inlineStr">
        <is>
          <t>ver</t>
        </is>
      </c>
    </row>
    <row r="495">
      <c r="A495" s="15" t="n">
        <v>46323</v>
      </c>
      <c r="B495" s="5" t="inlineStr">
        <is>
          <t>eBay</t>
        </is>
      </c>
      <c r="C495" s="5" t="inlineStr">
        <is>
          <t>Intel Core i5-14400F</t>
        </is>
      </c>
      <c r="D495" s="5" t="inlineStr">
        <is>
          <t>usado</t>
        </is>
      </c>
      <c r="E495" s="11" t="n">
        <v>129.99</v>
      </c>
      <c r="F495" s="5" t="inlineStr">
        <is>
          <t>USD</t>
        </is>
      </c>
      <c r="G495" s="5" t="inlineStr">
        <is>
          <t>eBay API; vendedor paymore_south_san_francisco 99.5%; Intel Core i5-14400F 2.50GHz 10 Core SRN3R 16 Thread LGA 170</t>
        </is>
      </c>
      <c r="H495" s="6" t="inlineStr">
        <is>
          <t>ver</t>
        </is>
      </c>
    </row>
    <row r="496">
      <c r="A496" s="15" t="n">
        <v>46323</v>
      </c>
      <c r="B496" s="5" t="inlineStr">
        <is>
          <t>eBay</t>
        </is>
      </c>
      <c r="C496" s="5" t="inlineStr">
        <is>
          <t>Corsair Vengeance RGB DDR5 32GB (2x16) 5600</t>
        </is>
      </c>
      <c r="D496" s="5" t="inlineStr">
        <is>
          <t>usado</t>
        </is>
      </c>
      <c r="E496" s="11" t="n">
        <v>399.99</v>
      </c>
      <c r="F496" s="5" t="inlineStr">
        <is>
          <t>USD</t>
        </is>
      </c>
      <c r="G496" s="5" t="inlineStr">
        <is>
          <t>eBay API; vendedor wazno 99.7%; Corsair Vengeance RGB 32GB 2x16GB DDR5 RAM 5600MHz CMH32GX5M</t>
        </is>
      </c>
      <c r="H496" s="6" t="inlineStr">
        <is>
          <t>ver</t>
        </is>
      </c>
    </row>
    <row r="497">
      <c r="A497" s="15" t="n">
        <v>46323</v>
      </c>
      <c r="B497" s="5" t="inlineStr">
        <is>
          <t>eBay</t>
        </is>
      </c>
      <c r="C497" s="5" t="inlineStr">
        <is>
          <t>Corsair Vengeance RGB DDR5 32GB (2x16) 6000</t>
        </is>
      </c>
      <c r="D497" s="5" t="inlineStr">
        <is>
          <t>usado</t>
        </is>
      </c>
      <c r="E497" s="11" t="n">
        <v>399.99</v>
      </c>
      <c r="F497" s="5" t="inlineStr">
        <is>
          <t>USD</t>
        </is>
      </c>
      <c r="G497" s="5" t="inlineStr">
        <is>
          <t>eBay API; vendedor paymore_mira_mesa 98.5%; Corsair Vengeance RGB 32GB (2x16GB) RAM DDR5 6000MHz CMH32GX</t>
        </is>
      </c>
      <c r="H497" s="6" t="inlineStr">
        <is>
          <t>ver</t>
        </is>
      </c>
    </row>
    <row r="498">
      <c r="A498" s="15" t="n">
        <v>46323</v>
      </c>
      <c r="B498" s="5" t="inlineStr">
        <is>
          <t>eBay</t>
        </is>
      </c>
      <c r="C498" s="5" t="inlineStr">
        <is>
          <t>RAM DDR4 16GB (2x8) 3200</t>
        </is>
      </c>
      <c r="D498" s="5" t="inlineStr">
        <is>
          <t>usado</t>
        </is>
      </c>
      <c r="E498" s="11" t="n">
        <v>59.99</v>
      </c>
      <c r="F498" s="5" t="inlineStr">
        <is>
          <t>USD</t>
        </is>
      </c>
      <c r="G498" s="5" t="inlineStr">
        <is>
          <t>eBay API; vendedor lowwvoltage 100.0%; MICRON 16GB (2x8GB) RAM DDR4 3200 Desktop DIMM RAM 1Rx16 PC4; envío no indicado</t>
        </is>
      </c>
      <c r="H498" s="6" t="inlineStr">
        <is>
          <t>ver</t>
        </is>
      </c>
    </row>
    <row r="499">
      <c r="A499" s="15" t="n">
        <v>46323</v>
      </c>
      <c r="B499" s="5" t="inlineStr">
        <is>
          <t>eBay</t>
        </is>
      </c>
      <c r="C499" s="5" t="inlineStr">
        <is>
          <t>SSD NVMe 1TB</t>
        </is>
      </c>
      <c r="D499" s="5" t="inlineStr">
        <is>
          <t>usado</t>
        </is>
      </c>
      <c r="E499" s="11" t="n">
        <v>85</v>
      </c>
      <c r="F499" s="5" t="inlineStr">
        <is>
          <t>USD</t>
        </is>
      </c>
      <c r="G499" s="5" t="inlineStr">
        <is>
          <t>eBay API; vendedor friendlyearth206 99.1%; Timetec MS10 1TB SSD NVMe PCIe Gen3x4 3D NAND SSD 35TTFP6PCI; envío no indicado</t>
        </is>
      </c>
      <c r="H499" s="6" t="inlineStr">
        <is>
          <t>ver</t>
        </is>
      </c>
    </row>
    <row r="500">
      <c r="A500" s="15" t="n">
        <v>46323</v>
      </c>
      <c r="B500" s="5" t="inlineStr">
        <is>
          <t>eBay</t>
        </is>
      </c>
      <c r="C500" s="5" t="inlineStr">
        <is>
          <t>SSD NVMe 2TB</t>
        </is>
      </c>
      <c r="D500" s="5" t="inlineStr">
        <is>
          <t>usado</t>
        </is>
      </c>
      <c r="E500" s="11" t="n">
        <v>179.99</v>
      </c>
      <c r="F500" s="5" t="inlineStr">
        <is>
          <t>USD</t>
        </is>
      </c>
      <c r="G500" s="5" t="inlineStr">
        <is>
          <t>eBay API; vendedor wazno 99.7%; Western Digital SN530 2TB SSD PCIe Gen4 NVMe 2280 SSD SDBPNP</t>
        </is>
      </c>
      <c r="H500" s="6" t="inlineStr">
        <is>
          <t>ver</t>
        </is>
      </c>
    </row>
    <row r="501">
      <c r="A501" s="15" t="n">
        <v>46323</v>
      </c>
      <c r="B501" s="5" t="inlineStr">
        <is>
          <t>eBay</t>
        </is>
      </c>
      <c r="C501" s="5" t="inlineStr">
        <is>
          <t>Ryzen 7 7700X</t>
        </is>
      </c>
      <c r="D501" s="5" t="inlineStr">
        <is>
          <t>usado</t>
        </is>
      </c>
      <c r="E501" s="11" t="n">
        <v>189.99</v>
      </c>
      <c r="F501" s="5" t="inlineStr">
        <is>
          <t>USD</t>
        </is>
      </c>
      <c r="G501" s="5" t="inlineStr">
        <is>
          <t>eBay API; vendedor g-electronic 99.7%; AMD Ryzen 7 7700X Desktop Processor 8-Core, 16-Thread 4.5GHz</t>
        </is>
      </c>
      <c r="H501" s="6" t="inlineStr">
        <is>
          <t>ver</t>
        </is>
      </c>
    </row>
    <row r="502">
      <c r="A502" s="15" t="n">
        <v>46323</v>
      </c>
      <c r="B502" s="5" t="inlineStr">
        <is>
          <t>eBay</t>
        </is>
      </c>
      <c r="C502" s="5" t="inlineStr">
        <is>
          <t>Ryzen 5 7500F</t>
        </is>
      </c>
      <c r="D502" s="5" t="inlineStr">
        <is>
          <t>usado</t>
        </is>
      </c>
      <c r="E502" s="11" t="n">
        <v>129.99</v>
      </c>
      <c r="F502" s="5" t="inlineStr">
        <is>
          <t>USD</t>
        </is>
      </c>
      <c r="G502" s="5" t="inlineStr">
        <is>
          <t>eBay API; vendedor jorgejhj 100.0%; AMD Ryzen 5 7500F Ryzen 5 6-Core 3.7GHz Socket AM5; envío no indicado</t>
        </is>
      </c>
      <c r="H502" s="6" t="inlineStr">
        <is>
          <t>ver</t>
        </is>
      </c>
    </row>
    <row r="503">
      <c r="A503" s="15" t="n">
        <v>46306</v>
      </c>
      <c r="B503" s="5" t="inlineStr">
        <is>
          <t>Tienda</t>
        </is>
      </c>
      <c r="C503" s="5" t="inlineStr">
        <is>
          <t>Ryzen 9 9950X</t>
        </is>
      </c>
      <c r="D503" s="5" t="inlineStr">
        <is>
          <t>MSR Computers (web; fecha de actualización desconocida)</t>
        </is>
      </c>
      <c r="E503" s="11" t="n">
        <v>5580</v>
      </c>
      <c r="F503" s="5" t="inlineStr">
        <is>
          <t>Bs</t>
        </is>
      </c>
      <c r="G503" s="5" t="inlineStr">
        <is>
          <t>nuevo</t>
        </is>
      </c>
      <c r="H503" s="6" t="inlineStr">
        <is>
          <t>ver</t>
        </is>
      </c>
    </row>
    <row r="504">
      <c r="A504" s="15" t="n">
        <v>46306</v>
      </c>
      <c r="B504" s="5" t="inlineStr">
        <is>
          <t>Tienda</t>
        </is>
      </c>
      <c r="C504" s="5" t="inlineStr">
        <is>
          <t>Intel Core i5-13400</t>
        </is>
      </c>
      <c r="D504" s="5" t="inlineStr">
        <is>
          <t>MSR Computers (web; fecha de actualización desconocida)</t>
        </is>
      </c>
      <c r="E504" s="11" t="n">
        <v>2300</v>
      </c>
      <c r="F504" s="5" t="inlineStr">
        <is>
          <t>Bs</t>
        </is>
      </c>
      <c r="G504" s="5" t="inlineStr">
        <is>
          <t>nuevo</t>
        </is>
      </c>
      <c r="H504" s="6" t="inlineStr">
        <is>
          <t>ver</t>
        </is>
      </c>
    </row>
    <row r="505">
      <c r="A505" s="15" t="n">
        <v>46306</v>
      </c>
      <c r="B505" s="5" t="inlineStr">
        <is>
          <t>Tienda</t>
        </is>
      </c>
      <c r="C505" s="5" t="inlineStr">
        <is>
          <t>Intel Core Ultra 7 265K</t>
        </is>
      </c>
      <c r="D505" s="5" t="inlineStr">
        <is>
          <t>MSR Computers (web; fecha de actualización desconocida)</t>
        </is>
      </c>
      <c r="E505" s="11" t="n">
        <v>3950</v>
      </c>
      <c r="F505" s="5" t="inlineStr">
        <is>
          <t>Bs</t>
        </is>
      </c>
      <c r="G505" s="5" t="inlineStr">
        <is>
          <t>nuevo</t>
        </is>
      </c>
      <c r="H505" s="6" t="inlineStr">
        <is>
          <t>ver</t>
        </is>
      </c>
    </row>
    <row r="506">
      <c r="A506" s="15" t="n">
        <v>46306</v>
      </c>
      <c r="B506" s="5" t="inlineStr">
        <is>
          <t>Marketplace</t>
        </is>
      </c>
      <c r="C506" s="5" t="inlineStr">
        <is>
          <t>Ryzen 7 7800X3D</t>
        </is>
      </c>
      <c r="D506" s="5" t="inlineStr">
        <is>
          <t>Marketplace Cochabamba (particular/vendedor)</t>
        </is>
      </c>
      <c r="E506" s="11" t="n">
        <v>4800</v>
      </c>
      <c r="F506" s="5" t="inlineStr">
        <is>
          <t>Bs</t>
        </is>
      </c>
      <c r="G506" s="5" t="inlineStr">
        <is>
          <t>nuevo sellado (según anuncio)</t>
        </is>
      </c>
      <c r="H506" s="6" t="inlineStr">
        <is>
          <t>ver</t>
        </is>
      </c>
    </row>
    <row r="507">
      <c r="A507" s="15" t="n">
        <v>46306</v>
      </c>
      <c r="B507" s="5" t="inlineStr">
        <is>
          <t>Marketplace</t>
        </is>
      </c>
      <c r="C507" s="5" t="inlineStr">
        <is>
          <t>Ryzen 7 7800X3D</t>
        </is>
      </c>
      <c r="D507" s="5" t="inlineStr">
        <is>
          <t>Marketplace Cochabamba</t>
        </is>
      </c>
      <c r="E507" s="11" t="n">
        <v>5190</v>
      </c>
      <c r="F507" s="5" t="inlineStr">
        <is>
          <t>Bs</t>
        </is>
      </c>
      <c r="G507" s="5" t="inlineStr">
        <is>
          <t>no indicado</t>
        </is>
      </c>
      <c r="H507" s="6" t="inlineStr">
        <is>
          <t>ver</t>
        </is>
      </c>
    </row>
    <row r="508">
      <c r="A508" s="15" t="n">
        <v>46306</v>
      </c>
      <c r="B508" s="5" t="inlineStr">
        <is>
          <t>Marketplace</t>
        </is>
      </c>
      <c r="C508" s="5" t="inlineStr">
        <is>
          <t>Ryzen 7 7800X3D</t>
        </is>
      </c>
      <c r="D508" s="5" t="inlineStr">
        <is>
          <t>Marketplace Cochabamba</t>
        </is>
      </c>
      <c r="E508" s="11" t="n">
        <v>5390</v>
      </c>
      <c r="F508" s="5" t="inlineStr">
        <is>
          <t>Bs</t>
        </is>
      </c>
      <c r="G508" s="5" t="inlineStr">
        <is>
          <t>no indicado</t>
        </is>
      </c>
      <c r="H508" s="6" t="inlineStr">
        <is>
          <t>ver</t>
        </is>
      </c>
    </row>
    <row r="509">
      <c r="A509" s="15" t="n">
        <v>46306</v>
      </c>
      <c r="B509" s="5" t="inlineStr">
        <is>
          <t>Marketplace</t>
        </is>
      </c>
      <c r="C509" s="5" t="inlineStr">
        <is>
          <t>Ryzen 5 7600</t>
        </is>
      </c>
      <c r="D509" s="5" t="inlineStr">
        <is>
          <t>Marketplace La Paz</t>
        </is>
      </c>
      <c r="E509" s="11" t="n">
        <v>2000</v>
      </c>
      <c r="F509" s="5" t="inlineStr">
        <is>
          <t>Bs</t>
        </is>
      </c>
      <c r="G509" s="5" t="inlineStr">
        <is>
          <t>no indicado (es 7600X; está en La Paz: solo referencia)</t>
        </is>
      </c>
      <c r="H509" s="6" t="inlineStr">
        <is>
          <t>ver</t>
        </is>
      </c>
    </row>
    <row r="510">
      <c r="A510" s="15" t="n">
        <v>46306</v>
      </c>
      <c r="B510" s="5" t="inlineStr">
        <is>
          <t>Marketplace</t>
        </is>
      </c>
      <c r="C510" s="5" t="inlineStr">
        <is>
          <t>Ryzen 5 7600</t>
        </is>
      </c>
      <c r="D510" s="5" t="inlineStr">
        <is>
          <t>Marketplace La Paz</t>
        </is>
      </c>
      <c r="E510" s="11" t="n">
        <v>2650</v>
      </c>
      <c r="F510" s="5" t="inlineStr">
        <is>
          <t>Bs</t>
        </is>
      </c>
      <c r="G510" s="5" t="inlineStr">
        <is>
          <t>no indicado (es 7600X; está en La Paz: solo referencia)</t>
        </is>
      </c>
      <c r="H510" s="6" t="inlineStr">
        <is>
          <t>ver</t>
        </is>
      </c>
    </row>
    <row r="511">
      <c r="A511" s="15" t="n">
        <v>46306</v>
      </c>
      <c r="B511" s="5" t="inlineStr">
        <is>
          <t>Marketplace</t>
        </is>
      </c>
      <c r="C511" s="5" t="inlineStr">
        <is>
          <t>Intel Core i5-14400F</t>
        </is>
      </c>
      <c r="D511" s="5" t="inlineStr">
        <is>
          <t>Marketplace Cochabamba</t>
        </is>
      </c>
      <c r="E511" s="11" t="n">
        <v>2700</v>
      </c>
      <c r="F511" s="5" t="inlineStr">
        <is>
          <t>Bs</t>
        </is>
      </c>
      <c r="G511" s="5" t="inlineStr">
        <is>
          <t>confirmado por Messenger el 12/10: es el i5-14400 con gráficos (no el F), nuevo en blíster, precio final Bs 2.700; no cuenta</t>
        </is>
      </c>
      <c r="H511" s="6" t="inlineStr">
        <is>
          <t>ver</t>
        </is>
      </c>
    </row>
    <row r="512">
      <c r="A512" s="15" t="n">
        <v>46306</v>
      </c>
      <c r="B512" s="5" t="inlineStr">
        <is>
          <t>Marketplace</t>
        </is>
      </c>
      <c r="C512" s="5" t="inlineStr">
        <is>
          <t>Corsair Vengeance RGB DDR5 32GB (2x16) 6000</t>
        </is>
      </c>
      <c r="D512" s="5" t="inlineStr">
        <is>
          <t>Marketplace Cochabamba</t>
        </is>
      </c>
      <c r="E512" s="11" t="n">
        <v>6200</v>
      </c>
      <c r="F512" s="5" t="inlineStr">
        <is>
          <t>Bs</t>
        </is>
      </c>
      <c r="G512" s="5" t="inlineStr">
        <is>
          <t>no indicado (modelo RS)</t>
        </is>
      </c>
      <c r="H512" s="6" t="inlineStr">
        <is>
          <t>ver</t>
        </is>
      </c>
    </row>
    <row r="513">
      <c r="A513" s="15" t="n">
        <v>46306</v>
      </c>
      <c r="B513" s="5" t="inlineStr">
        <is>
          <t>Marketplace</t>
        </is>
      </c>
      <c r="C513" s="5" t="inlineStr">
        <is>
          <t>RAM DDR4 16GB (2x8) 3200</t>
        </is>
      </c>
      <c r="D513" s="5" t="inlineStr">
        <is>
          <t>Marketplace Cochabamba</t>
        </is>
      </c>
      <c r="E513" s="11" t="n">
        <v>540</v>
      </c>
      <c r="F513" s="5" t="inlineStr">
        <is>
          <t>Bs</t>
        </is>
      </c>
      <c r="G513" s="5" t="inlineStr">
        <is>
          <t>no indicado (Kingston Fury Beast RGB 16GB 3200; probablemente 1x16; no cuenta)</t>
        </is>
      </c>
      <c r="H513" s="6" t="inlineStr">
        <is>
          <t>ver</t>
        </is>
      </c>
    </row>
    <row r="514">
      <c r="A514" s="15" t="n">
        <v>46306</v>
      </c>
      <c r="B514" s="5" t="inlineStr">
        <is>
          <t>Marketplace</t>
        </is>
      </c>
      <c r="C514" s="5" t="inlineStr">
        <is>
          <t>RAM DDR4 16GB (2x8) 3200</t>
        </is>
      </c>
      <c r="D514" s="5" t="inlineStr">
        <is>
          <t>Marketplace Cochabamba</t>
        </is>
      </c>
      <c r="E514" s="11" t="n">
        <v>900</v>
      </c>
      <c r="F514" s="5" t="inlineStr">
        <is>
          <t>Bs</t>
        </is>
      </c>
      <c r="G514" s="5" t="inlineStr">
        <is>
          <t>no indicado (16GB 3200; configuración no indicada)</t>
        </is>
      </c>
      <c r="H514" s="6" t="inlineStr">
        <is>
          <t>ver</t>
        </is>
      </c>
    </row>
    <row r="515">
      <c r="A515" s="15" t="n">
        <v>46306</v>
      </c>
      <c r="B515" s="5" t="inlineStr">
        <is>
          <t>Marketplace</t>
        </is>
      </c>
      <c r="C515" s="5" t="inlineStr">
        <is>
          <t>RAM DDR4 16GB (2x8) 3200</t>
        </is>
      </c>
      <c r="D515" s="5" t="inlineStr">
        <is>
          <t>Marketplace Cochabamba</t>
        </is>
      </c>
      <c r="E515" s="11" t="n">
        <v>1500</v>
      </c>
      <c r="F515" s="5" t="inlineStr">
        <is>
          <t>Bs</t>
        </is>
      </c>
      <c r="G515" s="5" t="inlineStr">
        <is>
          <t>no indicado (2x8 3200; Sacaba)</t>
        </is>
      </c>
      <c r="H515" s="6" t="inlineStr">
        <is>
          <t>ver</t>
        </is>
      </c>
    </row>
    <row r="516">
      <c r="A516" s="15" t="n">
        <v>46306</v>
      </c>
      <c r="B516" s="5" t="inlineStr">
        <is>
          <t>Marketplace</t>
        </is>
      </c>
      <c r="C516" s="5" t="inlineStr">
        <is>
          <t>RAM DDR4 16GB (2x8) 3200</t>
        </is>
      </c>
      <c r="D516" s="5" t="inlineStr">
        <is>
          <t>Marketplace Cochabamba</t>
        </is>
      </c>
      <c r="E516" s="11" t="n">
        <v>1500</v>
      </c>
      <c r="F516" s="5" t="inlineStr">
        <is>
          <t>Bs</t>
        </is>
      </c>
      <c r="G516" s="5" t="inlineStr">
        <is>
          <t>no indicado (Corsair Vengeance 2x8; Sacaba; rebajado de 1600)</t>
        </is>
      </c>
      <c r="H516" s="6" t="inlineStr">
        <is>
          <t>ver</t>
        </is>
      </c>
    </row>
    <row r="517">
      <c r="A517" s="15" t="n">
        <v>46306</v>
      </c>
      <c r="B517" s="5" t="inlineStr">
        <is>
          <t>Marketplace</t>
        </is>
      </c>
      <c r="C517" s="5" t="inlineStr">
        <is>
          <t>SSD NVMe 1TB</t>
        </is>
      </c>
      <c r="D517" s="5" t="inlineStr">
        <is>
          <t>Marketplace Cochabamba</t>
        </is>
      </c>
      <c r="E517" s="11" t="n">
        <v>1850</v>
      </c>
      <c r="F517" s="5" t="inlineStr">
        <is>
          <t>Bs</t>
        </is>
      </c>
      <c r="G517" s="5" t="inlineStr">
        <is>
          <t>no indicado (Kingston NV3 1TB)</t>
        </is>
      </c>
      <c r="H517" s="6" t="inlineStr">
        <is>
          <t>ver</t>
        </is>
      </c>
    </row>
    <row r="518">
      <c r="A518" s="15" t="n">
        <v>46306</v>
      </c>
      <c r="B518" s="5" t="inlineStr">
        <is>
          <t>Marketplace</t>
        </is>
      </c>
      <c r="C518" s="5" t="inlineStr">
        <is>
          <t>SSD NVMe 1TB</t>
        </is>
      </c>
      <c r="D518" s="5" t="inlineStr">
        <is>
          <t>Marketplace Cochabamba</t>
        </is>
      </c>
      <c r="E518" s="11" t="n">
        <v>2000</v>
      </c>
      <c r="F518" s="5" t="inlineStr">
        <is>
          <t>Bs</t>
        </is>
      </c>
      <c r="G518" s="5" t="inlineStr">
        <is>
          <t>no indicado (Crucial P310 1TB)</t>
        </is>
      </c>
      <c r="H518" s="6" t="inlineStr">
        <is>
          <t>ver</t>
        </is>
      </c>
    </row>
    <row r="519">
      <c r="A519" s="15" t="n">
        <v>46306</v>
      </c>
      <c r="B519" s="5" t="inlineStr">
        <is>
          <t>Marketplace</t>
        </is>
      </c>
      <c r="C519" s="5" t="inlineStr">
        <is>
          <t>SSD NVMe 1TB</t>
        </is>
      </c>
      <c r="D519" s="5" t="inlineStr">
        <is>
          <t>Marketplace Cochabamba</t>
        </is>
      </c>
      <c r="E519" s="11" t="n">
        <v>1800</v>
      </c>
      <c r="F519" s="5" t="inlineStr">
        <is>
          <t>Bs</t>
        </is>
      </c>
      <c r="G519" s="5" t="inlineStr">
        <is>
          <t>no indicado (M.2 1TB; marca no indicada)</t>
        </is>
      </c>
      <c r="H519" s="6" t="inlineStr">
        <is>
          <t>ver</t>
        </is>
      </c>
    </row>
    <row r="520">
      <c r="A520" s="15" t="n">
        <v>46306</v>
      </c>
      <c r="B520" s="5" t="inlineStr">
        <is>
          <t>Marketplace</t>
        </is>
      </c>
      <c r="C520" s="5" t="inlineStr">
        <is>
          <t>SSD NVMe 2TB</t>
        </is>
      </c>
      <c r="D520" s="5" t="inlineStr">
        <is>
          <t>Marketplace Cochabamba</t>
        </is>
      </c>
      <c r="E520" s="11" t="n">
        <v>3550</v>
      </c>
      <c r="F520" s="5" t="inlineStr">
        <is>
          <t>Bs</t>
        </is>
      </c>
      <c r="G520" s="5" t="inlineStr">
        <is>
          <t>revisado el 12/10: es un SSD externo portátil SanDisk 2TB (1050 MB/s, USB con cable, IP65), no un NVMe interno; no cuenta</t>
        </is>
      </c>
      <c r="H520" s="6" t="inlineStr">
        <is>
          <t>ver</t>
        </is>
      </c>
    </row>
    <row r="521">
      <c r="A521" s="15" t="n">
        <v>46307</v>
      </c>
      <c r="B521" s="5" t="inlineStr">
        <is>
          <t>Tienda</t>
        </is>
      </c>
      <c r="C521" s="5" t="inlineStr">
        <is>
          <t>Ryzen 7 7800X3D</t>
        </is>
      </c>
      <c r="D521" s="5" t="inlineStr">
        <is>
          <t>Cyrex Store (WhatsApp)</t>
        </is>
      </c>
      <c r="E521" s="11" t="n">
        <v>5664</v>
      </c>
      <c r="F521" s="5" t="inlineStr">
        <is>
          <t>Bs</t>
        </is>
      </c>
      <c r="G521" s="5" t="inlineStr">
        <is>
          <t>BOX (según foto de su web; USD 480)</t>
        </is>
      </c>
      <c r="H521" s="6" t="inlineStr">
        <is>
          <t>ver</t>
        </is>
      </c>
    </row>
    <row r="522">
      <c r="A522" s="15" t="n">
        <v>46307</v>
      </c>
      <c r="B522" s="5" t="inlineStr">
        <is>
          <t>Tienda</t>
        </is>
      </c>
      <c r="C522" s="5" t="inlineStr">
        <is>
          <t>Intel Core i5-14400F</t>
        </is>
      </c>
      <c r="D522" s="5" t="inlineStr">
        <is>
          <t>Cyrex Store (WhatsApp)</t>
        </is>
      </c>
      <c r="E522" s="11" t="n">
        <v>2537</v>
      </c>
      <c r="F522" s="5" t="inlineStr">
        <is>
          <t>Bs</t>
        </is>
      </c>
      <c r="G522" s="5" t="inlineStr">
        <is>
          <t>OEM (sin caja; según foto de su web; USD 215)</t>
        </is>
      </c>
      <c r="H522" s="6" t="inlineStr">
        <is>
          <t>ver</t>
        </is>
      </c>
    </row>
    <row r="523">
      <c r="A523" s="15" t="n">
        <v>46307</v>
      </c>
      <c r="B523" s="5" t="inlineStr">
        <is>
          <t>Tienda</t>
        </is>
      </c>
      <c r="C523" s="5" t="inlineStr">
        <is>
          <t>RAM DDR5 16GB (1x16) 6000</t>
        </is>
      </c>
      <c r="D523" s="5" t="inlineStr">
        <is>
          <t>Cyrex Store (WhatsApp)</t>
        </is>
      </c>
      <c r="E523" s="11" t="n">
        <v>3127</v>
      </c>
      <c r="F523" s="5" t="inlineStr">
        <is>
          <t>Bs</t>
        </is>
      </c>
      <c r="G523" s="5" t="inlineStr">
        <is>
          <t>no indicado (Patriot Viper Venom RGB 1x16 CL30; USD 265; no es el kit Corsair 2x16: solo referencia)</t>
        </is>
      </c>
      <c r="H523" s="6" t="inlineStr">
        <is>
          <t>ver</t>
        </is>
      </c>
    </row>
    <row r="524">
      <c r="A524" s="15" t="n">
        <v>46307</v>
      </c>
      <c r="B524" s="5" t="inlineStr">
        <is>
          <t>Tienda</t>
        </is>
      </c>
      <c r="C524" s="5" t="inlineStr">
        <is>
          <t>RAM DDR4 16GB (2x8) 3200</t>
        </is>
      </c>
      <c r="D524" s="5" t="inlineStr">
        <is>
          <t>Compucenter (WhatsApp)</t>
        </is>
      </c>
      <c r="E524" s="11" t="n">
        <v>2150</v>
      </c>
      <c r="F524" s="5" t="inlineStr">
        <is>
          <t>Bs</t>
        </is>
      </c>
      <c r="G524" s="5" t="inlineStr">
        <is>
          <t>nuevo (Corsair Vengeance RGB DDR4 16GB 3600; no dice si es 2x8; Bs 2.560 con factura)</t>
        </is>
      </c>
      <c r="H524" s="6" t="inlineStr">
        <is>
          <t>ver</t>
        </is>
      </c>
    </row>
    <row r="525">
      <c r="A525" s="15" t="n">
        <v>46307</v>
      </c>
      <c r="B525" s="5" t="inlineStr">
        <is>
          <t>Tienda</t>
        </is>
      </c>
      <c r="C525" s="5" t="inlineStr">
        <is>
          <t>Ryzen 9 9950X</t>
        </is>
      </c>
      <c r="D525" s="5" t="inlineStr">
        <is>
          <t>Tienda Supermall (WhatsApp)</t>
        </is>
      </c>
      <c r="E525" s="11" t="n">
        <v>6140</v>
      </c>
      <c r="F525" s="5" t="inlineStr">
        <is>
          <t>Bs</t>
        </is>
      </c>
      <c r="G525" s="5" t="inlineStr">
        <is>
          <t>nuevo OEM (garantía 6 meses)</t>
        </is>
      </c>
      <c r="H525" s="6" t="inlineStr">
        <is>
          <t>ver</t>
        </is>
      </c>
    </row>
    <row r="526">
      <c r="A526" s="15" t="n">
        <v>46307</v>
      </c>
      <c r="B526" s="5" t="inlineStr">
        <is>
          <t>Tienda</t>
        </is>
      </c>
      <c r="C526" s="5" t="inlineStr">
        <is>
          <t>Ryzen 7 7800X3D</t>
        </is>
      </c>
      <c r="D526" s="5" t="inlineStr">
        <is>
          <t>Tienda Supermall (WhatsApp)</t>
        </is>
      </c>
      <c r="E526" s="11" t="n">
        <v>4760</v>
      </c>
      <c r="F526" s="5" t="inlineStr">
        <is>
          <t>Bs</t>
        </is>
      </c>
      <c r="G526" s="5" t="inlineStr">
        <is>
          <t>no indicado (la tienda lo ofrece como "7700x3d"; foto de caja 7800X3D; stock bajo; garantía 6 meses; confirmar modelo)</t>
        </is>
      </c>
      <c r="H526" s="6" t="inlineStr">
        <is>
          <t>ver</t>
        </is>
      </c>
    </row>
    <row r="527">
      <c r="A527" s="15" t="n">
        <v>46307</v>
      </c>
      <c r="B527" s="5" t="inlineStr">
        <is>
          <t>Tienda</t>
        </is>
      </c>
      <c r="C527" s="5" t="inlineStr">
        <is>
          <t>Corsair Vengeance RGB DDR5 32GB (2x16) 6000</t>
        </is>
      </c>
      <c r="D527" s="5" t="inlineStr">
        <is>
          <t>PC Components Bolivia (WhatsApp; Santa Cruz: referencia)</t>
        </is>
      </c>
      <c r="E527" s="11" t="n">
        <v>6800</v>
      </c>
      <c r="F527" s="5" t="inlineStr">
        <is>
          <t>Bs</t>
        </is>
      </c>
      <c r="G527" s="5" t="inlineStr">
        <is>
          <t>no indicado</t>
        </is>
      </c>
      <c r="H527" s="6" t="inlineStr">
        <is>
          <t>ver</t>
        </is>
      </c>
    </row>
    <row r="528">
      <c r="A528" s="15" t="n">
        <v>46307</v>
      </c>
      <c r="B528" s="5" t="inlineStr">
        <is>
          <t>Tienda</t>
        </is>
      </c>
      <c r="C528" s="5" t="inlineStr">
        <is>
          <t>SSD NVMe 1TB</t>
        </is>
      </c>
      <c r="D528" s="5" t="inlineStr">
        <is>
          <t>PC Components Bolivia (WhatsApp; Santa Cruz: referencia)</t>
        </is>
      </c>
      <c r="E528" s="11" t="n">
        <v>2100</v>
      </c>
      <c r="F528" s="5" t="inlineStr">
        <is>
          <t>Bs</t>
        </is>
      </c>
      <c r="G528" s="5" t="inlineStr">
        <is>
          <t>no indicado (Kingston NV3 PCIe 4.0; Santa Cruz: referencia)</t>
        </is>
      </c>
      <c r="H528" s="6" t="inlineStr">
        <is>
          <t>ver</t>
        </is>
      </c>
    </row>
    <row r="529">
      <c r="A529" s="15" t="n">
        <v>46307</v>
      </c>
      <c r="B529" s="5" t="inlineStr">
        <is>
          <t>Tienda</t>
        </is>
      </c>
      <c r="C529" s="5" t="inlineStr">
        <is>
          <t>SSD NVMe 1TB</t>
        </is>
      </c>
      <c r="D529" s="5" t="inlineStr">
        <is>
          <t>PC Components Bolivia (WhatsApp; Santa Cruz: referencia)</t>
        </is>
      </c>
      <c r="E529" s="11" t="n">
        <v>1800</v>
      </c>
      <c r="F529" s="5" t="inlineStr">
        <is>
          <t>Bs</t>
        </is>
      </c>
      <c r="G529" s="5" t="inlineStr">
        <is>
          <t>no indicado (marca "ediloca" PCIe 4.0; Santa Cruz: referencia)</t>
        </is>
      </c>
      <c r="H529" s="6" t="inlineStr">
        <is>
          <t>ver</t>
        </is>
      </c>
    </row>
    <row r="530">
      <c r="A530" s="15" t="n">
        <v>46307</v>
      </c>
      <c r="B530" s="5" t="inlineStr">
        <is>
          <t>Marketplace</t>
        </is>
      </c>
      <c r="C530" s="5" t="inlineStr">
        <is>
          <t>Corsair Vengeance RGB DDR5 32GB (2x16) 5600</t>
        </is>
      </c>
      <c r="D530" s="5" t="inlineStr">
        <is>
          <t>Marketplace Cochabamba (particular)</t>
        </is>
      </c>
      <c r="E530" s="11" t="n">
        <v>4500</v>
      </c>
      <c r="F530" s="5" t="inlineStr">
        <is>
          <t>Bs</t>
        </is>
      </c>
      <c r="G530" s="5" t="inlineStr">
        <is>
          <t>usado como nuevo (4 meses de uso; publicado hace 7 semanas)</t>
        </is>
      </c>
      <c r="H530" s="6" t="inlineStr">
        <is>
          <t>ver</t>
        </is>
      </c>
    </row>
    <row r="531">
      <c r="A531" s="15" t="n">
        <v>46307</v>
      </c>
      <c r="B531" s="5" t="inlineStr">
        <is>
          <t>Tienda</t>
        </is>
      </c>
      <c r="C531" s="5" t="inlineStr">
        <is>
          <t>Corsair Vengeance RGB DDR5 32GB (2x16) 6000</t>
        </is>
      </c>
      <c r="D531" s="5" t="inlineStr">
        <is>
          <t>PC Components Bolivia (WhatsApp; Santa Cruz: referencia)</t>
        </is>
      </c>
      <c r="E531" s="11" t="n">
        <v>6700</v>
      </c>
      <c r="F531" s="5" t="inlineStr">
        <is>
          <t>Bs</t>
        </is>
      </c>
      <c r="G531" s="5" t="inlineStr">
        <is>
          <t>no indicado (precio c/u llevando 2; Santa Cruz: referencia)</t>
        </is>
      </c>
      <c r="H531" s="6" t="inlineStr">
        <is>
          <t>ver</t>
        </is>
      </c>
    </row>
    <row r="532">
      <c r="A532" s="15" t="n">
        <v>46307</v>
      </c>
      <c r="B532" s="5" t="inlineStr">
        <is>
          <t>Tienda</t>
        </is>
      </c>
      <c r="C532" s="5" t="inlineStr">
        <is>
          <t>Intel Core i5-14400F</t>
        </is>
      </c>
      <c r="D532" s="5" t="inlineStr">
        <is>
          <t>Punto Tecnológico · Supermall (web)</t>
        </is>
      </c>
      <c r="E532" s="11" t="n">
        <v>2520</v>
      </c>
      <c r="F532" s="5" t="inlineStr">
        <is>
          <t>Bs</t>
        </is>
      </c>
      <c r="G532" s="5" t="inlineStr">
        <is>
          <t>disponible (web)</t>
        </is>
      </c>
      <c r="H532" s="6" t="inlineStr">
        <is>
          <t>ver</t>
        </is>
      </c>
    </row>
    <row r="533">
      <c r="A533" s="15" t="n">
        <v>46307</v>
      </c>
      <c r="B533" s="5" t="inlineStr">
        <is>
          <t>Tienda</t>
        </is>
      </c>
      <c r="C533" s="5" t="inlineStr">
        <is>
          <t>Intel Core Ultra 7 265K</t>
        </is>
      </c>
      <c r="D533" s="5" t="inlineStr">
        <is>
          <t>Punto Tecnológico · Supermall (web)</t>
        </is>
      </c>
      <c r="E533" s="11" t="n">
        <v>4290</v>
      </c>
      <c r="F533" s="5" t="inlineStr">
        <is>
          <t>Bs</t>
        </is>
      </c>
      <c r="G533" s="5" t="inlineStr">
        <is>
          <t>stock bajo (web; por WhatsApp dijeron que el 265K solo está en Santa Cruz)</t>
        </is>
      </c>
      <c r="H533" s="6" t="inlineStr">
        <is>
          <t>ver</t>
        </is>
      </c>
    </row>
    <row r="534">
      <c r="A534" s="15" t="n">
        <v>46307</v>
      </c>
      <c r="B534" s="5" t="inlineStr">
        <is>
          <t>Tienda</t>
        </is>
      </c>
      <c r="C534" s="5" t="inlineStr">
        <is>
          <t>Ryzen 5 7600</t>
        </is>
      </c>
      <c r="D534" s="5" t="inlineStr">
        <is>
          <t>Punto Tecnológico · Supermall (web)</t>
        </is>
      </c>
      <c r="E534" s="11" t="n">
        <v>2860</v>
      </c>
      <c r="F534" s="5" t="inlineStr">
        <is>
          <t>Bs</t>
        </is>
      </c>
      <c r="G534" s="5" t="inlineStr">
        <is>
          <t>stock bajo (web)</t>
        </is>
      </c>
      <c r="H534" s="6" t="inlineStr">
        <is>
          <t>ver</t>
        </is>
      </c>
    </row>
    <row r="535">
      <c r="A535" s="15" t="n">
        <v>46307</v>
      </c>
      <c r="B535" s="5" t="inlineStr">
        <is>
          <t>Tienda</t>
        </is>
      </c>
      <c r="C535" s="5" t="inlineStr">
        <is>
          <t>Intel Core i5-12400F</t>
        </is>
      </c>
      <c r="D535" s="5" t="inlineStr">
        <is>
          <t>Punto Tecnológico · Supermall (web)</t>
        </is>
      </c>
      <c r="E535" s="11" t="n">
        <v>2460</v>
      </c>
      <c r="F535" s="5" t="inlineStr">
        <is>
          <t>Bs</t>
        </is>
      </c>
      <c r="G535" s="5" t="inlineStr">
        <is>
          <t>disponible (web)</t>
        </is>
      </c>
      <c r="H535" s="6" t="inlineStr">
        <is>
          <t>ver</t>
        </is>
      </c>
    </row>
    <row r="536">
      <c r="A536" s="15" t="n">
        <v>46307</v>
      </c>
      <c r="B536" s="5" t="inlineStr">
        <is>
          <t>Tienda</t>
        </is>
      </c>
      <c r="C536" s="5" t="inlineStr">
        <is>
          <t>Ryzen 7 7800X3D</t>
        </is>
      </c>
      <c r="D536" s="5" t="inlineStr">
        <is>
          <t>Punto Tecnológico · Supermall (web)</t>
        </is>
      </c>
      <c r="E536" s="11" t="n">
        <v>5360</v>
      </c>
      <c r="F536" s="5" t="inlineStr">
        <is>
          <t>Bs</t>
        </is>
      </c>
      <c r="G536" s="5" t="inlineStr">
        <is>
          <t>agotado (web, "Ryzen 7 7800x3d Chip"; precio de referencia; no cuenta)</t>
        </is>
      </c>
      <c r="H536" s="6" t="inlineStr">
        <is>
          <t>ver</t>
        </is>
      </c>
    </row>
    <row r="537">
      <c r="A537" s="15" t="n">
        <v>46307</v>
      </c>
      <c r="B537" s="5" t="inlineStr">
        <is>
          <t>Tienda</t>
        </is>
      </c>
      <c r="C537" s="5" t="inlineStr">
        <is>
          <t>Ryzen 5 5600</t>
        </is>
      </c>
      <c r="D537" s="5" t="inlineStr">
        <is>
          <t>Punto Tecnológico · Supermall (web)</t>
        </is>
      </c>
      <c r="E537" s="11" t="n">
        <v>1710</v>
      </c>
      <c r="F537" s="5" t="inlineStr">
        <is>
          <t>Bs</t>
        </is>
      </c>
      <c r="G537" s="5" t="inlineStr">
        <is>
          <t>agotado (web; precio de referencia; no cuenta)</t>
        </is>
      </c>
      <c r="H537" s="6" t="inlineStr">
        <is>
          <t>ver</t>
        </is>
      </c>
    </row>
    <row r="538">
      <c r="A538" s="15" t="n">
        <v>46307</v>
      </c>
      <c r="B538" s="5" t="inlineStr">
        <is>
          <t>Tienda</t>
        </is>
      </c>
      <c r="C538" s="5" t="inlineStr">
        <is>
          <t>Intel Core i5-13400</t>
        </is>
      </c>
      <c r="D538" s="5" t="inlineStr">
        <is>
          <t>Punto Tecnológico · Supermall (web)</t>
        </is>
      </c>
      <c r="E538" s="11" t="n">
        <v>2310</v>
      </c>
      <c r="F538" s="5" t="inlineStr">
        <is>
          <t>Bs</t>
        </is>
      </c>
      <c r="G538" s="5" t="inlineStr">
        <is>
          <t>agotado (web; precio de referencia; no cuenta)</t>
        </is>
      </c>
      <c r="H538" s="6" t="inlineStr">
        <is>
          <t>ver</t>
        </is>
      </c>
    </row>
    <row r="539">
      <c r="A539" s="15" t="n">
        <v>46307</v>
      </c>
      <c r="B539" s="5" t="inlineStr">
        <is>
          <t>Tienda</t>
        </is>
      </c>
      <c r="C539" s="5" t="inlineStr">
        <is>
          <t>RAM DDR4 16GB (2x8) 3200</t>
        </is>
      </c>
      <c r="D539" s="5" t="inlineStr">
        <is>
          <t>Punto Tecnológico · Supermall (web)</t>
        </is>
      </c>
      <c r="E539" s="11" t="n">
        <v>2160</v>
      </c>
      <c r="F539" s="5" t="inlineStr">
        <is>
          <t>Bs</t>
        </is>
      </c>
      <c r="G539" s="5" t="inlineStr">
        <is>
          <t>disponible (web; Corsair Vengeance RGB Pro TUF Gaming 2x8 3200)</t>
        </is>
      </c>
      <c r="H539" s="6" t="inlineStr">
        <is>
          <t>ver</t>
        </is>
      </c>
    </row>
    <row r="540">
      <c r="A540" s="15" t="n">
        <v>46307</v>
      </c>
      <c r="B540" s="5" t="inlineStr">
        <is>
          <t>Tienda</t>
        </is>
      </c>
      <c r="C540" s="5" t="inlineStr">
        <is>
          <t>Corsair Vengeance RGB DDR5 32GB (2x16) 6000</t>
        </is>
      </c>
      <c r="D540" s="5" t="inlineStr">
        <is>
          <t>Punto Tecnológico · Supermall (web)</t>
        </is>
      </c>
      <c r="E540" s="11" t="n">
        <v>5360</v>
      </c>
      <c r="F540" s="5" t="inlineStr">
        <is>
          <t>Bs</t>
        </is>
      </c>
      <c r="G540" s="5" t="inlineStr">
        <is>
          <t>agotado (web; precio de referencia; no cuenta)</t>
        </is>
      </c>
      <c r="H540" s="6" t="inlineStr">
        <is>
          <t>ver</t>
        </is>
      </c>
    </row>
    <row r="541">
      <c r="A541" s="15" t="n">
        <v>46307</v>
      </c>
      <c r="B541" s="5" t="inlineStr">
        <is>
          <t>Tienda</t>
        </is>
      </c>
      <c r="C541" s="5" t="inlineStr">
        <is>
          <t>Corsair Vengeance RGB DDR5 32GB (2x16) 6000</t>
        </is>
      </c>
      <c r="D541" s="5" t="inlineStr">
        <is>
          <t>Punto Tecnológico · Supermall (web)</t>
        </is>
      </c>
      <c r="E541" s="11" t="n">
        <v>5660</v>
      </c>
      <c r="F541" s="5" t="inlineStr">
        <is>
          <t>Bs</t>
        </is>
      </c>
      <c r="G541" s="5" t="inlineStr">
        <is>
          <t>disponible (web; Patriot Viper 32GB 6000 RGB: otra marca; no cuenta)</t>
        </is>
      </c>
      <c r="H541" s="6" t="inlineStr">
        <is>
          <t>ver</t>
        </is>
      </c>
    </row>
    <row r="542">
      <c r="A542" s="15" t="n">
        <v>46307</v>
      </c>
      <c r="B542" s="5" t="inlineStr">
        <is>
          <t>Tienda</t>
        </is>
      </c>
      <c r="C542" s="5" t="inlineStr">
        <is>
          <t>Corsair Vengeance RGB DDR5 32GB (2x16) 5600</t>
        </is>
      </c>
      <c r="D542" s="5" t="inlineStr">
        <is>
          <t>Punto Tecnológico · Supermall (web)</t>
        </is>
      </c>
      <c r="E542" s="11" t="n">
        <v>5860</v>
      </c>
      <c r="F542" s="5" t="inlineStr">
        <is>
          <t>Bs</t>
        </is>
      </c>
      <c r="G542" s="5" t="inlineStr">
        <is>
          <t>disponible (web; Kingston Fury 32GB 2x16 5200/5600: otra marca; no cuenta)</t>
        </is>
      </c>
      <c r="H542" s="6" t="inlineStr">
        <is>
          <t>ver</t>
        </is>
      </c>
    </row>
    <row r="543">
      <c r="A543" s="15" t="n">
        <v>46307</v>
      </c>
      <c r="B543" s="5" t="inlineStr">
        <is>
          <t>Tienda</t>
        </is>
      </c>
      <c r="C543" s="5" t="inlineStr">
        <is>
          <t>SSD NVMe 1TB</t>
        </is>
      </c>
      <c r="D543" s="5" t="inlineStr">
        <is>
          <t>Punto Tecnológico · Supermall (web)</t>
        </is>
      </c>
      <c r="E543" s="11" t="n">
        <v>1860</v>
      </c>
      <c r="F543" s="5" t="inlineStr">
        <is>
          <t>Bs</t>
        </is>
      </c>
      <c r="G543" s="5" t="inlineStr">
        <is>
          <t>stock bajo (web; Hiksemi Wave M.2 1TB)</t>
        </is>
      </c>
      <c r="H543" s="6" t="inlineStr">
        <is>
          <t>ver</t>
        </is>
      </c>
    </row>
    <row r="544">
      <c r="A544" s="15" t="n">
        <v>46307</v>
      </c>
      <c r="B544" s="5" t="inlineStr">
        <is>
          <t>Tienda</t>
        </is>
      </c>
      <c r="C544" s="5" t="inlineStr">
        <is>
          <t>SSD NVMe 1TB</t>
        </is>
      </c>
      <c r="D544" s="5" t="inlineStr">
        <is>
          <t>Punto Tecnológico · Supermall (web)</t>
        </is>
      </c>
      <c r="E544" s="11" t="n">
        <v>2060</v>
      </c>
      <c r="F544" s="5" t="inlineStr">
        <is>
          <t>Bs</t>
        </is>
      </c>
      <c r="G544" s="5" t="inlineStr">
        <is>
          <t>disponible (web; WD SN3000 M.2 1TB)</t>
        </is>
      </c>
      <c r="H544" s="6" t="inlineStr">
        <is>
          <t>ver</t>
        </is>
      </c>
    </row>
    <row r="545">
      <c r="A545" s="15" t="n">
        <v>46307</v>
      </c>
      <c r="B545" s="5" t="inlineStr">
        <is>
          <t>Tienda</t>
        </is>
      </c>
      <c r="C545" s="5" t="inlineStr">
        <is>
          <t>SSD NVMe 1TB</t>
        </is>
      </c>
      <c r="D545" s="5" t="inlineStr">
        <is>
          <t>Punto Tecnológico · Supermall (web)</t>
        </is>
      </c>
      <c r="E545" s="11" t="n">
        <v>2152</v>
      </c>
      <c r="F545" s="5" t="inlineStr">
        <is>
          <t>Bs</t>
        </is>
      </c>
      <c r="G545" s="5" t="inlineStr">
        <is>
          <t>disponible (web; Kingston NV3 M.2 1TB)</t>
        </is>
      </c>
      <c r="H545" s="6" t="inlineStr">
        <is>
          <t>ver</t>
        </is>
      </c>
    </row>
    <row r="546">
      <c r="A546" s="15" t="n">
        <v>46307</v>
      </c>
      <c r="B546" s="5" t="inlineStr">
        <is>
          <t>Tienda</t>
        </is>
      </c>
      <c r="C546" s="5" t="inlineStr">
        <is>
          <t>SSD NVMe 2TB</t>
        </is>
      </c>
      <c r="D546" s="5" t="inlineStr">
        <is>
          <t>Punto Tecnológico · Supermall (web)</t>
        </is>
      </c>
      <c r="E546" s="11" t="n">
        <v>4060</v>
      </c>
      <c r="F546" s="5" t="inlineStr">
        <is>
          <t>Bs</t>
        </is>
      </c>
      <c r="G546" s="5" t="inlineStr">
        <is>
          <t>stock bajo (web; Apacer M.2 2TB 7400 MB/s)</t>
        </is>
      </c>
      <c r="H546" s="6" t="inlineStr">
        <is>
          <t>ver</t>
        </is>
      </c>
    </row>
    <row r="547">
      <c r="A547" s="15" t="n">
        <v>46307</v>
      </c>
      <c r="B547" s="5" t="inlineStr">
        <is>
          <t>Tienda</t>
        </is>
      </c>
      <c r="C547" s="5" t="inlineStr">
        <is>
          <t>SSD NVMe 2TB</t>
        </is>
      </c>
      <c r="D547" s="5" t="inlineStr">
        <is>
          <t>Punto Tecnológico · Supermall (web)</t>
        </is>
      </c>
      <c r="E547" s="11" t="n">
        <v>4560</v>
      </c>
      <c r="F547" s="5" t="inlineStr">
        <is>
          <t>Bs</t>
        </is>
      </c>
      <c r="G547" s="5" t="inlineStr">
        <is>
          <t>disponible (web; Hiksemi Futurex M.2 2TB)</t>
        </is>
      </c>
      <c r="H547" s="6" t="inlineStr">
        <is>
          <t>ver</t>
        </is>
      </c>
    </row>
    <row r="548">
      <c r="A548" s="15" t="n">
        <v>46307</v>
      </c>
      <c r="B548" s="5" t="inlineStr">
        <is>
          <t>Tienda</t>
        </is>
      </c>
      <c r="C548" s="5" t="inlineStr">
        <is>
          <t>Ryzen 7 7800X3D</t>
        </is>
      </c>
      <c r="D548" s="5" t="inlineStr">
        <is>
          <t>Viadata Computadoras (WhatsApp)</t>
        </is>
      </c>
      <c r="E548" s="11" t="n">
        <v>5500</v>
      </c>
      <c r="F548" s="5" t="inlineStr">
        <is>
          <t>Bs</t>
        </is>
      </c>
      <c r="G548" s="5" t="inlineStr">
        <is>
          <t>nuevo OEM (solo el chip)</t>
        </is>
      </c>
      <c r="H548" s="6" t="inlineStr">
        <is>
          <t>ver</t>
        </is>
      </c>
    </row>
    <row r="549">
      <c r="A549" s="15" t="n">
        <v>46307</v>
      </c>
      <c r="B549" s="5" t="inlineStr">
        <is>
          <t>Tienda</t>
        </is>
      </c>
      <c r="C549" s="5" t="inlineStr">
        <is>
          <t>Ryzen 5 5600</t>
        </is>
      </c>
      <c r="D549" s="5" t="inlineStr">
        <is>
          <t>Viadata Computadoras (WhatsApp)</t>
        </is>
      </c>
      <c r="E549" s="11" t="n">
        <v>2500</v>
      </c>
      <c r="F549" s="5" t="inlineStr">
        <is>
          <t>Bs</t>
        </is>
      </c>
      <c r="G549" s="5" t="inlineStr">
        <is>
          <t>nuevo OEM (es el 5600X, no el 5600; solo referencia; no cuenta)</t>
        </is>
      </c>
      <c r="H549" s="6" t="inlineStr">
        <is>
          <t>ver</t>
        </is>
      </c>
    </row>
    <row r="550">
      <c r="A550" s="15" t="n">
        <v>46307</v>
      </c>
      <c r="B550" s="5" t="inlineStr">
        <is>
          <t>Tienda</t>
        </is>
      </c>
      <c r="C550" s="5" t="inlineStr">
        <is>
          <t>Intel Core Ultra 7 265K</t>
        </is>
      </c>
      <c r="D550" s="5" t="inlineStr">
        <is>
          <t>Viadata Computadoras (WhatsApp)</t>
        </is>
      </c>
      <c r="E550" s="11" t="n">
        <v>5200</v>
      </c>
      <c r="F550" s="5" t="inlineStr">
        <is>
          <t>Bs</t>
        </is>
      </c>
      <c r="G550" s="5" t="inlineStr">
        <is>
          <t>nuevo en caja (es el 265KF, sin gráficos integrados; solo referencia; no cuenta)</t>
        </is>
      </c>
      <c r="H550" s="6" t="inlineStr">
        <is>
          <t>ver</t>
        </is>
      </c>
    </row>
    <row r="551">
      <c r="A551" s="15" t="n">
        <v>46308</v>
      </c>
      <c r="B551" s="5" t="inlineStr">
        <is>
          <t>Tienda</t>
        </is>
      </c>
      <c r="C551" s="5" t="inlineStr">
        <is>
          <t>Ryzen 7 7800X3D</t>
        </is>
      </c>
      <c r="D551" s="5" t="inlineStr">
        <is>
          <t>OverCity (WhatsApp)</t>
        </is>
      </c>
      <c r="E551" s="11" t="n">
        <v>5500</v>
      </c>
      <c r="F551" s="5" t="inlineStr">
        <is>
          <t>Bs</t>
        </is>
      </c>
      <c r="G551" s="5" t="inlineStr">
        <is>
          <t>nuevo OEM (solo el chip)</t>
        </is>
      </c>
      <c r="H551" s="2" t="n"/>
    </row>
    <row r="552">
      <c r="A552" s="15" t="n">
        <v>46308</v>
      </c>
      <c r="B552" s="5" t="inlineStr">
        <is>
          <t>Tienda</t>
        </is>
      </c>
      <c r="C552" s="5" t="inlineStr">
        <is>
          <t>Intel Core i5-14400F</t>
        </is>
      </c>
      <c r="D552" s="5" t="inlineStr">
        <is>
          <t>OverCity (WhatsApp)</t>
        </is>
      </c>
      <c r="E552" s="11" t="n">
        <v>2460</v>
      </c>
      <c r="F552" s="5" t="inlineStr">
        <is>
          <t>Bs</t>
        </is>
      </c>
      <c r="G552" s="5" t="inlineStr">
        <is>
          <t>nuevo OEM</t>
        </is>
      </c>
      <c r="H552" s="2" t="n"/>
    </row>
    <row r="553">
      <c r="A553" s="15" t="n">
        <v>46308</v>
      </c>
      <c r="B553" s="5" t="inlineStr">
        <is>
          <t>Tienda</t>
        </is>
      </c>
      <c r="C553" s="5" t="inlineStr">
        <is>
          <t>Intel Core i5-14400F</t>
        </is>
      </c>
      <c r="D553" s="5" t="inlineStr">
        <is>
          <t>Soft Computers (WhatsApp)</t>
        </is>
      </c>
      <c r="E553" s="11" t="n">
        <v>2500</v>
      </c>
      <c r="F553" s="5" t="inlineStr">
        <is>
          <t>Bs</t>
        </is>
      </c>
      <c r="G553" s="5" t="inlineStr">
        <is>
          <t>nuevo OEM</t>
        </is>
      </c>
      <c r="H553" s="2" t="n"/>
    </row>
    <row r="554">
      <c r="A554" s="15" t="n">
        <v>46308</v>
      </c>
      <c r="B554" s="5" t="inlineStr">
        <is>
          <t>Tienda</t>
        </is>
      </c>
      <c r="C554" s="5" t="inlineStr">
        <is>
          <t>Corsair Vengeance RGB DDR5 32GB (2x16) 6000</t>
        </is>
      </c>
      <c r="D554" s="5" t="inlineStr">
        <is>
          <t>OverCity (WhatsApp)</t>
        </is>
      </c>
      <c r="E554" s="11" t="n">
        <v>6840</v>
      </c>
      <c r="F554" s="5" t="inlineStr">
        <is>
          <t>Bs</t>
        </is>
      </c>
      <c r="G554" s="5" t="inlineStr">
        <is>
          <t>nuevo (XPG Lancer RGB 32GB 2x16 6000 CL30: otra marca; no cuenta; Corsair agotada; garantía 3 meses)</t>
        </is>
      </c>
      <c r="H554" s="2" t="n"/>
    </row>
    <row r="555">
      <c r="A555" s="15" t="n">
        <v>46308</v>
      </c>
      <c r="B555" s="5" t="inlineStr">
        <is>
          <t>Marketplace</t>
        </is>
      </c>
      <c r="C555" s="5" t="inlineStr">
        <is>
          <t>Ryzen 7 7800X3D</t>
        </is>
      </c>
      <c r="D555" s="5" t="inlineStr">
        <is>
          <t>Marketplace Cochabamba (particular/vendedor; Messenger)</t>
        </is>
      </c>
      <c r="E555" s="11" t="n">
        <v>4800</v>
      </c>
      <c r="F555" s="5" t="inlineStr">
        <is>
          <t>Bs</t>
        </is>
      </c>
      <c r="G555" s="5" t="inlineStr">
        <is>
          <t>nuevo sellado de fábrica, confirmado por el vendedor (último en stock; precio ya rebajado)</t>
        </is>
      </c>
      <c r="H555" s="6" t="inlineStr">
        <is>
          <t>ver</t>
        </is>
      </c>
    </row>
    <row r="556">
      <c r="A556" s="15" t="n">
        <v>46308</v>
      </c>
      <c r="B556" s="5" t="inlineStr">
        <is>
          <t>Tienda</t>
        </is>
      </c>
      <c r="C556" s="5" t="inlineStr">
        <is>
          <t>Ryzen 7 7800X3D</t>
        </is>
      </c>
      <c r="D556" s="5" t="inlineStr">
        <is>
          <t>OverCity (WhatsApp)</t>
        </is>
      </c>
      <c r="E556" s="11" t="n">
        <v>5350</v>
      </c>
      <c r="F556" s="5" t="inlineStr">
        <is>
          <t>Bs</t>
        </is>
      </c>
      <c r="G556" s="5" t="inlineStr">
        <is>
          <t>nuevo en caja sellada (box; el OEM está a Bs 5.500; el i5-14400F Bs 2.460 es su precio mínimo)</t>
        </is>
      </c>
      <c r="H556" s="2" t="n"/>
    </row>
    <row r="557">
      <c r="A557" s="15" t="n">
        <v>46309</v>
      </c>
      <c r="B557" s="5" t="inlineStr">
        <is>
          <t>Marketplace</t>
        </is>
      </c>
      <c r="C557" s="5" t="inlineStr">
        <is>
          <t>Corsair Vengeance RGB DDR5 32GB (2x16) 5600</t>
        </is>
      </c>
      <c r="D557" s="5" t="inlineStr">
        <is>
          <t>Marketplace Cochabamba</t>
        </is>
      </c>
      <c r="E557" s="11" t="n">
        <v>7400</v>
      </c>
      <c r="F557" s="5" t="inlineStr">
        <is>
          <t>Bs</t>
        </is>
      </c>
      <c r="G557" s="5" t="inlineStr">
        <is>
          <t>no indicado (Kingston Fury Beast DDR5 32GB 5600: otra marca; solo referencia; no cuenta)</t>
        </is>
      </c>
      <c r="H557" s="6" t="inlineStr">
        <is>
          <t>ver</t>
        </is>
      </c>
    </row>
    <row r="558">
      <c r="A558" s="15" t="n">
        <v>46309</v>
      </c>
      <c r="B558" s="5" t="inlineStr">
        <is>
          <t>Tienda</t>
        </is>
      </c>
      <c r="C558" s="5" t="inlineStr">
        <is>
          <t>Intel Core i5-14400F</t>
        </is>
      </c>
      <c r="D558" s="5" t="inlineStr">
        <is>
          <t>Geek Store Bolivia (web)</t>
        </is>
      </c>
      <c r="E558" s="11" t="n">
        <v>2953</v>
      </c>
      <c r="F558" s="5" t="inlineStr">
        <is>
          <t>Bs</t>
        </is>
      </c>
      <c r="G558" s="5" t="inlineStr">
        <is>
          <t>disponible (web; es el i5-14400 con gráficos, no el F; precio USD 249 en la web, a Bs 11,86; solo referencia; no cuenta)</t>
        </is>
      </c>
      <c r="H558" s="6" t="inlineStr">
        <is>
          <t>ver</t>
        </is>
      </c>
    </row>
    <row r="559">
      <c r="A559" s="15" t="n">
        <v>46309</v>
      </c>
      <c r="B559" s="5" t="inlineStr">
        <is>
          <t>Tienda</t>
        </is>
      </c>
      <c r="C559" s="5" t="inlineStr">
        <is>
          <t>Intel Core i9-14900K</t>
        </is>
      </c>
      <c r="D559" s="5" t="inlineStr">
        <is>
          <t>Crazy Store (WhatsApp)</t>
        </is>
      </c>
      <c r="E559" s="11" t="n">
        <v>6013</v>
      </c>
      <c r="F559" s="5" t="inlineStr">
        <is>
          <t>Bs</t>
        </is>
      </c>
      <c r="G559" s="5" t="inlineStr">
        <is>
          <t>nuevo (no está en vigilar.csv; USD 499 o Bs 6.013, rebaja ofrecida hasta Bs 5.700; solo referencia; no cuenta)</t>
        </is>
      </c>
      <c r="H559" s="2" t="n"/>
    </row>
    <row r="560">
      <c r="A560" s="15" t="n">
        <v>46310</v>
      </c>
      <c r="B560" s="5" t="inlineStr">
        <is>
          <t>Tienda</t>
        </is>
      </c>
      <c r="C560" s="5" t="inlineStr">
        <is>
          <t>Ryzen 7 7800X3D</t>
        </is>
      </c>
      <c r="D560" s="5" t="inlineStr">
        <is>
          <t>SMART CUBE (WhatsApp)</t>
        </is>
      </c>
      <c r="E560" s="11" t="n">
        <v>5890</v>
      </c>
      <c r="F560" s="5" t="inlineStr">
        <is>
          <t>Bs</t>
        </is>
      </c>
      <c r="G560" s="5" t="inlineStr">
        <is>
          <t>nuevo sellado, facturado; llevando 2 rebajan Bs 50 c/u (Bs 5.840)</t>
        </is>
      </c>
      <c r="H560" s="2" t="n"/>
    </row>
    <row r="561">
      <c r="A561" s="15" t="n">
        <v>46310</v>
      </c>
      <c r="B561" s="5" t="inlineStr">
        <is>
          <t>Tienda</t>
        </is>
      </c>
      <c r="C561" s="5" t="inlineStr">
        <is>
          <t>Intel Core i5-14400F</t>
        </is>
      </c>
      <c r="D561" s="5" t="inlineStr">
        <is>
          <t>SMART CUBE (WhatsApp)</t>
        </is>
      </c>
      <c r="E561" s="11" t="n">
        <v>3080</v>
      </c>
      <c r="F561" s="5" t="inlineStr">
        <is>
          <t>Bs</t>
        </is>
      </c>
      <c r="G561" s="5" t="inlineStr">
        <is>
          <t>nuevo sellado; llevando 2 rebajan Bs 50 c/u (Bs 3.030)</t>
        </is>
      </c>
      <c r="H561" s="2" t="n"/>
    </row>
    <row r="562">
      <c r="A562" s="15" t="n">
        <v>46310</v>
      </c>
      <c r="B562" s="5" t="inlineStr">
        <is>
          <t>Tienda</t>
        </is>
      </c>
      <c r="C562" s="5" t="inlineStr">
        <is>
          <t>RAM DDR5 16GB 6000 (Apacer NOX)</t>
        </is>
      </c>
      <c r="D562" s="5" t="inlineStr">
        <is>
          <t>SMART CUBE (WhatsApp)</t>
        </is>
      </c>
      <c r="E562" s="11" t="n">
        <v>3650</v>
      </c>
      <c r="F562" s="5" t="inlineStr">
        <is>
          <t>Bs</t>
        </is>
      </c>
      <c r="G562" s="5" t="inlineStr">
        <is>
          <t>nuevo (Apacer NOX DDR5 16GB 6000: otra marca y capacidad; solo referencia; no cuenta)</t>
        </is>
      </c>
      <c r="H562" s="2" t="n"/>
    </row>
    <row r="563">
      <c r="A563" s="15" t="n">
        <v>46310</v>
      </c>
      <c r="B563" s="5" t="inlineStr">
        <is>
          <t>Tienda</t>
        </is>
      </c>
      <c r="C563" s="5" t="inlineStr">
        <is>
          <t>RAM DDR5 16GB</t>
        </is>
      </c>
      <c r="D563" s="5" t="inlineStr">
        <is>
          <t>PC Factor (WhatsApp)</t>
        </is>
      </c>
      <c r="E563" s="11" t="n">
        <v>3792</v>
      </c>
      <c r="F563" s="5" t="inlineStr">
        <is>
          <t>Bs</t>
        </is>
      </c>
      <c r="G563" s="5" t="inlineStr">
        <is>
          <t>nuevo (USD 320 c/u a Bs 11,85; marca y velocidad por confirmar; solo referencia; no cuenta)</t>
        </is>
      </c>
      <c r="H563" s="2" t="n"/>
    </row>
    <row r="564">
      <c r="A564" s="15" t="n">
        <v>46310</v>
      </c>
      <c r="B564" s="5" t="inlineStr">
        <is>
          <t>Tienda</t>
        </is>
      </c>
      <c r="C564" s="5" t="inlineStr">
        <is>
          <t>Ryzen 5 7600</t>
        </is>
      </c>
      <c r="D564" s="5" t="inlineStr">
        <is>
          <t>OverCity (WhatsApp)</t>
        </is>
      </c>
      <c r="E564" s="11" t="n">
        <v>2800</v>
      </c>
      <c r="F564" s="5" t="inlineStr">
        <is>
          <t>Bs</t>
        </is>
      </c>
      <c r="G564" s="5" t="inlineStr">
        <is>
          <t>OEM</t>
        </is>
      </c>
      <c r="H564" s="2" t="n"/>
    </row>
    <row r="565">
      <c r="A565" s="15" t="n">
        <v>46310</v>
      </c>
      <c r="B565" s="5" t="inlineStr">
        <is>
          <t>Tienda</t>
        </is>
      </c>
      <c r="C565" s="5" t="inlineStr">
        <is>
          <t>Intel Core i5-12400F</t>
        </is>
      </c>
      <c r="D565" s="5" t="inlineStr">
        <is>
          <t>T&amp;T Todo en Tecnología (WhatsApp)</t>
        </is>
      </c>
      <c r="E565" s="11" t="n">
        <v>2260</v>
      </c>
      <c r="F565" s="5" t="inlineStr">
        <is>
          <t>Bs</t>
        </is>
      </c>
      <c r="G565" s="5" t="inlineStr">
        <is>
          <t>OEM con cooler Intel; Bs 20 menos c/u llevando 2</t>
        </is>
      </c>
      <c r="H565" s="2" t="n"/>
    </row>
    <row r="566">
      <c r="A566" s="15" t="n">
        <v>46310</v>
      </c>
      <c r="B566" s="5" t="inlineStr">
        <is>
          <t>Tienda</t>
        </is>
      </c>
      <c r="C566" s="5" t="inlineStr">
        <is>
          <t>Intel Core i5-14400F</t>
        </is>
      </c>
      <c r="D566" s="5" t="inlineStr">
        <is>
          <t>T&amp;T Todo en Tecnología (WhatsApp)</t>
        </is>
      </c>
      <c r="E566" s="11" t="n">
        <v>2750</v>
      </c>
      <c r="F566" s="5" t="inlineStr">
        <is>
          <t>Bs</t>
        </is>
      </c>
      <c r="G566" s="5" t="inlineStr">
        <is>
          <t>OEM con cooler Intel; Bs 20 menos c/u llevando 2</t>
        </is>
      </c>
      <c r="H566" s="2" t="n"/>
    </row>
    <row r="567">
      <c r="A567" s="15" t="n">
        <v>46310</v>
      </c>
      <c r="B567" s="5" t="inlineStr">
        <is>
          <t>Tienda</t>
        </is>
      </c>
      <c r="C567" s="5" t="inlineStr">
        <is>
          <t>Ryzen 7 7700X</t>
        </is>
      </c>
      <c r="D567" s="5" t="inlineStr">
        <is>
          <t>Geek Store Bolivia (WhatsApp)</t>
        </is>
      </c>
      <c r="E567" s="11" t="n">
        <v>3480</v>
      </c>
      <c r="F567" s="5" t="inlineStr">
        <is>
          <t>Bs</t>
        </is>
      </c>
      <c r="G567" s="5" t="inlineStr">
        <is>
          <t>sin confirmar si es sellado (se preguntó)</t>
        </is>
      </c>
      <c r="H567" s="2" t="n"/>
    </row>
    <row r="568">
      <c r="A568" s="15" t="n">
        <v>46310</v>
      </c>
      <c r="B568" s="5" t="inlineStr">
        <is>
          <t>Tienda</t>
        </is>
      </c>
      <c r="C568" s="5" t="inlineStr">
        <is>
          <t>Kingston Fury DDR5 16GB (1 módulo)</t>
        </is>
      </c>
      <c r="D568" s="5" t="inlineStr">
        <is>
          <t>Geek Store Bolivia (WhatsApp)</t>
        </is>
      </c>
      <c r="E568" s="11" t="n">
        <v>2900</v>
      </c>
      <c r="F568" s="5" t="inlineStr">
        <is>
          <t>Bs</t>
        </is>
      </c>
      <c r="G568" s="5" t="inlineStr">
        <is>
          <t>otra marca; velocidad por confirmar (no es la Corsair 32GB 2x16)</t>
        </is>
      </c>
      <c r="H568" s="2" t="n"/>
    </row>
    <row r="569">
      <c r="A569" s="15" t="n">
        <v>46310</v>
      </c>
      <c r="B569" s="5" t="inlineStr">
        <is>
          <t>Tienda</t>
        </is>
      </c>
      <c r="C569" s="5" t="inlineStr">
        <is>
          <t>SSD NVMe 1TB</t>
        </is>
      </c>
      <c r="D569" s="5" t="inlineStr">
        <is>
          <t>Shopping PC (catálogo PDF)</t>
        </is>
      </c>
      <c r="E569" s="11" t="n">
        <v>1754</v>
      </c>
      <c r="F569" s="5" t="inlineStr">
        <is>
          <t>Bs</t>
        </is>
      </c>
      <c r="G569" s="5" t="inlineStr">
        <is>
          <t>nuevo (Kingston NV3 1TB; lista mayorista USD 148 del 12/10, sin factura; 146 en stock)</t>
        </is>
      </c>
      <c r="H569" s="2" t="n"/>
    </row>
    <row r="570">
      <c r="A570" s="15" t="n">
        <v>46310</v>
      </c>
      <c r="B570" s="5" t="inlineStr">
        <is>
          <t>Tienda</t>
        </is>
      </c>
      <c r="C570" s="5" t="inlineStr">
        <is>
          <t>Intel Core i5-14400F</t>
        </is>
      </c>
      <c r="D570" s="5" t="inlineStr">
        <is>
          <t>Shopping PC (catálogo PDF)</t>
        </is>
      </c>
      <c r="E570" s="11" t="n">
        <v>2785</v>
      </c>
      <c r="F570" s="5" t="inlineStr">
        <is>
          <t>Bs</t>
        </is>
      </c>
      <c r="G570" s="5" t="inlineStr">
        <is>
          <t>nuevo en caja (es el i5-14400 BOX con gráficos, no el F; lista mayorista USD 235, sin factura; solo referencia; no cuenta)</t>
        </is>
      </c>
      <c r="H570" s="2" t="n"/>
    </row>
    <row r="571">
      <c r="A571" s="15" t="n">
        <v>46310</v>
      </c>
      <c r="B571" s="5" t="inlineStr">
        <is>
          <t>Tienda</t>
        </is>
      </c>
      <c r="C571" s="5" t="inlineStr">
        <is>
          <t>RAM DDR4 16GB (2x8) 3200</t>
        </is>
      </c>
      <c r="D571" s="5" t="inlineStr">
        <is>
          <t>Shopping PC (catálogo PDF)</t>
        </is>
      </c>
      <c r="E571" s="11" t="n">
        <v>1778</v>
      </c>
      <c r="F571" s="5" t="inlineStr">
        <is>
          <t>Bs</t>
        </is>
      </c>
      <c r="G571" s="5" t="inlineStr">
        <is>
          <t>nuevo (Kingston 16GB DDR4 3200, un módulo, no kit 2x8; lista mayorista USD 150; no cuenta)</t>
        </is>
      </c>
      <c r="H571" s="2" t="n"/>
    </row>
    <row r="572">
      <c r="A572" s="15" t="n">
        <v>46310</v>
      </c>
      <c r="B572" s="5" t="inlineStr">
        <is>
          <t>Tienda</t>
        </is>
      </c>
      <c r="C572" s="5" t="inlineStr">
        <is>
          <t>RAM DDR4 16GB (2x8) 3200</t>
        </is>
      </c>
      <c r="D572" s="5" t="inlineStr">
        <is>
          <t>Shopping PC (catálogo PDF)</t>
        </is>
      </c>
      <c r="E572" s="11" t="n">
        <v>1600</v>
      </c>
      <c r="F572" s="5" t="inlineStr">
        <is>
          <t>Bs</t>
        </is>
      </c>
      <c r="G572" s="5" t="inlineStr">
        <is>
          <t>nuevo (Musking Redline 16GB DDR4 3200, un módulo, no kit 2x8; lista mayorista USD 135; no cuenta)</t>
        </is>
      </c>
      <c r="H572" s="2" t="n"/>
    </row>
    <row r="573">
      <c r="A573" s="15" t="n">
        <v>46311</v>
      </c>
      <c r="B573" s="5" t="inlineStr">
        <is>
          <t>Tienda</t>
        </is>
      </c>
      <c r="C573" s="5" t="inlineStr">
        <is>
          <t>Intel Core i5-14400F</t>
        </is>
      </c>
      <c r="D573" s="5" t="inlineStr">
        <is>
          <t>Soft Computers (WhatsApp)</t>
        </is>
      </c>
      <c r="E573" s="11" t="n">
        <v>2500</v>
      </c>
      <c r="F573" s="5" t="inlineStr">
        <is>
          <t>Bs</t>
        </is>
      </c>
      <c r="G573" s="5" t="inlineStr">
        <is>
          <t>nuevo OEM; mismo precio por unidad llevando 2</t>
        </is>
      </c>
      <c r="H573" s="2" t="n"/>
    </row>
    <row r="574">
      <c r="A574" s="15" t="n">
        <v>46311</v>
      </c>
      <c r="B574" s="5" t="inlineStr">
        <is>
          <t>Marketplace</t>
        </is>
      </c>
      <c r="C574" s="5" t="inlineStr">
        <is>
          <t>SSD NVMe 1TB</t>
        </is>
      </c>
      <c r="D574" s="5" t="inlineStr">
        <is>
          <t>Marketplace Cochabamba</t>
        </is>
      </c>
      <c r="E574" s="11" t="n">
        <v>1730</v>
      </c>
      <c r="F574" s="5" t="inlineStr">
        <is>
          <t>Bs</t>
        </is>
      </c>
      <c r="G574" s="5" t="inlineStr">
        <is>
          <t>nuevo (M.2 1TB, marca no indicada; publicado hace 2 días)</t>
        </is>
      </c>
      <c r="H574" s="6" t="inlineStr">
        <is>
          <t>ver</t>
        </is>
      </c>
    </row>
    <row r="575">
      <c r="A575" s="15" t="n">
        <v>46311</v>
      </c>
      <c r="B575" s="5" t="inlineStr">
        <is>
          <t>Tienda</t>
        </is>
      </c>
      <c r="C575" s="5" t="inlineStr">
        <is>
          <t>Intel Core i5-14400F</t>
        </is>
      </c>
      <c r="D575" s="5" t="inlineStr">
        <is>
          <t>Cyrex Store (web)</t>
        </is>
      </c>
      <c r="E575" s="11" t="n">
        <v>2384</v>
      </c>
      <c r="F575" s="5" t="inlineStr">
        <is>
          <t>Bs</t>
        </is>
      </c>
      <c r="G575" s="5" t="inlineStr">
        <is>
          <t>nuevo OEM (web: USD 202 a la tasa de la tienda, 11,80; hay otra publicación del mismo a USD 215)</t>
        </is>
      </c>
      <c r="H575" s="6" t="inlineStr">
        <is>
          <t>ver</t>
        </is>
      </c>
    </row>
    <row r="576">
      <c r="A576" s="15" t="n">
        <v>46311</v>
      </c>
      <c r="B576" s="5" t="inlineStr">
        <is>
          <t>Tienda</t>
        </is>
      </c>
      <c r="C576" s="5" t="inlineStr">
        <is>
          <t>Ryzen 7 7800X3D</t>
        </is>
      </c>
      <c r="D576" s="5" t="inlineStr">
        <is>
          <t>Cyrex Store (web)</t>
        </is>
      </c>
      <c r="E576" s="11" t="n">
        <v>5664</v>
      </c>
      <c r="F576" s="5" t="inlineStr">
        <is>
          <t>Bs</t>
        </is>
      </c>
      <c r="G576" s="5" t="inlineStr">
        <is>
          <t>nuevo BOX (web: USD 480 a 11,80)</t>
        </is>
      </c>
      <c r="H576" s="6" t="inlineStr">
        <is>
          <t>ver</t>
        </is>
      </c>
    </row>
    <row r="577">
      <c r="A577" s="15" t="n">
        <v>46311</v>
      </c>
      <c r="B577" s="5" t="inlineStr">
        <is>
          <t>Tienda</t>
        </is>
      </c>
      <c r="C577" s="5" t="inlineStr">
        <is>
          <t>Intel Core i5-13400</t>
        </is>
      </c>
      <c r="D577" s="5" t="inlineStr">
        <is>
          <t>Cyrex Store (web)</t>
        </is>
      </c>
      <c r="E577" s="11" t="n">
        <v>2218</v>
      </c>
      <c r="F577" s="5" t="inlineStr">
        <is>
          <t>Bs</t>
        </is>
      </c>
      <c r="G577" s="5" t="inlineStr">
        <is>
          <t>nuevo OEM (web: es el i5-13400F, sin gráficos; USD 188 a 11,80; solo referencia; no cuenta)</t>
        </is>
      </c>
      <c r="H577" s="6" t="inlineStr">
        <is>
          <t>ver</t>
        </is>
      </c>
    </row>
    <row r="578">
      <c r="A578" s="15" t="n">
        <v>46311</v>
      </c>
      <c r="B578" s="5" t="inlineStr">
        <is>
          <t>Tienda</t>
        </is>
      </c>
      <c r="C578" s="5" t="inlineStr">
        <is>
          <t>Ryzen 5 7600</t>
        </is>
      </c>
      <c r="D578" s="5" t="inlineStr">
        <is>
          <t>Punto Tecnológico (WhatsApp)</t>
        </is>
      </c>
      <c r="E578" s="11" t="n">
        <v>2850</v>
      </c>
      <c r="F578" s="5" t="inlineStr">
        <is>
          <t>Bs</t>
        </is>
      </c>
      <c r="G578" s="5" t="inlineStr">
        <is>
          <t>nuevo OEM, garantía 6 meses (cotización por WhatsApp)</t>
        </is>
      </c>
      <c r="H578" s="2" t="n"/>
    </row>
    <row r="579">
      <c r="A579" s="15" t="n">
        <v>46311</v>
      </c>
      <c r="B579" s="5" t="inlineStr">
        <is>
          <t>Tienda</t>
        </is>
      </c>
      <c r="C579" s="5" t="inlineStr">
        <is>
          <t>Corsair Vengeance RGB DDR5 32GB (2x16) 6000</t>
        </is>
      </c>
      <c r="D579" s="5" t="inlineStr">
        <is>
          <t>Punto Tecnológico (WhatsApp)</t>
        </is>
      </c>
      <c r="E579" s="11" t="n">
        <v>5960</v>
      </c>
      <c r="F579" s="5" t="inlineStr">
        <is>
          <t>Bs</t>
        </is>
      </c>
      <c r="G579" s="5" t="inlineStr">
        <is>
          <t>otra marca (Nox Tuf 32GB 2x16, velocidad sin dato); solo referencia; no cuenta</t>
        </is>
      </c>
      <c r="H579" s="2" t="n"/>
    </row>
    <row r="580">
      <c r="A580" s="15" t="n">
        <v>46311</v>
      </c>
      <c r="B580" s="5" t="inlineStr">
        <is>
          <t>Tienda</t>
        </is>
      </c>
      <c r="C580" s="5" t="inlineStr">
        <is>
          <t>Ryzen 5 7600</t>
        </is>
      </c>
      <c r="D580" s="5" t="inlineStr">
        <is>
          <t>Gamer Store Cbba (WhatsApp)</t>
        </is>
      </c>
      <c r="E580" s="11" t="n">
        <v>2067</v>
      </c>
      <c r="F580" s="5" t="inlineStr">
        <is>
          <t>Bs</t>
        </is>
      </c>
      <c r="G580" s="5" t="inlineStr">
        <is>
          <t>nuevo (es el 7600X; USD 175 a 11,81; solo referencia; no cuenta)</t>
        </is>
      </c>
      <c r="H580" s="2" t="n"/>
    </row>
    <row r="581">
      <c r="A581" s="15" t="n">
        <v>46312</v>
      </c>
      <c r="B581" s="5" t="inlineStr">
        <is>
          <t>Marketplace</t>
        </is>
      </c>
      <c r="C581" s="5" t="inlineStr">
        <is>
          <t>SSD NVMe 1TB</t>
        </is>
      </c>
      <c r="D581" s="5" t="inlineStr">
        <is>
          <t>Marketplace Cochabamba (particular)</t>
        </is>
      </c>
      <c r="E581" s="11" t="n">
        <v>1230</v>
      </c>
      <c r="F581" s="5" t="inlineStr">
        <is>
          <t>Bs</t>
        </is>
      </c>
      <c r="G581" s="5" t="inlineStr">
        <is>
          <t>nuevo (antes Bs 1.730; marca sin dato)</t>
        </is>
      </c>
      <c r="H581" s="6" t="inlineStr">
        <is>
          <t>ver</t>
        </is>
      </c>
    </row>
    <row r="582">
      <c r="A582" s="15" t="n">
        <v>46312</v>
      </c>
      <c r="B582" s="5" t="inlineStr">
        <is>
          <t>Marketplace</t>
        </is>
      </c>
      <c r="C582" s="5" t="inlineStr">
        <is>
          <t>SSD NVMe 1TB</t>
        </is>
      </c>
      <c r="D582" s="5" t="inlineStr">
        <is>
          <t>Marketplace Cochabamba (particular)</t>
        </is>
      </c>
      <c r="E582" s="11" t="n">
        <v>1500</v>
      </c>
      <c r="F582" s="5" t="inlineStr">
        <is>
          <t>Bs</t>
        </is>
      </c>
      <c r="G582" s="5" t="inlineStr">
        <is>
          <t>sin dato de estado ni marca (recién publicado)</t>
        </is>
      </c>
      <c r="H582" s="6" t="inlineStr">
        <is>
          <t>ver</t>
        </is>
      </c>
    </row>
    <row r="583">
      <c r="A583" s="15" t="n">
        <v>46312</v>
      </c>
      <c r="B583" s="5" t="inlineStr">
        <is>
          <t>Marketplace</t>
        </is>
      </c>
      <c r="C583" s="5" t="inlineStr">
        <is>
          <t>SSD NVMe 1TB</t>
        </is>
      </c>
      <c r="D583" s="5" t="inlineStr">
        <is>
          <t>Marketplace Cochabamba (particular)</t>
        </is>
      </c>
      <c r="E583" s="11" t="n">
        <v>1850</v>
      </c>
      <c r="F583" s="5" t="inlineStr">
        <is>
          <t>Bs</t>
        </is>
      </c>
      <c r="G583" s="5" t="inlineStr">
        <is>
          <t>Kingston NV3 1TB (estado sin dato)</t>
        </is>
      </c>
      <c r="H583" s="6" t="inlineStr">
        <is>
          <t>ver</t>
        </is>
      </c>
    </row>
    <row r="584">
      <c r="A584" s="15" t="n">
        <v>46310</v>
      </c>
      <c r="B584" s="5" t="inlineStr">
        <is>
          <t>Tienda</t>
        </is>
      </c>
      <c r="C584" s="5" t="inlineStr">
        <is>
          <t>SSD NVMe 2TB</t>
        </is>
      </c>
      <c r="D584" s="5" t="inlineStr">
        <is>
          <t>Shopping PC (catálogo PDF)</t>
        </is>
      </c>
      <c r="E584" s="11" t="n">
        <v>2726</v>
      </c>
      <c r="F584" s="5" t="inlineStr">
        <is>
          <t>Bs</t>
        </is>
      </c>
      <c r="G584" s="5" t="inlineStr">
        <is>
          <t>no cuenta: otro modelo (Crucial BX500 2TB es SATA, no NVMe; nuevo; lista mayorista USD 230 × 11,85 del 12/10, sin factura; 35 en stock; garantía solo de prueba; solo referencia)</t>
        </is>
      </c>
      <c r="H584" s="2" t="n"/>
    </row>
    <row r="585">
      <c r="A585" s="15" t="n">
        <v>46314</v>
      </c>
      <c r="B585" s="5" t="inlineStr">
        <is>
          <t>Marketplace</t>
        </is>
      </c>
      <c r="C585" s="5" t="inlineStr">
        <is>
          <t>Ryzen 5 5600</t>
        </is>
      </c>
      <c r="D585" s="5" t="inlineStr">
        <is>
          <t>Marketplace Cochabamba (particular)</t>
        </is>
      </c>
      <c r="E585" s="11" t="n">
        <v>1800</v>
      </c>
      <c r="F585" s="5" t="inlineStr">
        <is>
          <t>Bs</t>
        </is>
      </c>
      <c r="G585" s="5" t="inlineStr">
        <is>
          <t>no cuenta: otro modelo (es 5600X, solo procesador, recién publicado)</t>
        </is>
      </c>
      <c r="H585" s="6" t="inlineStr">
        <is>
          <t>ver</t>
        </is>
      </c>
    </row>
    <row r="586">
      <c r="A586" s="15" t="n">
        <v>46314</v>
      </c>
      <c r="B586" s="5" t="inlineStr">
        <is>
          <t>Marketplace</t>
        </is>
      </c>
      <c r="C586" s="5" t="inlineStr">
        <is>
          <t>Intel Core i5-13400</t>
        </is>
      </c>
      <c r="D586" s="5" t="inlineStr">
        <is>
          <t>Marketplace Cochabamba (particular)</t>
        </is>
      </c>
      <c r="E586" s="11" t="n">
        <v>1800</v>
      </c>
      <c r="F586" s="5" t="inlineStr">
        <is>
          <t>Bs</t>
        </is>
      </c>
      <c r="G586" s="5" t="inlineStr">
        <is>
          <t>no cuenta: otro modelo (i5-13400F, precio fijo)</t>
        </is>
      </c>
      <c r="H586" s="6" t="inlineStr">
        <is>
          <t>ver</t>
        </is>
      </c>
    </row>
    <row r="587">
      <c r="A587" s="15" t="n">
        <v>46314</v>
      </c>
      <c r="B587" s="5" t="inlineStr">
        <is>
          <t>Marketplace</t>
        </is>
      </c>
      <c r="C587" s="5" t="inlineStr">
        <is>
          <t>Intel Core i5-14400F</t>
        </is>
      </c>
      <c r="D587" s="5" t="inlineStr">
        <is>
          <t>Marketplace Cochabamba (particular)</t>
        </is>
      </c>
      <c r="E587" s="11" t="n">
        <v>2600</v>
      </c>
      <c r="F587" s="5" t="inlineStr">
        <is>
          <t>Bs</t>
        </is>
      </c>
      <c r="G587" s="5" t="inlineStr">
        <is>
          <t>no cuenta: otro modelo (i5-14400 sin F)</t>
        </is>
      </c>
      <c r="H587" s="6" t="inlineStr">
        <is>
          <t>ver</t>
        </is>
      </c>
    </row>
    <row r="588">
      <c r="A588" s="15" t="n">
        <v>46314</v>
      </c>
      <c r="B588" s="5" t="inlineStr">
        <is>
          <t>Marketplace</t>
        </is>
      </c>
      <c r="C588" s="5" t="inlineStr">
        <is>
          <t>Corsair Vengeance RGB DDR5 32GB (2x16) 6000</t>
        </is>
      </c>
      <c r="D588" s="5" t="inlineStr">
        <is>
          <t>Marketplace Cochabamba (particular)</t>
        </is>
      </c>
      <c r="E588" s="11" t="n">
        <v>5800</v>
      </c>
      <c r="F588" s="5" t="inlineStr">
        <is>
          <t>Bs</t>
        </is>
      </c>
      <c r="G588" s="5" t="inlineStr">
        <is>
          <t>Corsair Vengeance RGB 2x16 6000 MHz (estado sin dato)</t>
        </is>
      </c>
      <c r="H588" s="6" t="inlineStr">
        <is>
          <t>ver</t>
        </is>
      </c>
    </row>
    <row r="589">
      <c r="A589" s="15" t="n">
        <v>46314</v>
      </c>
      <c r="B589" s="5" t="inlineStr">
        <is>
          <t>Marketplace</t>
        </is>
      </c>
      <c r="C589" s="5" t="inlineStr">
        <is>
          <t>SSD NVMe 1TB</t>
        </is>
      </c>
      <c r="D589" s="5" t="inlineStr">
        <is>
          <t>Marketplace Cochabamba (particular)</t>
        </is>
      </c>
      <c r="E589" s="11" t="n">
        <v>2500</v>
      </c>
      <c r="F589" s="5" t="inlineStr">
        <is>
          <t>Bs</t>
        </is>
      </c>
      <c r="G589" s="5" t="inlineStr">
        <is>
          <t>Lexar NM790 1TB con disipador (estado sin dato)</t>
        </is>
      </c>
      <c r="H589" s="6" t="inlineStr">
        <is>
          <t>ver</t>
        </is>
      </c>
    </row>
    <row r="590">
      <c r="A590" s="15" t="n">
        <v>46314</v>
      </c>
      <c r="B590" s="5" t="inlineStr">
        <is>
          <t>Marketplace</t>
        </is>
      </c>
      <c r="C590" s="5" t="inlineStr">
        <is>
          <t>SSD NVMe 1TB</t>
        </is>
      </c>
      <c r="D590" s="5" t="inlineStr">
        <is>
          <t>Marketplace Cochabamba (particular)</t>
        </is>
      </c>
      <c r="E590" s="11" t="n">
        <v>2050</v>
      </c>
      <c r="F590" s="5" t="inlineStr">
        <is>
          <t>Bs</t>
        </is>
      </c>
      <c r="G590" s="5" t="inlineStr">
        <is>
          <t>WD Green SN3000 1TB (estado sin dato)</t>
        </is>
      </c>
      <c r="H590" s="6" t="inlineStr">
        <is>
          <t>ver</t>
        </is>
      </c>
    </row>
    <row r="591">
      <c r="A591" s="15" t="n">
        <v>46314</v>
      </c>
      <c r="B591" s="5" t="inlineStr">
        <is>
          <t>Tienda</t>
        </is>
      </c>
      <c r="C591" s="5" t="inlineStr">
        <is>
          <t>Ryzen 5 7600</t>
        </is>
      </c>
      <c r="D591" s="5" t="inlineStr">
        <is>
          <t>OverCity (WhatsApp)</t>
        </is>
      </c>
      <c r="E591" s="11" t="n">
        <v>2800</v>
      </c>
      <c r="F591" s="5" t="inlineStr">
        <is>
          <t>Bs</t>
        </is>
      </c>
      <c r="G591" s="5" t="inlineStr">
        <is>
          <t>nuevo OEM (reconfirmado 16:09)</t>
        </is>
      </c>
      <c r="H591" s="2" t="n"/>
    </row>
    <row r="592">
      <c r="A592" s="15" t="n">
        <v>46314</v>
      </c>
      <c r="B592" s="5" t="inlineStr">
        <is>
          <t>Tienda</t>
        </is>
      </c>
      <c r="C592" s="5" t="inlineStr">
        <is>
          <t>Intel Core Ultra 7 265K</t>
        </is>
      </c>
      <c r="D592" s="5" t="inlineStr">
        <is>
          <t>OverCity (WhatsApp)</t>
        </is>
      </c>
      <c r="E592" s="11" t="n">
        <v>4100</v>
      </c>
      <c r="F592" s="5" t="inlineStr">
        <is>
          <t>Bs</t>
        </is>
      </c>
      <c r="G592" s="5" t="inlineStr">
        <is>
          <t>nuevo OEM</t>
        </is>
      </c>
      <c r="H592" s="2" t="n"/>
    </row>
    <row r="593">
      <c r="A593" s="15" t="n">
        <v>46315</v>
      </c>
      <c r="B593" s="5" t="inlineStr">
        <is>
          <t>Marketplace</t>
        </is>
      </c>
      <c r="C593" s="5" t="inlineStr">
        <is>
          <t>Ryzen 7 7800X3D</t>
        </is>
      </c>
      <c r="D593" s="5" t="inlineStr">
        <is>
          <t>Marketplace Cochabamba (particular)</t>
        </is>
      </c>
      <c r="E593" s="11" t="n">
        <v>5190</v>
      </c>
      <c r="F593" s="5" t="inlineStr">
        <is>
          <t>Bs</t>
        </is>
      </c>
      <c r="G593" s="5" t="inlineStr">
        <is>
          <t>no cuenta: anuncio viejo (nuevo; publicado hace 13 semanas)</t>
        </is>
      </c>
      <c r="H593" s="6" t="inlineStr">
        <is>
          <t>ver</t>
        </is>
      </c>
    </row>
    <row r="594">
      <c r="A594" s="15" t="n">
        <v>46315</v>
      </c>
      <c r="B594" s="5" t="inlineStr">
        <is>
          <t>Marketplace</t>
        </is>
      </c>
      <c r="C594" s="5" t="inlineStr">
        <is>
          <t>Ryzen 7 7800X3D</t>
        </is>
      </c>
      <c r="D594" s="5" t="inlineStr">
        <is>
          <t>Marketplace Cochabamba (particular)</t>
        </is>
      </c>
      <c r="E594" s="11" t="n">
        <v>5390</v>
      </c>
      <c r="F594" s="5" t="inlineStr">
        <is>
          <t>Bs</t>
        </is>
      </c>
      <c r="G594" s="5" t="inlineStr">
        <is>
          <t>nuevo (anuncio 'El mejor para Gaming'; disponible)</t>
        </is>
      </c>
      <c r="H594" s="6" t="inlineStr">
        <is>
          <t>ver</t>
        </is>
      </c>
    </row>
    <row r="595">
      <c r="A595" s="15" t="n">
        <v>46315</v>
      </c>
      <c r="B595" s="5" t="inlineStr">
        <is>
          <t>Marketplace</t>
        </is>
      </c>
      <c r="C595" s="5" t="inlineStr">
        <is>
          <t>Intel Core Ultra 7 265K</t>
        </is>
      </c>
      <c r="D595" s="5" t="inlineStr">
        <is>
          <t>Marketplace La Paz (particular)</t>
        </is>
      </c>
      <c r="E595" s="11" t="n">
        <v>3950</v>
      </c>
      <c r="F595" s="5" t="inlineStr">
        <is>
          <t>Bs</t>
        </is>
      </c>
      <c r="G595" s="5" t="inlineStr">
        <is>
          <t>no cuenta: otra ciudad (La Paz; nuevo)</t>
        </is>
      </c>
      <c r="H595" s="2" t="n"/>
    </row>
    <row r="596">
      <c r="A596" s="15" t="n">
        <v>46315</v>
      </c>
      <c r="B596" s="5" t="inlineStr">
        <is>
          <t>Marketplace</t>
        </is>
      </c>
      <c r="C596" s="5" t="inlineStr">
        <is>
          <t>RAM DDR4 16GB (2x8) 3200</t>
        </is>
      </c>
      <c r="D596" s="5" t="inlineStr">
        <is>
          <t>Marketplace Cochabamba (particular)</t>
        </is>
      </c>
      <c r="E596" s="11" t="n">
        <v>1400</v>
      </c>
      <c r="F596" s="5" t="inlineStr">
        <is>
          <t>Bs</t>
        </is>
      </c>
      <c r="G596" s="5" t="inlineStr">
        <is>
          <t>2x8 = 16GB (marca y frecuencia sin dato; antes Bs 1.600; vuelve a aparecer)</t>
        </is>
      </c>
      <c r="H596" s="2" t="n"/>
    </row>
    <row r="597">
      <c r="A597" s="15" t="n">
        <v>46315</v>
      </c>
      <c r="B597" s="5" t="inlineStr">
        <is>
          <t>Marketplace</t>
        </is>
      </c>
      <c r="C597" s="5" t="inlineStr">
        <is>
          <t>Ryzen 7 7700X</t>
        </is>
      </c>
      <c r="D597" s="5" t="inlineStr">
        <is>
          <t>Marketplace Cochabamba (particular)</t>
        </is>
      </c>
      <c r="E597" s="11" t="n">
        <v>3000</v>
      </c>
      <c r="F597" s="5" t="inlineStr">
        <is>
          <t>Bs</t>
        </is>
      </c>
      <c r="G597" s="5" t="inlineStr">
        <is>
          <t>no cuenta: anuncio viejo (~7 semanas; nuevo (el anuncio dice "nuevo; se hacen pruebas si desconfía"; antes Bs 3.200))</t>
        </is>
      </c>
      <c r="H597" s="6" t="inlineStr">
        <is>
          <t>ver</t>
        </is>
      </c>
    </row>
    <row r="598">
      <c r="A598" s="15" t="n">
        <v>46315</v>
      </c>
      <c r="B598" s="5" t="inlineStr">
        <is>
          <t>Marketplace</t>
        </is>
      </c>
      <c r="C598" s="5" t="inlineStr">
        <is>
          <t>Ryzen 7 7700X</t>
        </is>
      </c>
      <c r="D598" s="5" t="inlineStr">
        <is>
          <t>Marketplace Cochabamba (particular)</t>
        </is>
      </c>
      <c r="E598" s="11" t="n">
        <v>4000</v>
      </c>
      <c r="F598" s="5" t="inlineStr">
        <is>
          <t>Bs</t>
        </is>
      </c>
      <c r="G598" s="5" t="inlineStr">
        <is>
          <t>sellado</t>
        </is>
      </c>
      <c r="H598" s="6" t="inlineStr">
        <is>
          <t>ver</t>
        </is>
      </c>
    </row>
    <row r="599">
      <c r="A599" s="15" t="n">
        <v>46315</v>
      </c>
      <c r="B599" s="5" t="inlineStr">
        <is>
          <t>Marketplace</t>
        </is>
      </c>
      <c r="C599" s="5" t="inlineStr">
        <is>
          <t>Ryzen 7 7700X</t>
        </is>
      </c>
      <c r="D599" s="5" t="inlineStr">
        <is>
          <t>Marketplace La Paz (particular o tienda sin confirmar)</t>
        </is>
      </c>
      <c r="E599" s="11" t="n">
        <v>2800</v>
      </c>
      <c r="F599" s="5" t="inlineStr">
        <is>
          <t>Bs</t>
        </is>
      </c>
      <c r="G599" s="5" t="inlineStr">
        <is>
          <t>no cuenta: otra ciudad (La Paz; nuevo OEM)</t>
        </is>
      </c>
      <c r="H599" s="6" t="inlineStr">
        <is>
          <t>ver</t>
        </is>
      </c>
    </row>
    <row r="600">
      <c r="A600" s="15" t="n">
        <v>46315</v>
      </c>
      <c r="B600" s="5" t="inlineStr">
        <is>
          <t>Marketplace</t>
        </is>
      </c>
      <c r="C600" s="5" t="inlineStr">
        <is>
          <t>Ryzen 7 7700X</t>
        </is>
      </c>
      <c r="D600" s="5" t="inlineStr">
        <is>
          <t>Marketplace La Paz (particular o tienda sin confirmar)</t>
        </is>
      </c>
      <c r="E600" s="11" t="n">
        <v>3450</v>
      </c>
      <c r="F600" s="5" t="inlineStr">
        <is>
          <t>Bs</t>
        </is>
      </c>
      <c r="G600" s="5" t="inlineStr">
        <is>
          <t>no cuenta: otra ciudad (La Paz; nuevo sellado)</t>
        </is>
      </c>
      <c r="H600" s="6" t="inlineStr">
        <is>
          <t>ver</t>
        </is>
      </c>
    </row>
    <row r="601">
      <c r="A601" s="15" t="n">
        <v>46315</v>
      </c>
      <c r="B601" s="5" t="inlineStr">
        <is>
          <t>Tienda</t>
        </is>
      </c>
      <c r="C601" s="5" t="inlineStr">
        <is>
          <t>Ryzen 7 7700X</t>
        </is>
      </c>
      <c r="D601" s="5" t="inlineStr">
        <is>
          <t>Cyrex Store (web)</t>
        </is>
      </c>
      <c r="E601" s="11" t="n">
        <v>3667</v>
      </c>
      <c r="F601" s="5" t="inlineStr">
        <is>
          <t>Bs</t>
        </is>
      </c>
      <c r="G601" s="5" t="inlineStr">
        <is>
          <t>nuevo BOX sellado (sin cooler)</t>
        </is>
      </c>
      <c r="H601" s="6" t="inlineStr">
        <is>
          <t>ver</t>
        </is>
      </c>
    </row>
    <row r="602">
      <c r="A602" s="15" t="n">
        <v>46316</v>
      </c>
      <c r="B602" s="5" t="inlineStr">
        <is>
          <t>Tienda</t>
        </is>
      </c>
      <c r="C602" s="5" t="inlineStr">
        <is>
          <t>Ryzen 7 7700X</t>
        </is>
      </c>
      <c r="D602" s="5" t="inlineStr">
        <is>
          <t>Geek Store Bolivia (WhatsApp)</t>
        </is>
      </c>
      <c r="E602" s="11" t="n">
        <v>3480</v>
      </c>
      <c r="F602" s="5" t="inlineStr">
        <is>
          <t>Bs</t>
        </is>
      </c>
      <c r="G602" s="5" t="inlineStr">
        <is>
          <t>nuevo sellado (caja)</t>
        </is>
      </c>
      <c r="H602" s="2" t="n"/>
    </row>
    <row r="603">
      <c r="A603" s="15" t="n">
        <v>46316</v>
      </c>
      <c r="B603" s="5" t="inlineStr">
        <is>
          <t>Marketplace</t>
        </is>
      </c>
      <c r="C603" s="5" t="inlineStr">
        <is>
          <t>Intel Core i5-12400F</t>
        </is>
      </c>
      <c r="D603" s="5" t="inlineStr">
        <is>
          <t>Marketplace Cochabamba (particular)</t>
        </is>
      </c>
      <c r="E603" s="11" t="n">
        <v>2350</v>
      </c>
      <c r="F603" s="5" t="inlineStr">
        <is>
          <t>Bs</t>
        </is>
      </c>
      <c r="G603" s="5" t="inlineStr">
        <is>
          <t>OEM (anuncio "Procesador CPU i5 12400f OEM"; estado sin dato)</t>
        </is>
      </c>
      <c r="H603" s="2" t="n"/>
    </row>
    <row r="604">
      <c r="A604" s="15" t="n">
        <v>46316</v>
      </c>
      <c r="B604" s="5" t="inlineStr">
        <is>
          <t>Marketplace</t>
        </is>
      </c>
      <c r="C604" s="5" t="inlineStr">
        <is>
          <t>Corsair Vengeance RGB DDR5 32GB (2x16) 6000</t>
        </is>
      </c>
      <c r="D604" s="5" t="inlineStr">
        <is>
          <t>Marketplace Cochabamba (particular)</t>
        </is>
      </c>
      <c r="E604" s="11" t="n">
        <v>6200</v>
      </c>
      <c r="F604" s="5" t="inlineStr">
        <is>
          <t>Bs</t>
        </is>
      </c>
      <c r="G604" s="5" t="inlineStr">
        <is>
          <t>Corsair Vengeance RGB RS 2x16 6000 MHz ("última unidad"; estado sin dato)</t>
        </is>
      </c>
      <c r="H604" s="2" t="n"/>
    </row>
    <row r="605">
      <c r="A605" s="15" t="n">
        <v>46316</v>
      </c>
      <c r="B605" s="5" t="inlineStr">
        <is>
          <t>Marketplace</t>
        </is>
      </c>
      <c r="C605" s="5" t="inlineStr">
        <is>
          <t>Ryzen 7 7800X3D</t>
        </is>
      </c>
      <c r="D605" s="5" t="inlineStr">
        <is>
          <t>Marketplace Cochabamba (tienda sin confirmar)</t>
        </is>
      </c>
      <c r="E605" s="11" t="n">
        <v>4860</v>
      </c>
      <c r="F605" s="5" t="inlineStr">
        <is>
          <t>Bs</t>
        </is>
      </c>
      <c r="G605" s="5" t="inlineStr">
        <is>
          <t>nuevo (anuncio multi-modelo "9800X3D, 7800X3D, 8700G"; precio desde)</t>
        </is>
      </c>
      <c r="H605" s="2" t="n"/>
    </row>
    <row r="606">
      <c r="A606" s="15" t="n">
        <v>46316</v>
      </c>
      <c r="B606" s="5" t="inlineStr">
        <is>
          <t>Marketplace</t>
        </is>
      </c>
      <c r="C606" s="5" t="inlineStr">
        <is>
          <t>SSD NVMe 1TB</t>
        </is>
      </c>
      <c r="D606" s="5" t="inlineStr">
        <is>
          <t>Marketplace Cochabamba (particular)</t>
        </is>
      </c>
      <c r="E606" s="11" t="n">
        <v>1700</v>
      </c>
      <c r="F606" s="5" t="inlineStr">
        <is>
          <t>Bs</t>
        </is>
      </c>
      <c r="G606" s="5" t="inlineStr">
        <is>
          <t>Kingston NV2 NVMe 1TB (estado sin dato; recién publicado)</t>
        </is>
      </c>
      <c r="H606" s="2" t="n"/>
    </row>
    <row r="607">
      <c r="A607" s="15" t="n">
        <v>46316</v>
      </c>
      <c r="B607" s="5" t="inlineStr">
        <is>
          <t>Marketplace</t>
        </is>
      </c>
      <c r="C607" s="5" t="inlineStr">
        <is>
          <t>SSD NVMe 1TB</t>
        </is>
      </c>
      <c r="D607" s="5" t="inlineStr">
        <is>
          <t>Marketplace Cochabamba (particular)</t>
        </is>
      </c>
      <c r="E607" s="11" t="n">
        <v>3050</v>
      </c>
      <c r="F607" s="5" t="inlineStr">
        <is>
          <t>Bs</t>
        </is>
      </c>
      <c r="G607" s="5" t="inlineStr">
        <is>
          <t>Samsung 9100 PRO 1TB PCIe 5.0 (gama alta; estado sin dato)</t>
        </is>
      </c>
      <c r="H607" s="2" t="n"/>
    </row>
    <row r="608">
      <c r="A608" s="15" t="n">
        <v>46316</v>
      </c>
      <c r="B608" s="5" t="inlineStr">
        <is>
          <t>Tienda</t>
        </is>
      </c>
      <c r="C608" s="5" t="inlineStr">
        <is>
          <t>Ryzen 7 7800X3D</t>
        </is>
      </c>
      <c r="D608" s="5" t="inlineStr">
        <is>
          <t>ADN Gamer Store (WhatsApp)</t>
        </is>
      </c>
      <c r="E608" s="11" t="n">
        <v>6193</v>
      </c>
      <c r="F608" s="5" t="inlineStr">
        <is>
          <t>Bs</t>
        </is>
      </c>
      <c r="G608" s="5" t="inlineStr">
        <is>
          <t>nuevo (estado y garantía sin confirmar; se preguntó)</t>
        </is>
      </c>
      <c r="H608" s="2" t="n"/>
    </row>
    <row r="609">
      <c r="A609" s="15" t="n">
        <v>46316</v>
      </c>
      <c r="B609" s="5" t="inlineStr">
        <is>
          <t>Tienda</t>
        </is>
      </c>
      <c r="C609" s="5" t="inlineStr">
        <is>
          <t>Ryzen 5 7600</t>
        </is>
      </c>
      <c r="D609" s="5" t="inlineStr">
        <is>
          <t>ADN Gamer Store (WhatsApp)</t>
        </is>
      </c>
      <c r="E609" s="11" t="n">
        <v>2918</v>
      </c>
      <c r="F609" s="5" t="inlineStr">
        <is>
          <t>Bs</t>
        </is>
      </c>
      <c r="G609" s="5" t="inlineStr">
        <is>
          <t>nuevo (es el 7600X, no el 7600; USD 245 × 11,91; solo referencia; no cuenta)</t>
        </is>
      </c>
      <c r="H609" s="2" t="n"/>
    </row>
    <row r="610">
      <c r="A610" s="15" t="n">
        <v>46317</v>
      </c>
      <c r="B610" s="5" t="inlineStr">
        <is>
          <t>Marketplace</t>
        </is>
      </c>
      <c r="C610" s="5" t="inlineStr">
        <is>
          <t>Ryzen 7 7700X</t>
        </is>
      </c>
      <c r="D610" s="5" t="inlineStr">
        <is>
          <t>Marketplace Cochabamba (particular)</t>
        </is>
      </c>
      <c r="E610" s="11" t="n">
        <v>3100</v>
      </c>
      <c r="F610" s="5" t="inlineStr">
        <is>
          <t>Bs</t>
        </is>
      </c>
      <c r="G610" s="5" t="inlineStr">
        <is>
          <t>estado sin dato (antes Bs 3.500 tachado; puede ser el mismo anuncio de Bs 3.000 de ayer con otro precio)</t>
        </is>
      </c>
      <c r="H610" s="6" t="inlineStr">
        <is>
          <t>ver</t>
        </is>
      </c>
    </row>
    <row r="611">
      <c r="A611" s="15" t="n">
        <v>46317</v>
      </c>
      <c r="B611" s="5" t="inlineStr">
        <is>
          <t>Marketplace</t>
        </is>
      </c>
      <c r="C611" s="5" t="inlineStr">
        <is>
          <t>RAM DDR4 16GB (2x8) 3200</t>
        </is>
      </c>
      <c r="D611" s="5" t="inlineStr">
        <is>
          <t>Marketplace Cochabamba (particular)</t>
        </is>
      </c>
      <c r="E611" s="11" t="n">
        <v>600</v>
      </c>
      <c r="F611" s="5" t="inlineStr">
        <is>
          <t>Bs</t>
        </is>
      </c>
      <c r="G611" s="5" t="inlineStr">
        <is>
          <t>estado sin dato (2x8 16GB; recién publicado)</t>
        </is>
      </c>
      <c r="H611" s="6" t="inlineStr">
        <is>
          <t>ver</t>
        </is>
      </c>
    </row>
    <row r="612">
      <c r="A612" s="15" t="n">
        <v>46317</v>
      </c>
      <c r="B612" s="5" t="inlineStr">
        <is>
          <t>Marketplace</t>
        </is>
      </c>
      <c r="C612" s="5" t="inlineStr">
        <is>
          <t>RAM DDR4 16GB (2x8) 3200</t>
        </is>
      </c>
      <c r="D612" s="5" t="inlineStr">
        <is>
          <t>Marketplace Cochabamba (particular)</t>
        </is>
      </c>
      <c r="E612" s="11" t="n">
        <v>540</v>
      </c>
      <c r="F612" s="5" t="inlineStr">
        <is>
          <t>Bs</t>
        </is>
      </c>
      <c r="G612" s="5" t="inlineStr">
        <is>
          <t>estado sin dato (Kingston Fury Beast RGB 16GB 3200; no queda claro si es 2x8 o un módulo)</t>
        </is>
      </c>
      <c r="H612" s="6" t="inlineStr">
        <is>
          <t>ver</t>
        </is>
      </c>
    </row>
    <row r="613">
      <c r="A613" s="15" t="n">
        <v>46317</v>
      </c>
      <c r="B613" s="5" t="inlineStr">
        <is>
          <t>Marketplace</t>
        </is>
      </c>
      <c r="C613" s="5" t="inlineStr">
        <is>
          <t>SSD NVMe 1TB</t>
        </is>
      </c>
      <c r="D613" s="5" t="inlineStr">
        <is>
          <t>Marketplace Cochabamba (particular)</t>
        </is>
      </c>
      <c r="E613" s="11" t="n">
        <v>2050</v>
      </c>
      <c r="F613" s="5" t="inlineStr">
        <is>
          <t>Bs</t>
        </is>
      </c>
      <c r="G613" s="5" t="inlineStr">
        <is>
          <t>estado sin dato (WD Green SN3000 1TB)</t>
        </is>
      </c>
      <c r="H613" s="6" t="inlineStr">
        <is>
          <t>ver</t>
        </is>
      </c>
    </row>
    <row r="614">
      <c r="A614" s="15" t="n">
        <v>46317</v>
      </c>
      <c r="B614" s="5" t="inlineStr">
        <is>
          <t>Marketplace</t>
        </is>
      </c>
      <c r="C614" s="5" t="inlineStr">
        <is>
          <t>SSD NVMe 1TB</t>
        </is>
      </c>
      <c r="D614" s="5" t="inlineStr">
        <is>
          <t>Marketplace Cochabamba (particular)</t>
        </is>
      </c>
      <c r="E614" s="11" t="n">
        <v>2060</v>
      </c>
      <c r="F614" s="5" t="inlineStr">
        <is>
          <t>Bs</t>
        </is>
      </c>
      <c r="G614" s="5" t="inlineStr">
        <is>
          <t>estado sin dato (WD Green SN3000 1TB)</t>
        </is>
      </c>
      <c r="H614" s="6" t="inlineStr">
        <is>
          <t>ver</t>
        </is>
      </c>
    </row>
    <row r="615">
      <c r="A615" s="15" t="n">
        <v>46317</v>
      </c>
      <c r="B615" s="5" t="inlineStr">
        <is>
          <t>Tienda</t>
        </is>
      </c>
      <c r="C615" s="5" t="inlineStr">
        <is>
          <t>Ryzen 7 7800X3D</t>
        </is>
      </c>
      <c r="D615" s="5" t="inlineStr">
        <is>
          <t>ADN Gamer Store (WhatsApp)</t>
        </is>
      </c>
      <c r="E615" s="11" t="n">
        <v>6162</v>
      </c>
      <c r="F615" s="5" t="inlineStr">
        <is>
          <t>Bs</t>
        </is>
      </c>
      <c r="G615" s="5" t="inlineStr">
        <is>
          <t>nuevo en caja (box); garantía sin dato (se preguntó)</t>
        </is>
      </c>
      <c r="H615" s="2" t="n"/>
    </row>
    <row r="616">
      <c r="A616" s="15" t="n">
        <v>46317</v>
      </c>
      <c r="B616" s="5" t="inlineStr">
        <is>
          <t>Tienda</t>
        </is>
      </c>
      <c r="C616" s="5" t="inlineStr">
        <is>
          <t>Intel Core Ultra 7 265K</t>
        </is>
      </c>
      <c r="D616" s="5" t="inlineStr">
        <is>
          <t>TechMax Computers Cbba (WhatsApp)</t>
        </is>
      </c>
      <c r="E616" s="11" t="n">
        <v>4300</v>
      </c>
      <c r="F616" s="5" t="inlineStr">
        <is>
          <t>Bs</t>
        </is>
      </c>
      <c r="G616" s="5" t="inlineStr">
        <is>
          <t>no cuenta: modelo sin confirmar (dijo 'Core Ultra 7'; se preguntó si es el 265K); sin garantía, traído de EEUU; estado 'perfecto estado'</t>
        </is>
      </c>
      <c r="H616" s="2" t="n"/>
    </row>
    <row r="617">
      <c r="A617" s="15" t="n">
        <v>46318</v>
      </c>
      <c r="B617" s="5" t="inlineStr">
        <is>
          <t>Tienda</t>
        </is>
      </c>
      <c r="C617" s="5" t="inlineStr">
        <is>
          <t>Ryzen 5 5600</t>
        </is>
      </c>
      <c r="D617" s="5" t="inlineStr">
        <is>
          <t>Punto Tecnológico · Supermall (web, vista en Google 23/10)</t>
        </is>
      </c>
      <c r="E617" s="11" t="n">
        <v>1710</v>
      </c>
      <c r="F617" s="5" t="inlineStr">
        <is>
          <t>Bs</t>
        </is>
      </c>
      <c r="G617" s="5" t="inlineStr">
        <is>
          <t>no cuenta: agotado (referencia web; ya anotada el 12/10, la web sigue mostrando el mismo precio)</t>
        </is>
      </c>
      <c r="H617" s="6" t="inlineStr">
        <is>
          <t>ver</t>
        </is>
      </c>
    </row>
    <row r="618">
      <c r="A618" s="15" t="n">
        <v>46318</v>
      </c>
      <c r="B618" s="5" t="inlineStr">
        <is>
          <t>Tienda</t>
        </is>
      </c>
      <c r="C618" s="5" t="inlineStr">
        <is>
          <t>Ryzen 7 5700X3D</t>
        </is>
      </c>
      <c r="D618" s="5" t="inlineStr">
        <is>
          <t>Facebook grupo TEAM PC's BOLIVIA (web, vista en Google 23/10)</t>
        </is>
      </c>
      <c r="E618" s="11" t="n">
        <v>3800</v>
      </c>
      <c r="F618" s="5" t="inlineStr">
        <is>
          <t>Bs</t>
        </is>
      </c>
      <c r="G618" s="5" t="inlineStr">
        <is>
          <t>no cuenta: referencia vieja (comentario "de 3.800 Bs arriba" en el grupo TEAM PC's BOLIVIA; nuevo; sin ciudad ni anuncio)</t>
        </is>
      </c>
      <c r="H618" s="2" t="n"/>
    </row>
    <row r="619">
      <c r="A619" s="15" t="n">
        <v>46318</v>
      </c>
      <c r="B619" s="5" t="inlineStr">
        <is>
          <t>Tienda</t>
        </is>
      </c>
      <c r="C619" s="5" t="inlineStr">
        <is>
          <t>Ryzen 5 7500F</t>
        </is>
      </c>
      <c r="D619" s="5" t="inlineStr">
        <is>
          <t>Facebook grupo PC GAMERS BOLIVIA (web, vista en Google 23/10)</t>
        </is>
      </c>
      <c r="E619" s="11" t="n">
        <v>2050</v>
      </c>
      <c r="F619" s="5" t="inlineStr">
        <is>
          <t>Bs</t>
        </is>
      </c>
      <c r="G619" s="5" t="inlineStr">
        <is>
          <t>no cuenta: referencia vieja (2 unidades nuevas "recién llegadas" en el grupo PC GAMERS BOLIVIA; sin ciudad)</t>
        </is>
      </c>
      <c r="H619" s="2" t="n"/>
    </row>
    <row r="620">
      <c r="A620" s="15" t="n">
        <v>46318</v>
      </c>
      <c r="B620" s="5" t="inlineStr">
        <is>
          <t>Marketplace</t>
        </is>
      </c>
      <c r="C620" s="5" t="inlineStr">
        <is>
          <t>RAM DDR4 16GB (2x8) 3200</t>
        </is>
      </c>
      <c r="D620" s="5" t="inlineStr">
        <is>
          <t>Marketplace Cochabamba (particular)</t>
        </is>
      </c>
      <c r="E620" s="11" t="n">
        <v>1600</v>
      </c>
      <c r="F620" s="5" t="inlineStr">
        <is>
          <t>Bs</t>
        </is>
      </c>
      <c r="G620" s="5" t="inlineStr">
        <is>
          <t>sin dato de estado (Corsair Vengeance Pro 2x8GB 3200 MHz)</t>
        </is>
      </c>
      <c r="H620" s="6" t="inlineStr">
        <is>
          <t>ver</t>
        </is>
      </c>
    </row>
    <row r="621">
      <c r="A621" s="15" t="n">
        <v>46318</v>
      </c>
      <c r="B621" s="5" t="inlineStr">
        <is>
          <t>Marketplace</t>
        </is>
      </c>
      <c r="C621" s="5" t="inlineStr">
        <is>
          <t>RAM DDR4 16GB (2x8) 3200</t>
        </is>
      </c>
      <c r="D621" s="5" t="inlineStr">
        <is>
          <t>Marketplace Cochabamba (particular)</t>
        </is>
      </c>
      <c r="E621" s="11" t="n">
        <v>1300</v>
      </c>
      <c r="F621" s="5" t="inlineStr">
        <is>
          <t>Bs</t>
        </is>
      </c>
      <c r="G621" s="5" t="inlineStr">
        <is>
          <t>no cuenta: velocidad sin dato (anuncio "Ram 2 x 8 = 16Gb"; estado sin dato; tachado Bs 1.600)</t>
        </is>
      </c>
      <c r="H621" s="6" t="inlineStr">
        <is>
          <t>ver</t>
        </is>
      </c>
    </row>
    <row r="622">
      <c r="A622" s="15" t="n">
        <v>46318</v>
      </c>
      <c r="B622" s="5" t="inlineStr">
        <is>
          <t>Marketplace</t>
        </is>
      </c>
      <c r="C622" s="5" t="inlineStr">
        <is>
          <t>SSD NVMe 2TB</t>
        </is>
      </c>
      <c r="D622" s="5" t="inlineStr">
        <is>
          <t>Marketplace Cochabamba (particular)</t>
        </is>
      </c>
      <c r="E622" s="11" t="n">
        <v>3350</v>
      </c>
      <c r="F622" s="5" t="inlineStr">
        <is>
          <t>Bs</t>
        </is>
      </c>
      <c r="G622" s="5" t="inlineStr">
        <is>
          <t>no cuenta: tipo sin confirmar (anuncio "Sandisk SSD 2 TB recién llegadas"; tachado Bs 3.550; no dice si es NVMe o SATA)</t>
        </is>
      </c>
      <c r="H622" s="6" t="inlineStr">
        <is>
          <t>ver</t>
        </is>
      </c>
    </row>
    <row r="623">
      <c r="A623" s="15" t="n">
        <v>46318</v>
      </c>
      <c r="B623" s="5" t="inlineStr">
        <is>
          <t>Tienda</t>
        </is>
      </c>
      <c r="C623" s="5" t="inlineStr">
        <is>
          <t>Ryzen 7 7700X</t>
        </is>
      </c>
      <c r="D623" s="5" t="inlineStr">
        <is>
          <t>Cyrex Store (WhatsApp)</t>
        </is>
      </c>
      <c r="E623" s="11" t="n">
        <v>3673.5</v>
      </c>
      <c r="F623" s="5" t="inlineStr">
        <is>
          <t>Bs</t>
        </is>
      </c>
      <c r="G623" s="5" t="inlineStr">
        <is>
          <t>nuevo BOX (según foto de su chat; solo queda 1 unidad)</t>
        </is>
      </c>
      <c r="H623" s="2" t="n"/>
    </row>
    <row r="624">
      <c r="A624" s="15" t="n">
        <v>46318</v>
      </c>
      <c r="B624" s="5" t="inlineStr">
        <is>
          <t>Tienda</t>
        </is>
      </c>
      <c r="C624" s="5" t="inlineStr">
        <is>
          <t>Ryzen 5 7600</t>
        </is>
      </c>
      <c r="D624" s="5" t="inlineStr">
        <is>
          <t>Nerd Tecnologias (WhatsApp)</t>
        </is>
      </c>
      <c r="E624" s="11" t="n">
        <v>2700</v>
      </c>
      <c r="F624" s="5" t="inlineStr">
        <is>
          <t>Bs</t>
        </is>
      </c>
      <c r="G624" s="5" t="inlineStr">
        <is>
          <t>no cuenta: precio de segunda mano (lo consultó a un colega); estado y garantía sin confirmar</t>
        </is>
      </c>
      <c r="H624" s="2" t="n"/>
    </row>
    <row r="625">
      <c r="A625" s="15" t="n">
        <v>46318</v>
      </c>
      <c r="B625" s="5" t="inlineStr">
        <is>
          <t>Tienda</t>
        </is>
      </c>
      <c r="C625" s="5" t="inlineStr">
        <is>
          <t>SSD NVMe 1TB</t>
        </is>
      </c>
      <c r="D625" s="5" t="inlineStr">
        <is>
          <t>Nerd Tecnologias (WhatsApp)</t>
        </is>
      </c>
      <c r="E625" s="11" t="n">
        <v>1600</v>
      </c>
      <c r="F625" s="5" t="inlineStr">
        <is>
          <t>Bs</t>
        </is>
      </c>
      <c r="G625" s="5" t="inlineStr">
        <is>
          <t>no cuenta: precio de segunda mano (colega); marca y tipo sin confirmar ("M2 de 1 tera")</t>
        </is>
      </c>
      <c r="H625" s="2" t="n"/>
    </row>
    <row r="626">
      <c r="A626" s="15" t="n">
        <v>46318</v>
      </c>
      <c r="B626" s="5" t="inlineStr">
        <is>
          <t>Tienda</t>
        </is>
      </c>
      <c r="C626" s="5" t="inlineStr">
        <is>
          <t>Intel Core Ultra 7 265K</t>
        </is>
      </c>
      <c r="D626" s="5" t="inlineStr">
        <is>
          <t>TechMax Computers Cbba (WhatsApp)</t>
        </is>
      </c>
      <c r="E626" s="11" t="n">
        <v>4300</v>
      </c>
      <c r="F626" s="5" t="inlineStr">
        <is>
          <t>Bs</t>
        </is>
      </c>
      <c r="G626" s="5" t="inlineStr">
        <is>
          <t>no cuenta: es el Core Ultra 7 270K (no el 265K); sin garantía, traído de EEUU</t>
        </is>
      </c>
      <c r="H626" s="2" t="n"/>
    </row>
    <row r="627">
      <c r="A627" s="15" t="n">
        <v>46321</v>
      </c>
      <c r="B627" s="5" t="inlineStr">
        <is>
          <t>Marketplace</t>
        </is>
      </c>
      <c r="C627" s="5" t="inlineStr">
        <is>
          <t>Ryzen 7 7800X3D</t>
        </is>
      </c>
      <c r="D627" s="5" t="inlineStr">
        <is>
          <t>Marketplace Cochabamba (particular)</t>
        </is>
      </c>
      <c r="E627" s="11" t="n">
        <v>4800</v>
      </c>
      <c r="F627" s="5" t="inlineStr">
        <is>
          <t>Bs</t>
        </is>
      </c>
      <c r="G627" s="5" t="inlineStr">
        <is>
          <t>nuevo sellado (anuncio "AMD Ryzen 7 7800X3D (Sellado)"; el vendedor dijo el 13/10 que acepta ofertas, no se oferta)</t>
        </is>
      </c>
      <c r="H627" s="2" t="n"/>
    </row>
    <row r="628">
      <c r="A628" s="15" t="n">
        <v>46321</v>
      </c>
      <c r="B628" s="5" t="inlineStr">
        <is>
          <t>Marketplace</t>
        </is>
      </c>
      <c r="C628" s="5" t="inlineStr">
        <is>
          <t>SSD NVMe 1TB</t>
        </is>
      </c>
      <c r="D628" s="5" t="inlineStr">
        <is>
          <t>Marketplace Cochabamba (particular)</t>
        </is>
      </c>
      <c r="E628" s="11" t="n">
        <v>1850</v>
      </c>
      <c r="F628" s="5" t="inlineStr">
        <is>
          <t>Bs</t>
        </is>
      </c>
      <c r="G628" s="5" t="inlineStr">
        <is>
          <t>Kingston NV3 NVMe 1TB 6000MB/s (estado sin dato)</t>
        </is>
      </c>
      <c r="H628" s="2" t="n"/>
    </row>
    <row r="629">
      <c r="A629" s="15" t="n">
        <v>46321</v>
      </c>
      <c r="B629" s="5" t="inlineStr">
        <is>
          <t>Tienda</t>
        </is>
      </c>
      <c r="C629" s="5" t="inlineStr">
        <is>
          <t>SSD NVMe 1TB</t>
        </is>
      </c>
      <c r="D629" s="5" t="inlineStr">
        <is>
          <t>Punto Tecnológico (WhatsApp)</t>
        </is>
      </c>
      <c r="E629" s="11" t="n">
        <v>2000</v>
      </c>
      <c r="F629" s="5" t="inlineStr">
        <is>
          <t>Bs</t>
        </is>
      </c>
      <c r="G629" s="5" t="inlineStr">
        <is>
          <t>nuevo, NVMe (modelo SN3000), garantía 6 meses (confirmado 28/10)</t>
        </is>
      </c>
      <c r="H629" s="2" t="n"/>
    </row>
    <row r="630">
      <c r="A630" s="15" t="n">
        <v>46321</v>
      </c>
      <c r="B630" s="5" t="inlineStr">
        <is>
          <t>Tienda</t>
        </is>
      </c>
      <c r="C630" s="5" t="inlineStr">
        <is>
          <t>Ryzen 7 9700X</t>
        </is>
      </c>
      <c r="D630" s="5" t="inlineStr">
        <is>
          <t>Punto Tecnológico (WhatsApp)</t>
        </is>
      </c>
      <c r="E630" s="11" t="n">
        <v>3680</v>
      </c>
      <c r="F630" s="5" t="inlineStr">
        <is>
          <t>Bs</t>
        </is>
      </c>
      <c r="G630" s="5" t="inlineStr">
        <is>
          <t>no cuenta: no es producto de vigilar; OEM</t>
        </is>
      </c>
      <c r="H630" s="2" t="n"/>
    </row>
    <row r="631">
      <c r="A631" s="15" t="n">
        <v>46323</v>
      </c>
      <c r="B631" s="5" t="inlineStr">
        <is>
          <t>Marketplace</t>
        </is>
      </c>
      <c r="C631" s="5" t="inlineStr">
        <is>
          <t>Ryzen 7 7700X</t>
        </is>
      </c>
      <c r="D631" s="5" t="inlineStr">
        <is>
          <t>Marketplace Cochabamba (particular)</t>
        </is>
      </c>
      <c r="E631" s="11" t="n">
        <v>4000</v>
      </c>
      <c r="F631" s="5" t="inlineStr">
        <is>
          <t>Bs</t>
        </is>
      </c>
      <c r="G631" s="5" t="inlineStr">
        <is>
          <t>nuevo sellado ("Ryzen 7 7700x Sellado"); Cochabamba</t>
        </is>
      </c>
      <c r="H631" s="2" t="n"/>
    </row>
    <row r="632">
      <c r="A632" s="15" t="n">
        <v>46323</v>
      </c>
      <c r="B632" s="5" t="inlineStr">
        <is>
          <t>Marketplace</t>
        </is>
      </c>
      <c r="C632" s="5" t="inlineStr">
        <is>
          <t>SSD NVMe 1TB</t>
        </is>
      </c>
      <c r="D632" s="5" t="inlineStr">
        <is>
          <t>Marketplace Cochabamba (particular)</t>
        </is>
      </c>
      <c r="E632" s="11" t="n">
        <v>1700</v>
      </c>
      <c r="F632" s="5" t="inlineStr">
        <is>
          <t>Bs</t>
        </is>
      </c>
      <c r="G632" s="5" t="inlineStr">
        <is>
          <t>Kingston NV2 NVMe PCIe 4.0 1TB (estado sin dato); Cochabamba</t>
        </is>
      </c>
      <c r="H632" s="2" t="n"/>
    </row>
    <row r="633">
      <c r="A633" s="15" t="n">
        <v>46323</v>
      </c>
      <c r="B633" s="5" t="inlineStr">
        <is>
          <t>Marketplace</t>
        </is>
      </c>
      <c r="C633" s="5" t="inlineStr">
        <is>
          <t>SSD NVMe 1TB</t>
        </is>
      </c>
      <c r="D633" s="5" t="inlineStr">
        <is>
          <t>Marketplace Cochabamba (particular)</t>
        </is>
      </c>
      <c r="E633" s="11" t="n">
        <v>1100</v>
      </c>
      <c r="F633" s="5" t="inlineStr">
        <is>
          <t>Bs</t>
        </is>
      </c>
      <c r="G633" s="5" t="inlineStr">
        <is>
          <t>"Disco duro m2 NVMe 1 tb" marca y estado sin dato; Cochabamba</t>
        </is>
      </c>
      <c r="H633" s="2" t="n"/>
    </row>
    <row r="634">
      <c r="A634" s="15" t="n">
        <v>46323</v>
      </c>
      <c r="B634" s="5" t="inlineStr">
        <is>
          <t>Marketplace</t>
        </is>
      </c>
      <c r="C634" s="5" t="inlineStr">
        <is>
          <t>SSD NVMe 1TB</t>
        </is>
      </c>
      <c r="D634" s="5" t="inlineStr">
        <is>
          <t>Marketplace Cochabamba (particular)</t>
        </is>
      </c>
      <c r="E634" s="11" t="n">
        <v>1675</v>
      </c>
      <c r="F634" s="5" t="inlineStr">
        <is>
          <t>Bs</t>
        </is>
      </c>
      <c r="G634" s="5" t="inlineStr">
        <is>
          <t>Kingston NV2 NVMe 1TB (estado sin dato; "SSD NV2 de 1TB"); Cochabamba</t>
        </is>
      </c>
      <c r="H634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5" r:id="rId550"/>
    <hyperlink xmlns:r="http://schemas.openxmlformats.org/officeDocument/2006/relationships" ref="H557" r:id="rId551"/>
    <hyperlink xmlns:r="http://schemas.openxmlformats.org/officeDocument/2006/relationships" ref="H558" r:id="rId552"/>
    <hyperlink xmlns:r="http://schemas.openxmlformats.org/officeDocument/2006/relationships" ref="H574" r:id="rId553"/>
    <hyperlink xmlns:r="http://schemas.openxmlformats.org/officeDocument/2006/relationships" ref="H575" r:id="rId554"/>
    <hyperlink xmlns:r="http://schemas.openxmlformats.org/officeDocument/2006/relationships" ref="H576" r:id="rId555"/>
    <hyperlink xmlns:r="http://schemas.openxmlformats.org/officeDocument/2006/relationships" ref="H577" r:id="rId556"/>
    <hyperlink xmlns:r="http://schemas.openxmlformats.org/officeDocument/2006/relationships" ref="H581" r:id="rId557"/>
    <hyperlink xmlns:r="http://schemas.openxmlformats.org/officeDocument/2006/relationships" ref="H582" r:id="rId558"/>
    <hyperlink xmlns:r="http://schemas.openxmlformats.org/officeDocument/2006/relationships" ref="H583" r:id="rId559"/>
    <hyperlink xmlns:r="http://schemas.openxmlformats.org/officeDocument/2006/relationships" ref="H585" r:id="rId560"/>
    <hyperlink xmlns:r="http://schemas.openxmlformats.org/officeDocument/2006/relationships" ref="H586" r:id="rId561"/>
    <hyperlink xmlns:r="http://schemas.openxmlformats.org/officeDocument/2006/relationships" ref="H587" r:id="rId562"/>
    <hyperlink xmlns:r="http://schemas.openxmlformats.org/officeDocument/2006/relationships" ref="H588" r:id="rId563"/>
    <hyperlink xmlns:r="http://schemas.openxmlformats.org/officeDocument/2006/relationships" ref="H589" r:id="rId564"/>
    <hyperlink xmlns:r="http://schemas.openxmlformats.org/officeDocument/2006/relationships" ref="H590" r:id="rId565"/>
    <hyperlink xmlns:r="http://schemas.openxmlformats.org/officeDocument/2006/relationships" ref="H593" r:id="rId566"/>
    <hyperlink xmlns:r="http://schemas.openxmlformats.org/officeDocument/2006/relationships" ref="H594" r:id="rId567"/>
    <hyperlink xmlns:r="http://schemas.openxmlformats.org/officeDocument/2006/relationships" ref="H597" r:id="rId568"/>
    <hyperlink xmlns:r="http://schemas.openxmlformats.org/officeDocument/2006/relationships" ref="H598" r:id="rId569"/>
    <hyperlink xmlns:r="http://schemas.openxmlformats.org/officeDocument/2006/relationships" ref="H599" r:id="rId570"/>
    <hyperlink xmlns:r="http://schemas.openxmlformats.org/officeDocument/2006/relationships" ref="H600" r:id="rId571"/>
    <hyperlink xmlns:r="http://schemas.openxmlformats.org/officeDocument/2006/relationships" ref="H601" r:id="rId572"/>
    <hyperlink xmlns:r="http://schemas.openxmlformats.org/officeDocument/2006/relationships" ref="H610" r:id="rId573"/>
    <hyperlink xmlns:r="http://schemas.openxmlformats.org/officeDocument/2006/relationships" ref="H611" r:id="rId574"/>
    <hyperlink xmlns:r="http://schemas.openxmlformats.org/officeDocument/2006/relationships" ref="H612" r:id="rId575"/>
    <hyperlink xmlns:r="http://schemas.openxmlformats.org/officeDocument/2006/relationships" ref="H613" r:id="rId576"/>
    <hyperlink xmlns:r="http://schemas.openxmlformats.org/officeDocument/2006/relationships" ref="H614" r:id="rId577"/>
    <hyperlink xmlns:r="http://schemas.openxmlformats.org/officeDocument/2006/relationships" ref="H617" r:id="rId578"/>
    <hyperlink xmlns:r="http://schemas.openxmlformats.org/officeDocument/2006/relationships" ref="H620" r:id="rId579"/>
    <hyperlink xmlns:r="http://schemas.openxmlformats.org/officeDocument/2006/relationships" ref="H621" r:id="rId580"/>
    <hyperlink xmlns:r="http://schemas.openxmlformats.org/officeDocument/2006/relationships" ref="H622" r:id="rId581"/>
  </hyperlinks>
  <pageMargins left="0.75" right="0.75" top="1" bottom="1" header="0.5" footer="0.5"/>
  <tableParts count="1">
    <tablePart xmlns:r="http://schemas.openxmlformats.org/officeDocument/2006/relationships" r:id="rId58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2026-10-28T23:51:50Z</dcterms:created>
  <dcterms:modified xsi:type="dcterms:W3CDTF">2026-10-28T23:51:51Z</dcterms:modified>
</cp:coreProperties>
</file>