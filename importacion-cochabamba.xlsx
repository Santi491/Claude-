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y" sheetId="1" state="visible" r:id="rId1"/>
    <sheet name="Historial" sheetId="2" state="visible" r:id="rId2"/>
    <sheet name="Supuestos" sheetId="3" state="visible" r:id="rId3"/>
    <sheet name="Dólar" sheetId="4" state="visible" r:id="rId4"/>
    <sheet name="Movimient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0.0%"/>
    <numFmt numFmtId="166" formatCode="yyyy-mm-dd h:mm:ss"/>
    <numFmt numFmtId="167" formatCode="dd/mm/yyyy"/>
    <numFmt numFmtId="168" formatCode="0.000"/>
    <numFmt numFmtId="169" formatCode="#,##0;-#,##0;-"/>
    <numFmt numFmtId="170" formatCode="+#,##0.00;-#,##0.00;0"/>
  </numFmts>
  <fonts count="9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</font>
    <font>
      <name val="Arial"/>
      <color rgb="000000FF"/>
    </font>
    <font>
      <name val="Arial"/>
      <i val="1"/>
      <color rgb="005B6873"/>
    </font>
    <font>
      <name val="Arial"/>
      <b val="1"/>
      <color rgb="00FFFFFF"/>
    </font>
    <font>
      <name val="Arial"/>
      <b val="1"/>
      <sz val="14"/>
    </font>
    <font>
      <name val="Arial"/>
      <color rgb="00C9701C"/>
      <u val="single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5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5" fillId="3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9" fontId="2" fillId="0" borderId="0" pivotButton="0" quotePrefix="0" xfId="0"/>
    <xf numFmtId="9" fontId="2" fillId="0" borderId="0" pivotButton="0" quotePrefix="0" xfId="0"/>
    <xf numFmtId="167" fontId="2" fillId="0" borderId="0" pivotButton="0" quotePrefix="0" xfId="0"/>
    <xf numFmtId="170" fontId="2" fillId="0" borderId="0" pivotButton="0" quotePrefix="0" xfId="0"/>
    <xf numFmtId="0" fontId="1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5" fontId="3" fillId="2" borderId="0" pivotButton="0" quotePrefix="0" xfId="0"/>
    <xf numFmtId="9" fontId="3" fillId="0" borderId="0" pivotButton="0" quotePrefix="0" xfId="0"/>
    <xf numFmtId="167" fontId="8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DF1E6"/>
        </patternFill>
      </fill>
    </dxf>
    <dxf>
      <fill>
        <patternFill patternType="solid">
          <fgColor rgb="00F6EBCB"/>
        </patternFill>
      </fill>
    </dxf>
    <dxf>
      <fill>
        <patternFill patternType="solid">
          <fgColor rgb="00F6DED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Agente</author>
  </authors>
  <commentList>
    <comment ref="B10" authorId="0" shapeId="0">
      <text>
        <t>Aduana sin confirmar con los couriers: probar aquí, por ejemplo 0,1 = 10 %.</t>
      </text>
    </comment>
    <comment ref="B11" authorId="0" shapeId="0">
      <text>
        <t>Último 'usado en cálculos' de la hoja Dólar.</t>
      </text>
    </comment>
  </commentList>
</comments>
</file>

<file path=xl/tables/table1.xml><?xml version="1.0" encoding="utf-8"?>
<table xmlns="http://schemas.openxmlformats.org/spreadsheetml/2006/main" id="1" name="Hoy" displayName="Hoy" ref="A4:Q18" headerRowCount="1">
  <autoFilter ref="A4:Q18"/>
  <tableColumns count="17">
    <tableColumn id="1" name="Producto"/>
    <tableColumn id="2" name="Tipo"/>
    <tableColumn id="3" name="Link del producto"/>
    <tableColumn id="4" name="eBay nuevo USD"/>
    <tableColumn id="5" name="Envío EE.UU. USD"/>
    <tableColumn id="6" name="eBay usado USD"/>
    <tableColumn id="7" name="Marketplace Bs"/>
    <tableColumn id="8" name="Tiendas Bs"/>
    <tableColumn id="9" name="Dólar BCB"/>
    <tableColumn id="10" name="Dólar paralelo"/>
    <tableColumn id="11" name="Peso g"/>
    <tableColumn id="12" name="Courier /u USD"/>
    <tableColumn id="13" name="Costo puesto Bs"/>
    <tableColumn id="14" name="Mejor local Bs"/>
    <tableColumn id="15" name="Ganancia /u Bs"/>
    <tableColumn id="16" name="Margen"/>
    <tableColumn id="17" name="Estado"/>
  </tableColumns>
  <tableStyleInfo name="TableStyleLight1" showRowStripes="1"/>
</table>
</file>

<file path=xl/tables/table2.xml><?xml version="1.0" encoding="utf-8"?>
<table xmlns="http://schemas.openxmlformats.org/spreadsheetml/2006/main" id="2" name="Historial" displayName="Historial" ref="A1:O25" headerRowCount="1">
  <autoFilter ref="A1:O25"/>
  <tableColumns count="15">
    <tableColumn id="1" name="Fecha"/>
    <tableColumn id="2" name="Producto"/>
    <tableColumn id="3" name="Tipo"/>
    <tableColumn id="4" name="eBay nuevo USD"/>
    <tableColumn id="5" name="eBay usado USD"/>
    <tableColumn id="6" name="Marketplace Bs"/>
    <tableColumn id="7" name="Tiendas Bs"/>
    <tableColumn id="8" name="Dólar BCB"/>
    <tableColumn id="9" name="Dólar paralelo"/>
    <tableColumn id="10" name="Link del producto"/>
    <tableColumn id="11" name="Fecha anterior"/>
    <tableColumn id="12" name="Δ eBay nuevo"/>
    <tableColumn id="13" name="Δ eBay usado"/>
    <tableColumn id="14" name="Δ Marketplace"/>
    <tableColumn id="15" name="Δ Tiendas"/>
  </tableColumns>
  <tableStyleInfo name="TableStyleLight1" showRowStripes="1"/>
</table>
</file>

<file path=xl/tables/table3.xml><?xml version="1.0" encoding="utf-8"?>
<table xmlns="http://schemas.openxmlformats.org/spreadsheetml/2006/main" id="3" name="Movimientos" displayName="Movimientos" ref="A1:H82" headerRowCount="1">
  <autoFilter ref="A1:H82"/>
  <tableColumns count="8">
    <tableColumn id="1" name="Fecha"/>
    <tableColumn id="2" name="Origen"/>
    <tableColumn id="3" name="Producto"/>
    <tableColumn id="4" name="Condición / vendedor"/>
    <tableColumn id="5" name="Precio"/>
    <tableColumn id="6" name="Moneda"/>
    <tableColumn id="7" name="Detalle"/>
    <tableColumn id="8" name="Link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40012484062" TargetMode="External" Id="rId2" /><Relationship Type="http://schemas.openxmlformats.org/officeDocument/2006/relationships/hyperlink" Target="https://www.ebay.com/itm/389945918228" TargetMode="External" Id="rId3" /><Relationship Type="http://schemas.openxmlformats.org/officeDocument/2006/relationships/hyperlink" Target="https://www.ebay.com/itm/800572518683" TargetMode="External" Id="rId4" /><Relationship Type="http://schemas.openxmlformats.org/officeDocument/2006/relationships/hyperlink" Target="https://www.ebay.com/itm/187668752673" TargetMode="External" Id="rId5" /><Relationship Type="http://schemas.openxmlformats.org/officeDocument/2006/relationships/hyperlink" Target="https://www.ebay.com/itm/960033835048" TargetMode="External" Id="rId6" /><Relationship Type="http://schemas.openxmlformats.org/officeDocument/2006/relationships/hyperlink" Target="https://www.ebay.com/itm/267809260226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237072275336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389732753480" TargetMode="External" Id="rId11" /><Relationship Type="http://schemas.openxmlformats.org/officeDocument/2006/relationships/hyperlink" Target="https://www.ebay.com/itm/377562785374" TargetMode="External" Id="rId12" /><Relationship Type="http://schemas.openxmlformats.org/officeDocument/2006/relationships/hyperlink" Target="https://www.ebay.com/itm/158132772011" TargetMode="External" Id="rId13" /><Relationship Type="http://schemas.openxmlformats.org/officeDocument/2006/relationships/hyperlink" Target="https://www.ebay.com/itm/800773514419" TargetMode="External" Id="rId14" /><Relationship Type="http://schemas.openxmlformats.org/officeDocument/2006/relationships/table" Target="/xl/tables/table1.xml" Id="rId15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ebay.com/itm/227402767941" TargetMode="External" Id="rId1" /><Relationship Type="http://schemas.openxmlformats.org/officeDocument/2006/relationships/hyperlink" Target="https://www.ebay.com/itm/800572518683" TargetMode="External" Id="rId2" /><Relationship Type="http://schemas.openxmlformats.org/officeDocument/2006/relationships/hyperlink" Target="https://www.ebay.com/itm/267809260226" TargetMode="External" Id="rId3" /><Relationship Type="http://schemas.openxmlformats.org/officeDocument/2006/relationships/hyperlink" Target="https://www.ebay.com/itm/187668752673" TargetMode="External" Id="rId4" /><Relationship Type="http://schemas.openxmlformats.org/officeDocument/2006/relationships/hyperlink" Target="https://www.ebay.com/itm/377562785374" TargetMode="External" Id="rId5" /><Relationship Type="http://schemas.openxmlformats.org/officeDocument/2006/relationships/hyperlink" Target="https://www.ebay.com/itm/158132772011" TargetMode="External" Id="rId6" /><Relationship Type="http://schemas.openxmlformats.org/officeDocument/2006/relationships/hyperlink" Target="https://www.ebay.com/itm/389732753480" TargetMode="External" Id="rId7" /><Relationship Type="http://schemas.openxmlformats.org/officeDocument/2006/relationships/hyperlink" Target="https://www.ebay.com/itm/198709471618" TargetMode="External" Id="rId8" /><Relationship Type="http://schemas.openxmlformats.org/officeDocument/2006/relationships/hyperlink" Target="https://www.ebay.com/itm/389945918228" TargetMode="External" Id="rId9" /><Relationship Type="http://schemas.openxmlformats.org/officeDocument/2006/relationships/hyperlink" Target="https://www.ebay.com/itm/278289521729" TargetMode="External" Id="rId10" /><Relationship Type="http://schemas.openxmlformats.org/officeDocument/2006/relationships/hyperlink" Target="https://www.ebay.com/itm/800773514419" TargetMode="External" Id="rId11" /><Relationship Type="http://schemas.openxmlformats.org/officeDocument/2006/relationships/hyperlink" Target="https://www.ebay.com/itm/840012484062" TargetMode="External" Id="rId12" /><Relationship Type="http://schemas.openxmlformats.org/officeDocument/2006/relationships/hyperlink" Target="https://www.ebay.com/itm/960033835048" TargetMode="External" Id="rId13" /><Relationship Type="http://schemas.openxmlformats.org/officeDocument/2006/relationships/hyperlink" Target="https://www.ebay.com/itm/237072275336" TargetMode="External" Id="rId14" /><Relationship Type="http://schemas.openxmlformats.org/officeDocument/2006/relationships/hyperlink" Target="https://www.facebook.com/marketplace/item/1537210071754803/" TargetMode="External" Id="rId15" /><Relationship Type="http://schemas.openxmlformats.org/officeDocument/2006/relationships/hyperlink" Target="https://www.facebook.com/marketplace/item/1448988227128820/" TargetMode="External" Id="rId16" /><Relationship Type="http://schemas.openxmlformats.org/officeDocument/2006/relationships/hyperlink" Target="https://msrcomputers.framer.website/" TargetMode="External" Id="rId17" /><Relationship Type="http://schemas.openxmlformats.org/officeDocument/2006/relationships/hyperlink" Target="https://www.facebook.com/marketplace/item/2555034215012611/" TargetMode="External" Id="rId18" /><Relationship Type="http://schemas.openxmlformats.org/officeDocument/2006/relationships/hyperlink" Target="https://www.facebook.com/marketplace/item/959874386670350/" TargetMode="External" Id="rId19" /><Relationship Type="http://schemas.openxmlformats.org/officeDocument/2006/relationships/hyperlink" Target="https://www.facebook.com/marketplace/item/1796562071723775/" TargetMode="External" Id="rId20" /><Relationship Type="http://schemas.openxmlformats.org/officeDocument/2006/relationships/hyperlink" Target="https://msrcomputers.framer.website/" TargetMode="External" Id="rId21" /><Relationship Type="http://schemas.openxmlformats.org/officeDocument/2006/relationships/hyperlink" Target="https://msrcomputers.framer.website/" TargetMode="External" Id="rId22" /><Relationship Type="http://schemas.openxmlformats.org/officeDocument/2006/relationships/hyperlink" Target="https://www.facebook.com/marketplace/item/1414394683871926/" TargetMode="External" Id="rId23" /><Relationship Type="http://schemas.openxmlformats.org/officeDocument/2006/relationships/table" Target="/xl/tables/table2.xml" Id="rId24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ebay.com/itm/186930960267" TargetMode="External" Id="rId1" /><Relationship Type="http://schemas.openxmlformats.org/officeDocument/2006/relationships/hyperlink" Target="https://www.ebay.com/itm/407253287799" TargetMode="External" Id="rId2" /><Relationship Type="http://schemas.openxmlformats.org/officeDocument/2006/relationships/hyperlink" Target="https://www.ebay.com/itm/206619893802" TargetMode="External" Id="rId3" /><Relationship Type="http://schemas.openxmlformats.org/officeDocument/2006/relationships/hyperlink" Target="https://www.ebay.com/itm/158132772011" TargetMode="External" Id="rId4" /><Relationship Type="http://schemas.openxmlformats.org/officeDocument/2006/relationships/hyperlink" Target="https://www.ebay.com/itm/800671991805" TargetMode="External" Id="rId5" /><Relationship Type="http://schemas.openxmlformats.org/officeDocument/2006/relationships/hyperlink" Target="https://www.ebay.com/itm/267810883117" TargetMode="External" Id="rId6" /><Relationship Type="http://schemas.openxmlformats.org/officeDocument/2006/relationships/hyperlink" Target="https://www.ebay.com/itm/820226445864" TargetMode="External" Id="rId7" /><Relationship Type="http://schemas.openxmlformats.org/officeDocument/2006/relationships/hyperlink" Target="https://www.ebay.com/itm/158074799377" TargetMode="External" Id="rId8" /><Relationship Type="http://schemas.openxmlformats.org/officeDocument/2006/relationships/hyperlink" Target="https://www.ebay.com/itm/287637897624" TargetMode="External" Id="rId9" /><Relationship Type="http://schemas.openxmlformats.org/officeDocument/2006/relationships/hyperlink" Target="https://www.ebay.com/itm/227555308176" TargetMode="External" Id="rId10" /><Relationship Type="http://schemas.openxmlformats.org/officeDocument/2006/relationships/hyperlink" Target="https://www.ebay.com/itm/407281535535" TargetMode="External" Id="rId11" /><Relationship Type="http://schemas.openxmlformats.org/officeDocument/2006/relationships/hyperlink" Target="https://www.ebay.com/itm/278289521729" TargetMode="External" Id="rId12" /><Relationship Type="http://schemas.openxmlformats.org/officeDocument/2006/relationships/hyperlink" Target="https://www.ebay.com/itm/318668183718" TargetMode="External" Id="rId13" /><Relationship Type="http://schemas.openxmlformats.org/officeDocument/2006/relationships/hyperlink" Target="https://www.ebay.com/itm/389945918228" TargetMode="External" Id="rId14" /><Relationship Type="http://schemas.openxmlformats.org/officeDocument/2006/relationships/hyperlink" Target="https://www.ebay.com/itm/198689948845" TargetMode="External" Id="rId15" /><Relationship Type="http://schemas.openxmlformats.org/officeDocument/2006/relationships/hyperlink" Target="https://www.ebay.com/itm/189020669164" TargetMode="External" Id="rId16" /><Relationship Type="http://schemas.openxmlformats.org/officeDocument/2006/relationships/hyperlink" Target="https://www.ebay.com/itm/860027091566" TargetMode="External" Id="rId17" /><Relationship Type="http://schemas.openxmlformats.org/officeDocument/2006/relationships/hyperlink" Target="https://www.ebay.com/itm/287633650375" TargetMode="External" Id="rId18" /><Relationship Type="http://schemas.openxmlformats.org/officeDocument/2006/relationships/hyperlink" Target="https://www.ebay.com/itm/860016176225" TargetMode="External" Id="rId19" /><Relationship Type="http://schemas.openxmlformats.org/officeDocument/2006/relationships/hyperlink" Target="https://www.ebay.com/itm/168784156010" TargetMode="External" Id="rId20" /><Relationship Type="http://schemas.openxmlformats.org/officeDocument/2006/relationships/hyperlink" Target="https://www.ebay.com/itm/198706246268" TargetMode="External" Id="rId21" /><Relationship Type="http://schemas.openxmlformats.org/officeDocument/2006/relationships/hyperlink" Target="https://www.ebay.com/itm/178173001185" TargetMode="External" Id="rId22" /><Relationship Type="http://schemas.openxmlformats.org/officeDocument/2006/relationships/hyperlink" Target="https://www.ebay.com/itm/820171389776" TargetMode="External" Id="rId23" /><Relationship Type="http://schemas.openxmlformats.org/officeDocument/2006/relationships/hyperlink" Target="https://www.ebay.com/itm/147617796465" TargetMode="External" Id="rId24" /><Relationship Type="http://schemas.openxmlformats.org/officeDocument/2006/relationships/hyperlink" Target="https://www.ebay.com/itm/366727856686" TargetMode="External" Id="rId25" /><Relationship Type="http://schemas.openxmlformats.org/officeDocument/2006/relationships/hyperlink" Target="https://www.ebay.com/itm/307207851818" TargetMode="External" Id="rId26" /><Relationship Type="http://schemas.openxmlformats.org/officeDocument/2006/relationships/hyperlink" Target="https://www.ebay.com/itm/206614369454" TargetMode="External" Id="rId27" /><Relationship Type="http://schemas.openxmlformats.org/officeDocument/2006/relationships/hyperlink" Target="https://www.ebay.com/itm/389732753480" TargetMode="External" Id="rId28" /><Relationship Type="http://schemas.openxmlformats.org/officeDocument/2006/relationships/hyperlink" Target="https://www.ebay.com/itm/158132772011" TargetMode="External" Id="rId29" /><Relationship Type="http://schemas.openxmlformats.org/officeDocument/2006/relationships/hyperlink" Target="https://www.ebay.com/itm/187668752673" TargetMode="External" Id="rId30" /><Relationship Type="http://schemas.openxmlformats.org/officeDocument/2006/relationships/hyperlink" Target="https://www.ebay.com/itm/267809260226" TargetMode="External" Id="rId31" /><Relationship Type="http://schemas.openxmlformats.org/officeDocument/2006/relationships/hyperlink" Target="https://www.ebay.com/itm/800773514419" TargetMode="External" Id="rId32" /><Relationship Type="http://schemas.openxmlformats.org/officeDocument/2006/relationships/hyperlink" Target="https://www.ebay.com/itm/389945918228" TargetMode="External" Id="rId33" /><Relationship Type="http://schemas.openxmlformats.org/officeDocument/2006/relationships/hyperlink" Target="https://www.ebay.com/itm/840012484062" TargetMode="External" Id="rId34" /><Relationship Type="http://schemas.openxmlformats.org/officeDocument/2006/relationships/hyperlink" Target="https://www.ebay.com/itm/237072275336" TargetMode="External" Id="rId35" /><Relationship Type="http://schemas.openxmlformats.org/officeDocument/2006/relationships/hyperlink" Target="https://www.ebay.com/itm/960033835048" TargetMode="External" Id="rId36" /><Relationship Type="http://schemas.openxmlformats.org/officeDocument/2006/relationships/hyperlink" Target="https://www.ebay.com/itm/198709471618" TargetMode="External" Id="rId37" /><Relationship Type="http://schemas.openxmlformats.org/officeDocument/2006/relationships/hyperlink" Target="https://www.ebay.com/itm/800572518683" TargetMode="External" Id="rId38" /><Relationship Type="http://schemas.openxmlformats.org/officeDocument/2006/relationships/hyperlink" Target="https://www.ebay.com/itm/227402767941" TargetMode="External" Id="rId39" /><Relationship Type="http://schemas.openxmlformats.org/officeDocument/2006/relationships/hyperlink" Target="https://www.ebay.com/itm/287620955096" TargetMode="External" Id="rId40" /><Relationship Type="http://schemas.openxmlformats.org/officeDocument/2006/relationships/hyperlink" Target="https://www.ebay.com/itm/377562785374" TargetMode="External" Id="rId41" /><Relationship Type="http://schemas.openxmlformats.org/officeDocument/2006/relationships/hyperlink" Target="https://www.ebay.com/itm/307194675494" TargetMode="External" Id="rId42" /><Relationship Type="http://schemas.openxmlformats.org/officeDocument/2006/relationships/hyperlink" Target="https://www.ebay.com/itm/366706722500" TargetMode="External" Id="rId43" /><Relationship Type="http://schemas.openxmlformats.org/officeDocument/2006/relationships/hyperlink" Target="https://www.ebay.com/itm/257573828939" TargetMode="External" Id="rId44" /><Relationship Type="http://schemas.openxmlformats.org/officeDocument/2006/relationships/hyperlink" Target="https://www.ebay.com/itm/800786033506" TargetMode="External" Id="rId45" /><Relationship Type="http://schemas.openxmlformats.org/officeDocument/2006/relationships/hyperlink" Target="https://www.ebay.com/itm/366720837166" TargetMode="External" Id="rId46" /><Relationship Type="http://schemas.openxmlformats.org/officeDocument/2006/relationships/hyperlink" Target="https://www.ebay.com/itm/407274530658" TargetMode="External" Id="rId47" /><Relationship Type="http://schemas.openxmlformats.org/officeDocument/2006/relationships/hyperlink" Target="https://www.ebay.com/itm/128130997262" TargetMode="External" Id="rId48" /><Relationship Type="http://schemas.openxmlformats.org/officeDocument/2006/relationships/hyperlink" Target="https://www.ebay.com/itm/860016176225" TargetMode="External" Id="rId49" /><Relationship Type="http://schemas.openxmlformats.org/officeDocument/2006/relationships/hyperlink" Target="https://www.ebay.com/itm/298605370806" TargetMode="External" Id="rId50" /><Relationship Type="http://schemas.openxmlformats.org/officeDocument/2006/relationships/hyperlink" Target="https://www.ebay.com/itm/820171389776" TargetMode="External" Id="rId51" /><Relationship Type="http://schemas.openxmlformats.org/officeDocument/2006/relationships/hyperlink" Target="https://www.ebay.com/itm/206619927751" TargetMode="External" Id="rId52" /><Relationship Type="http://schemas.openxmlformats.org/officeDocument/2006/relationships/hyperlink" Target="https://www.ebay.com/itm/366729072023" TargetMode="External" Id="rId53" /><Relationship Type="http://schemas.openxmlformats.org/officeDocument/2006/relationships/hyperlink" Target="https://msrcomputers.framer.website/" TargetMode="External" Id="rId54" /><Relationship Type="http://schemas.openxmlformats.org/officeDocument/2006/relationships/hyperlink" Target="https://msrcomputers.framer.website/" TargetMode="External" Id="rId55" /><Relationship Type="http://schemas.openxmlformats.org/officeDocument/2006/relationships/hyperlink" Target="https://msrcomputers.framer.website/" TargetMode="External" Id="rId56" /><Relationship Type="http://schemas.openxmlformats.org/officeDocument/2006/relationships/hyperlink" Target="https://www.facebook.com/marketplace/item/2555034215012611/" TargetMode="External" Id="rId57" /><Relationship Type="http://schemas.openxmlformats.org/officeDocument/2006/relationships/hyperlink" Target="https://www.facebook.com/marketplace/item/2669179450145313/" TargetMode="External" Id="rId58" /><Relationship Type="http://schemas.openxmlformats.org/officeDocument/2006/relationships/hyperlink" Target="https://www.facebook.com/marketplace/item/1361869715871206/" TargetMode="External" Id="rId59" /><Relationship Type="http://schemas.openxmlformats.org/officeDocument/2006/relationships/hyperlink" Target="https://www.facebook.com/marketplace/item/1582597166589691/" TargetMode="External" Id="rId60" /><Relationship Type="http://schemas.openxmlformats.org/officeDocument/2006/relationships/hyperlink" Target="https://www.facebook.com/marketplace/item/2167313420829167/" TargetMode="External" Id="rId61" /><Relationship Type="http://schemas.openxmlformats.org/officeDocument/2006/relationships/hyperlink" Target="https://www.facebook.com/marketplace/item/1796562071723775/" TargetMode="External" Id="rId62" /><Relationship Type="http://schemas.openxmlformats.org/officeDocument/2006/relationships/hyperlink" Target="https://www.facebook.com/marketplace/item/1414394683871926/" TargetMode="External" Id="rId63" /><Relationship Type="http://schemas.openxmlformats.org/officeDocument/2006/relationships/hyperlink" Target="https://www.facebook.com/marketplace/item/1074400352041144/" TargetMode="External" Id="rId64" /><Relationship Type="http://schemas.openxmlformats.org/officeDocument/2006/relationships/hyperlink" Target="https://www.facebook.com/marketplace/item/959874386670350/" TargetMode="External" Id="rId65" /><Relationship Type="http://schemas.openxmlformats.org/officeDocument/2006/relationships/hyperlink" Target="https://www.facebook.com/marketplace/item/2347323546077904/" TargetMode="External" Id="rId66" /><Relationship Type="http://schemas.openxmlformats.org/officeDocument/2006/relationships/hyperlink" Target="https://www.facebook.com/marketplace/item/2345958202816013/" TargetMode="External" Id="rId67" /><Relationship Type="http://schemas.openxmlformats.org/officeDocument/2006/relationships/hyperlink" Target="https://www.facebook.com/marketplace/item/1448988227128820/" TargetMode="External" Id="rId68" /><Relationship Type="http://schemas.openxmlformats.org/officeDocument/2006/relationships/hyperlink" Target="https://www.facebook.com/marketplace/item/2817371738643128/" TargetMode="External" Id="rId69" /><Relationship Type="http://schemas.openxmlformats.org/officeDocument/2006/relationships/hyperlink" Target="https://www.facebook.com/marketplace/item/2078197563584097/" TargetMode="External" Id="rId70" /><Relationship Type="http://schemas.openxmlformats.org/officeDocument/2006/relationships/hyperlink" Target="https://www.facebook.com/marketplace/item/1537210071754803/" TargetMode="External" Id="rId71" /><Relationship Type="http://schemas.openxmlformats.org/officeDocument/2006/relationships/hyperlink" Target="https://cyrexstore.com/" TargetMode="External" Id="rId72" /><Relationship Type="http://schemas.openxmlformats.org/officeDocument/2006/relationships/hyperlink" Target="https://cyrexstore.com/" TargetMode="External" Id="rId73" /><Relationship Type="http://schemas.openxmlformats.org/officeDocument/2006/relationships/hyperlink" Target="https://cyrexstore.com/" TargetMode="External" Id="rId74" /><Relationship Type="http://schemas.openxmlformats.org/officeDocument/2006/relationships/hyperlink" Target="https://compucenter.store/" TargetMode="External" Id="rId75" /><Relationship Type="http://schemas.openxmlformats.org/officeDocument/2006/relationships/hyperlink" Target="https://www.facebook.com/marketplace/item/1292124363069503/" TargetMode="External" Id="rId76" /><Relationship Type="http://schemas.openxmlformats.org/officeDocument/2006/relationships/hyperlink" Target="https://www.facebook.com/marketplace/item/1292124363069503/" TargetMode="External" Id="rId77" /><Relationship Type="http://schemas.openxmlformats.org/officeDocument/2006/relationships/hyperlink" Target="https://www.pccomponents-bo.com/" TargetMode="External" Id="rId78" /><Relationship Type="http://schemas.openxmlformats.org/officeDocument/2006/relationships/hyperlink" Target="https://www.pccomponents-bo.com/" TargetMode="External" Id="rId79" /><Relationship Type="http://schemas.openxmlformats.org/officeDocument/2006/relationships/hyperlink" Target="https://www.pccomponents-bo.com/" TargetMode="External" Id="rId80" /><Relationship Type="http://schemas.openxmlformats.org/officeDocument/2006/relationships/hyperlink" Target="https://www.facebook.com/marketplace/item/2840215069674304/" TargetMode="External" Id="rId81" /><Relationship Type="http://schemas.openxmlformats.org/officeDocument/2006/relationships/table" Target="/xl/tables/table3.xml" Id="rId8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16" customWidth="1" min="3" max="3"/>
    <col width="12" customWidth="1" min="4" max="4"/>
    <col width="11" customWidth="1" min="5" max="5"/>
    <col width="12" customWidth="1" min="6" max="6"/>
    <col width="13" customWidth="1" min="7" max="7"/>
    <col width="12" customWidth="1" min="8" max="8"/>
    <col width="10" customWidth="1" min="9" max="9"/>
    <col width="11" customWidth="1" min="10" max="10"/>
    <col width="8" customWidth="1" min="11" max="11"/>
    <col width="12" customWidth="1" min="12" max="12"/>
    <col width="13" customWidth="1" min="13" max="13"/>
    <col width="13" customWidth="1" min="14" max="14"/>
    <col width="13" customWidth="1" min="15" max="15"/>
    <col width="9" customWidth="1" min="16" max="16"/>
    <col width="15" customWidth="1" min="17" max="17"/>
  </cols>
  <sheetData>
    <row r="1">
      <c r="A1" s="1" t="inlineStr">
        <is>
          <t>¿Qué conviene traer? · 12/10/2026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eBay: vendedor en EE.UU., ≥ 98 % de feedback, nuevo sin open box. Marketplace y Tiendas: el precio más bajo que cuenta en Cochabamba. Costo puesto con el courier más barato, según la hoja Supuestos.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4" t="inlineStr">
        <is>
          <t>Producto</t>
        </is>
      </c>
      <c r="B4" s="4" t="inlineStr">
        <is>
          <t>Tipo</t>
        </is>
      </c>
      <c r="C4" s="4" t="inlineStr">
        <is>
          <t>Link del producto</t>
        </is>
      </c>
      <c r="D4" s="4" t="inlineStr">
        <is>
          <t>eBay nuevo USD</t>
        </is>
      </c>
      <c r="E4" s="4" t="inlineStr">
        <is>
          <t>Envío EE.UU. USD</t>
        </is>
      </c>
      <c r="F4" s="4" t="inlineStr">
        <is>
          <t>eBay usado USD</t>
        </is>
      </c>
      <c r="G4" s="4" t="inlineStr">
        <is>
          <t>Marketplace Bs</t>
        </is>
      </c>
      <c r="H4" s="4" t="inlineStr">
        <is>
          <t>Tiendas Bs</t>
        </is>
      </c>
      <c r="I4" s="4" t="inlineStr">
        <is>
          <t>Dólar BCB</t>
        </is>
      </c>
      <c r="J4" s="4" t="inlineStr">
        <is>
          <t>Dólar paralelo</t>
        </is>
      </c>
      <c r="K4" s="4" t="inlineStr">
        <is>
          <t>Peso g</t>
        </is>
      </c>
      <c r="L4" s="4" t="inlineStr">
        <is>
          <t>Courier /u USD</t>
        </is>
      </c>
      <c r="M4" s="4" t="inlineStr">
        <is>
          <t>Costo puesto Bs</t>
        </is>
      </c>
      <c r="N4" s="4" t="inlineStr">
        <is>
          <t>Mejor local Bs</t>
        </is>
      </c>
      <c r="O4" s="4" t="inlineStr">
        <is>
          <t>Ganancia /u Bs</t>
        </is>
      </c>
      <c r="P4" s="4" t="inlineStr">
        <is>
          <t>Margen</t>
        </is>
      </c>
      <c r="Q4" s="4" t="inlineStr">
        <is>
          <t>Estado</t>
        </is>
      </c>
    </row>
    <row r="5">
      <c r="A5" s="5" t="inlineStr">
        <is>
          <t>SSD NVMe 2TB</t>
        </is>
      </c>
      <c r="B5" s="5" t="inlineStr">
        <is>
          <t>SSD</t>
        </is>
      </c>
      <c r="C5" s="6" t="inlineStr">
        <is>
          <t>ver en eBay</t>
        </is>
      </c>
      <c r="D5" s="7" t="n">
        <v>209.99</v>
      </c>
      <c r="E5" s="7" t="n">
        <v>0</v>
      </c>
      <c r="F5" s="7" t="n">
        <v>179.99</v>
      </c>
      <c r="G5" s="8" t="n">
        <v>3550</v>
      </c>
      <c r="H5" s="2" t="n"/>
      <c r="I5" s="9">
        <f>INDEX(Dólar!$B:$B,MATCH(MAX(Dólar!$A:$A),Dólar!$A:$A,0))</f>
        <v/>
      </c>
      <c r="J5" s="10">
        <f>INDEX(Dólar!$E:$E,MATCH(MAX(Dólar!$A:$A),Dólar!$A:$A,0))</f>
        <v/>
      </c>
      <c r="K5" s="8" t="n">
        <v>80</v>
      </c>
      <c r="L5" s="11">
        <f>IF(D5="","",MIN(MAX(Supuestos!$B$5,CEILING((K5*Supuestos!$B$3+Supuestos!$B$7)/1000,Supuestos!$B$6))*Supuestos!$B$4/Supuestos!$B$3,Supuestos!$B$8+D5*Supuestos!$B$9))</f>
        <v/>
      </c>
      <c r="M5" s="12">
        <f>IF(D5="","",(D5+E5+L5+(D5+E5)*Supuestos!$B$10)*Supuestos!$B$11)</f>
        <v/>
      </c>
      <c r="N5" s="12">
        <f>IF(COUNT(G5:H5)=0,"",MIN(G5:H5))</f>
        <v/>
      </c>
      <c r="O5" s="13">
        <f>IF(OR(M5="",N5=""),"",N5-M5)</f>
        <v/>
      </c>
      <c r="P5" s="14">
        <f>IF(O5="","",O5/N5)</f>
        <v/>
      </c>
      <c r="Q5" s="5">
        <f>IF(P5="",IF(AND(D5="",N5=""),"Sin datos",IF(D5="","Sin precio eBay","Sin precio local")),IF(P5&gt;=Supuestos!$B$12,"Conviene",IF(P5&gt;=Supuestos!$B$13,"Justo","No conviene")))</f>
        <v/>
      </c>
    </row>
    <row r="6">
      <c r="A6" s="5" t="inlineStr">
        <is>
          <t>Intel Core Ultra 7 265K</t>
        </is>
      </c>
      <c r="B6" s="5" t="inlineStr">
        <is>
          <t>CPU</t>
        </is>
      </c>
      <c r="C6" s="6" t="inlineStr">
        <is>
          <t>ver en eBay</t>
        </is>
      </c>
      <c r="D6" s="7" t="n">
        <v>244.87</v>
      </c>
      <c r="E6" s="7" t="n">
        <v>0</v>
      </c>
      <c r="F6" s="7" t="n">
        <v>209.99</v>
      </c>
      <c r="G6" s="2" t="n"/>
      <c r="H6" s="8" t="n">
        <v>3950</v>
      </c>
      <c r="I6" s="9">
        <f>INDEX(Dólar!$B:$B,MATCH(MAX(Dólar!$A:$A),Dólar!$A:$A,0))</f>
        <v/>
      </c>
      <c r="J6" s="10">
        <f>INDEX(Dólar!$E:$E,MATCH(MAX(Dólar!$A:$A),Dólar!$A:$A,0))</f>
        <v/>
      </c>
      <c r="K6" s="8" t="n">
        <v>300</v>
      </c>
      <c r="L6" s="11">
        <f>IF(D6="","",MIN(MAX(Supuestos!$B$5,CEILING((K6*Supuestos!$B$3+Supuestos!$B$7)/1000,Supuestos!$B$6))*Supuestos!$B$4/Supuestos!$B$3,Supuestos!$B$8+D6*Supuestos!$B$9))</f>
        <v/>
      </c>
      <c r="M6" s="12">
        <f>IF(D6="","",(D6+E6+L6+(D6+E6)*Supuestos!$B$10)*Supuestos!$B$11)</f>
        <v/>
      </c>
      <c r="N6" s="12">
        <f>IF(COUNT(G6:H6)=0,"",MIN(G6:H6))</f>
        <v/>
      </c>
      <c r="O6" s="13">
        <f>IF(OR(M6="",N6=""),"",N6-M6)</f>
        <v/>
      </c>
      <c r="P6" s="14">
        <f>IF(O6="","",O6/N6)</f>
        <v/>
      </c>
      <c r="Q6" s="5">
        <f>IF(P6="",IF(AND(D6="",N6=""),"Sin datos",IF(D6="","Sin precio eBay","Sin precio local")),IF(P6&gt;=Supuestos!$B$12,"Conviene",IF(P6&gt;=Supuestos!$B$13,"Justo","No conviene")))</f>
        <v/>
      </c>
    </row>
    <row r="7">
      <c r="A7" s="5" t="inlineStr">
        <is>
          <t>Intel Core i5-14400F</t>
        </is>
      </c>
      <c r="B7" s="5" t="inlineStr">
        <is>
          <t>CPU</t>
        </is>
      </c>
      <c r="C7" s="6" t="inlineStr">
        <is>
          <t>ver en eBay</t>
        </is>
      </c>
      <c r="D7" s="7" t="n">
        <v>164.49</v>
      </c>
      <c r="E7" s="7" t="n">
        <v>0</v>
      </c>
      <c r="F7" s="7" t="n">
        <v>136.99</v>
      </c>
      <c r="G7" s="8" t="n">
        <v>2700</v>
      </c>
      <c r="H7" s="8" t="n">
        <v>2537</v>
      </c>
      <c r="I7" s="9">
        <f>INDEX(Dólar!$B:$B,MATCH(MAX(Dólar!$A:$A),Dólar!$A:$A,0))</f>
        <v/>
      </c>
      <c r="J7" s="10">
        <f>INDEX(Dólar!$E:$E,MATCH(MAX(Dólar!$A:$A),Dólar!$A:$A,0))</f>
        <v/>
      </c>
      <c r="K7" s="8" t="n">
        <v>250</v>
      </c>
      <c r="L7" s="11">
        <f>IF(D7="","",MIN(MAX(Supuestos!$B$5,CEILING((K7*Supuestos!$B$3+Supuestos!$B$7)/1000,Supuestos!$B$6))*Supuestos!$B$4/Supuestos!$B$3,Supuestos!$B$8+D7*Supuestos!$B$9))</f>
        <v/>
      </c>
      <c r="M7" s="12">
        <f>IF(D7="","",(D7+E7+L7+(D7+E7)*Supuestos!$B$10)*Supuestos!$B$11)</f>
        <v/>
      </c>
      <c r="N7" s="12">
        <f>IF(COUNT(G7:H7)=0,"",MIN(G7:H7))</f>
        <v/>
      </c>
      <c r="O7" s="13">
        <f>IF(OR(M7="",N7=""),"",N7-M7)</f>
        <v/>
      </c>
      <c r="P7" s="14">
        <f>IF(O7="","",O7/N7)</f>
        <v/>
      </c>
      <c r="Q7" s="5">
        <f>IF(P7="",IF(AND(D7="",N7=""),"Sin datos",IF(D7="","Sin precio eBay","Sin precio local")),IF(P7&gt;=Supuestos!$B$12,"Conviene",IF(P7&gt;=Supuestos!$B$13,"Justo","No conviene")))</f>
        <v/>
      </c>
    </row>
    <row r="8">
      <c r="A8" s="5" t="inlineStr">
        <is>
          <t>SSD NVMe 1TB</t>
        </is>
      </c>
      <c r="B8" s="5" t="inlineStr">
        <is>
          <t>SSD</t>
        </is>
      </c>
      <c r="C8" s="6" t="inlineStr">
        <is>
          <t>ver en eBay</t>
        </is>
      </c>
      <c r="D8" s="7" t="n">
        <v>114.99</v>
      </c>
      <c r="E8" s="7" t="n">
        <v>0</v>
      </c>
      <c r="F8" s="7" t="n">
        <v>99.98999999999999</v>
      </c>
      <c r="G8" s="8" t="n">
        <v>1800</v>
      </c>
      <c r="H8" s="2" t="n"/>
      <c r="I8" s="9">
        <f>INDEX(Dólar!$B:$B,MATCH(MAX(Dólar!$A:$A),Dólar!$A:$A,0))</f>
        <v/>
      </c>
      <c r="J8" s="10">
        <f>INDEX(Dólar!$E:$E,MATCH(MAX(Dólar!$A:$A),Dólar!$A:$A,0))</f>
        <v/>
      </c>
      <c r="K8" s="8" t="n">
        <v>80</v>
      </c>
      <c r="L8" s="11">
        <f>IF(D8="","",MIN(MAX(Supuestos!$B$5,CEILING((K8*Supuestos!$B$3+Supuestos!$B$7)/1000,Supuestos!$B$6))*Supuestos!$B$4/Supuestos!$B$3,Supuestos!$B$8+D8*Supuestos!$B$9))</f>
        <v/>
      </c>
      <c r="M8" s="12">
        <f>IF(D8="","",(D8+E8+L8+(D8+E8)*Supuestos!$B$10)*Supuestos!$B$11)</f>
        <v/>
      </c>
      <c r="N8" s="12">
        <f>IF(COUNT(G8:H8)=0,"",MIN(G8:H8))</f>
        <v/>
      </c>
      <c r="O8" s="13">
        <f>IF(OR(M8="",N8=""),"",N8-M8)</f>
        <v/>
      </c>
      <c r="P8" s="14">
        <f>IF(O8="","",O8/N8)</f>
        <v/>
      </c>
      <c r="Q8" s="5">
        <f>IF(P8="",IF(AND(D8="",N8=""),"Sin datos",IF(D8="","Sin precio eBay","Sin precio local")),IF(P8&gt;=Supuestos!$B$12,"Conviene",IF(P8&gt;=Supuestos!$B$13,"Justo","No conviene")))</f>
        <v/>
      </c>
    </row>
    <row r="9">
      <c r="A9" s="5" t="inlineStr">
        <is>
          <t>Ryzen 7 7800X3D</t>
        </is>
      </c>
      <c r="B9" s="5" t="inlineStr">
        <is>
          <t>CPU</t>
        </is>
      </c>
      <c r="C9" s="6" t="inlineStr">
        <is>
          <t>ver en eBay</t>
        </is>
      </c>
      <c r="D9" s="7" t="n">
        <v>329</v>
      </c>
      <c r="E9" s="7" t="n">
        <v>0</v>
      </c>
      <c r="F9" s="7" t="n">
        <v>283.99</v>
      </c>
      <c r="G9" s="8" t="n">
        <v>4800</v>
      </c>
      <c r="H9" s="8" t="n">
        <v>4760</v>
      </c>
      <c r="I9" s="9">
        <f>INDEX(Dólar!$B:$B,MATCH(MAX(Dólar!$A:$A),Dólar!$A:$A,0))</f>
        <v/>
      </c>
      <c r="J9" s="10">
        <f>INDEX(Dólar!$E:$E,MATCH(MAX(Dólar!$A:$A),Dólar!$A:$A,0))</f>
        <v/>
      </c>
      <c r="K9" s="8" t="n">
        <v>350</v>
      </c>
      <c r="L9" s="11">
        <f>IF(D9="","",MIN(MAX(Supuestos!$B$5,CEILING((K9*Supuestos!$B$3+Supuestos!$B$7)/1000,Supuestos!$B$6))*Supuestos!$B$4/Supuestos!$B$3,Supuestos!$B$8+D9*Supuestos!$B$9))</f>
        <v/>
      </c>
      <c r="M9" s="12">
        <f>IF(D9="","",(D9+E9+L9+(D9+E9)*Supuestos!$B$10)*Supuestos!$B$11)</f>
        <v/>
      </c>
      <c r="N9" s="12">
        <f>IF(COUNT(G9:H9)=0,"",MIN(G9:H9))</f>
        <v/>
      </c>
      <c r="O9" s="13">
        <f>IF(OR(M9="",N9=""),"",N9-M9)</f>
        <v/>
      </c>
      <c r="P9" s="14">
        <f>IF(O9="","",O9/N9)</f>
        <v/>
      </c>
      <c r="Q9" s="5">
        <f>IF(P9="",IF(AND(D9="",N9=""),"Sin datos",IF(D9="","Sin precio eBay","Sin precio local")),IF(P9&gt;=Supuestos!$B$12,"Conviene",IF(P9&gt;=Supuestos!$B$13,"Justo","No conviene")))</f>
        <v/>
      </c>
    </row>
    <row r="10">
      <c r="A10" s="5" t="inlineStr">
        <is>
          <t>Corsair Vengeance RGB DDR5 32GB (2x16) 6000</t>
        </is>
      </c>
      <c r="B10" s="5" t="inlineStr">
        <is>
          <t>RAM</t>
        </is>
      </c>
      <c r="C10" s="6" t="inlineStr">
        <is>
          <t>ver en eBay</t>
        </is>
      </c>
      <c r="D10" s="7" t="n">
        <v>425</v>
      </c>
      <c r="E10" s="7" t="n">
        <v>10.99</v>
      </c>
      <c r="F10" s="7" t="n">
        <v>399.9</v>
      </c>
      <c r="G10" s="8" t="n">
        <v>6200</v>
      </c>
      <c r="H10" s="2" t="n"/>
      <c r="I10" s="9">
        <f>INDEX(Dólar!$B:$B,MATCH(MAX(Dólar!$A:$A),Dólar!$A:$A,0))</f>
        <v/>
      </c>
      <c r="J10" s="10">
        <f>INDEX(Dólar!$E:$E,MATCH(MAX(Dólar!$A:$A),Dólar!$A:$A,0))</f>
        <v/>
      </c>
      <c r="K10" s="8" t="n">
        <v>150</v>
      </c>
      <c r="L10" s="11">
        <f>IF(D10="","",MIN(MAX(Supuestos!$B$5,CEILING((K10*Supuestos!$B$3+Supuestos!$B$7)/1000,Supuestos!$B$6))*Supuestos!$B$4/Supuestos!$B$3,Supuestos!$B$8+D10*Supuestos!$B$9))</f>
        <v/>
      </c>
      <c r="M10" s="12">
        <f>IF(D10="","",(D10+E10+L10+(D10+E10)*Supuestos!$B$10)*Supuestos!$B$11)</f>
        <v/>
      </c>
      <c r="N10" s="12">
        <f>IF(COUNT(G10:H10)=0,"",MIN(G10:H10))</f>
        <v/>
      </c>
      <c r="O10" s="13">
        <f>IF(OR(M10="",N10=""),"",N10-M10)</f>
        <v/>
      </c>
      <c r="P10" s="14">
        <f>IF(O10="","",O10/N10)</f>
        <v/>
      </c>
      <c r="Q10" s="5">
        <f>IF(P10="",IF(AND(D10="",N10=""),"Sin datos",IF(D10="","Sin precio eBay","Sin precio local")),IF(P10&gt;=Supuestos!$B$12,"Conviene",IF(P10&gt;=Supuestos!$B$13,"Justo","No conviene")))</f>
        <v/>
      </c>
    </row>
    <row r="11">
      <c r="A11" s="5" t="inlineStr">
        <is>
          <t>Ryzen 9 9950X</t>
        </is>
      </c>
      <c r="B11" s="5" t="inlineStr">
        <is>
          <t>CPU</t>
        </is>
      </c>
      <c r="C11" s="6" t="inlineStr">
        <is>
          <t>ver en eBay</t>
        </is>
      </c>
      <c r="D11" s="7" t="n">
        <v>499.99</v>
      </c>
      <c r="E11" s="7" t="n">
        <v>0</v>
      </c>
      <c r="F11" s="7" t="n">
        <v>454.99</v>
      </c>
      <c r="G11" s="2" t="n"/>
      <c r="H11" s="8" t="n">
        <v>5580</v>
      </c>
      <c r="I11" s="9">
        <f>INDEX(Dólar!$B:$B,MATCH(MAX(Dólar!$A:$A),Dólar!$A:$A,0))</f>
        <v/>
      </c>
      <c r="J11" s="10">
        <f>INDEX(Dólar!$E:$E,MATCH(MAX(Dólar!$A:$A),Dólar!$A:$A,0))</f>
        <v/>
      </c>
      <c r="K11" s="8" t="n">
        <v>350</v>
      </c>
      <c r="L11" s="11">
        <f>IF(D11="","",MIN(MAX(Supuestos!$B$5,CEILING((K11*Supuestos!$B$3+Supuestos!$B$7)/1000,Supuestos!$B$6))*Supuestos!$B$4/Supuestos!$B$3,Supuestos!$B$8+D11*Supuestos!$B$9))</f>
        <v/>
      </c>
      <c r="M11" s="12">
        <f>IF(D11="","",(D11+E11+L11+(D11+E11)*Supuestos!$B$10)*Supuestos!$B$11)</f>
        <v/>
      </c>
      <c r="N11" s="12">
        <f>IF(COUNT(G11:H11)=0,"",MIN(G11:H11))</f>
        <v/>
      </c>
      <c r="O11" s="13">
        <f>IF(OR(M11="",N11=""),"",N11-M11)</f>
        <v/>
      </c>
      <c r="P11" s="14">
        <f>IF(O11="","",O11/N11)</f>
        <v/>
      </c>
      <c r="Q11" s="5">
        <f>IF(P11="",IF(AND(D11="",N11=""),"Sin datos",IF(D11="","Sin precio eBay","Sin precio local")),IF(P11&gt;=Supuestos!$B$12,"Conviene",IF(P11&gt;=Supuestos!$B$13,"Justo","No conviene")))</f>
        <v/>
      </c>
    </row>
    <row r="12">
      <c r="A12" s="5" t="inlineStr">
        <is>
          <t>RAM DDR4 16GB (2x8) 3200</t>
        </is>
      </c>
      <c r="B12" s="5" t="inlineStr">
        <is>
          <t>RAM</t>
        </is>
      </c>
      <c r="C12" s="6" t="inlineStr">
        <is>
          <t>ver en eBay</t>
        </is>
      </c>
      <c r="D12" s="7" t="n">
        <v>75</v>
      </c>
      <c r="E12" s="7" t="n">
        <v>0</v>
      </c>
      <c r="F12" s="7" t="n">
        <v>59.99</v>
      </c>
      <c r="G12" s="8" t="n">
        <v>900</v>
      </c>
      <c r="H12" s="8" t="n">
        <v>2150</v>
      </c>
      <c r="I12" s="9">
        <f>INDEX(Dólar!$B:$B,MATCH(MAX(Dólar!$A:$A),Dólar!$A:$A,0))</f>
        <v/>
      </c>
      <c r="J12" s="10">
        <f>INDEX(Dólar!$E:$E,MATCH(MAX(Dólar!$A:$A),Dólar!$A:$A,0))</f>
        <v/>
      </c>
      <c r="K12" s="8" t="n">
        <v>120</v>
      </c>
      <c r="L12" s="11">
        <f>IF(D12="","",MIN(MAX(Supuestos!$B$5,CEILING((K12*Supuestos!$B$3+Supuestos!$B$7)/1000,Supuestos!$B$6))*Supuestos!$B$4/Supuestos!$B$3,Supuestos!$B$8+D12*Supuestos!$B$9))</f>
        <v/>
      </c>
      <c r="M12" s="12">
        <f>IF(D12="","",(D12+E12+L12+(D12+E12)*Supuestos!$B$10)*Supuestos!$B$11)</f>
        <v/>
      </c>
      <c r="N12" s="12">
        <f>IF(COUNT(G12:H12)=0,"",MIN(G12:H12))</f>
        <v/>
      </c>
      <c r="O12" s="13">
        <f>IF(OR(M12="",N12=""),"",N12-M12)</f>
        <v/>
      </c>
      <c r="P12" s="14">
        <f>IF(O12="","",O12/N12)</f>
        <v/>
      </c>
      <c r="Q12" s="5">
        <f>IF(P12="",IF(AND(D12="",N12=""),"Sin datos",IF(D12="","Sin precio eBay","Sin precio local")),IF(P12&gt;=Supuestos!$B$12,"Conviene",IF(P12&gt;=Supuestos!$B$13,"Justo","No conviene")))</f>
        <v/>
      </c>
    </row>
    <row r="13">
      <c r="A13" s="5" t="inlineStr">
        <is>
          <t>Corsair Vengeance RGB DDR5 32GB (2x16) 5600</t>
        </is>
      </c>
      <c r="B13" s="5" t="inlineStr">
        <is>
          <t>RAM</t>
        </is>
      </c>
      <c r="C13" s="6" t="inlineStr">
        <is>
          <t>ver en eBay</t>
        </is>
      </c>
      <c r="D13" s="7" t="n">
        <v>485</v>
      </c>
      <c r="E13" s="7" t="n">
        <v>8</v>
      </c>
      <c r="F13" s="7" t="n">
        <v>399.99</v>
      </c>
      <c r="G13" s="8" t="n">
        <v>4500</v>
      </c>
      <c r="H13" s="2" t="n"/>
      <c r="I13" s="9">
        <f>INDEX(Dólar!$B:$B,MATCH(MAX(Dólar!$A:$A),Dólar!$A:$A,0))</f>
        <v/>
      </c>
      <c r="J13" s="10">
        <f>INDEX(Dólar!$E:$E,MATCH(MAX(Dólar!$A:$A),Dólar!$A:$A,0))</f>
        <v/>
      </c>
      <c r="K13" s="8" t="n">
        <v>150</v>
      </c>
      <c r="L13" s="11">
        <f>IF(D13="","",MIN(MAX(Supuestos!$B$5,CEILING((K13*Supuestos!$B$3+Supuestos!$B$7)/1000,Supuestos!$B$6))*Supuestos!$B$4/Supuestos!$B$3,Supuestos!$B$8+D13*Supuestos!$B$9))</f>
        <v/>
      </c>
      <c r="M13" s="12">
        <f>IF(D13="","",(D13+E13+L13+(D13+E13)*Supuestos!$B$10)*Supuestos!$B$11)</f>
        <v/>
      </c>
      <c r="N13" s="12">
        <f>IF(COUNT(G13:H13)=0,"",MIN(G13:H13))</f>
        <v/>
      </c>
      <c r="O13" s="13">
        <f>IF(OR(M13="",N13=""),"",N13-M13)</f>
        <v/>
      </c>
      <c r="P13" s="14">
        <f>IF(O13="","",O13/N13)</f>
        <v/>
      </c>
      <c r="Q13" s="5">
        <f>IF(P13="",IF(AND(D13="",N13=""),"Sin datos",IF(D13="","Sin precio eBay","Sin precio local")),IF(P13&gt;=Supuestos!$B$12,"Conviene",IF(P13&gt;=Supuestos!$B$13,"Justo","No conviene")))</f>
        <v/>
      </c>
    </row>
    <row r="14">
      <c r="A14" s="5" t="inlineStr">
        <is>
          <t>Intel Core i5-13400</t>
        </is>
      </c>
      <c r="B14" s="5" t="inlineStr">
        <is>
          <t>CPU</t>
        </is>
      </c>
      <c r="C14" s="6" t="inlineStr">
        <is>
          <t>ver en eBay</t>
        </is>
      </c>
      <c r="D14" s="7" t="n">
        <v>259.78</v>
      </c>
      <c r="E14" s="7" t="n">
        <v>0</v>
      </c>
      <c r="F14" s="7" t="n">
        <v>149.99</v>
      </c>
      <c r="G14" s="2" t="n"/>
      <c r="H14" s="8" t="n">
        <v>2300</v>
      </c>
      <c r="I14" s="9">
        <f>INDEX(Dólar!$B:$B,MATCH(MAX(Dólar!$A:$A),Dólar!$A:$A,0))</f>
        <v/>
      </c>
      <c r="J14" s="10">
        <f>INDEX(Dólar!$E:$E,MATCH(MAX(Dólar!$A:$A),Dólar!$A:$A,0))</f>
        <v/>
      </c>
      <c r="K14" s="8" t="n">
        <v>300</v>
      </c>
      <c r="L14" s="11">
        <f>IF(D14="","",MIN(MAX(Supuestos!$B$5,CEILING((K14*Supuestos!$B$3+Supuestos!$B$7)/1000,Supuestos!$B$6))*Supuestos!$B$4/Supuestos!$B$3,Supuestos!$B$8+D14*Supuestos!$B$9))</f>
        <v/>
      </c>
      <c r="M14" s="12">
        <f>IF(D14="","",(D14+E14+L14+(D14+E14)*Supuestos!$B$10)*Supuestos!$B$11)</f>
        <v/>
      </c>
      <c r="N14" s="12">
        <f>IF(COUNT(G14:H14)=0,"",MIN(G14:H14))</f>
        <v/>
      </c>
      <c r="O14" s="13">
        <f>IF(OR(M14="",N14=""),"",N14-M14)</f>
        <v/>
      </c>
      <c r="P14" s="14">
        <f>IF(O14="","",O14/N14)</f>
        <v/>
      </c>
      <c r="Q14" s="5">
        <f>IF(P14="",IF(AND(D14="",N14=""),"Sin datos",IF(D14="","Sin precio eBay","Sin precio local")),IF(P14&gt;=Supuestos!$B$12,"Conviene",IF(P14&gt;=Supuestos!$B$13,"Justo","No conviene")))</f>
        <v/>
      </c>
    </row>
    <row r="15">
      <c r="A15" s="5" t="inlineStr">
        <is>
          <t>Ryzen 5 5600</t>
        </is>
      </c>
      <c r="B15" s="5" t="inlineStr">
        <is>
          <t>CPU</t>
        </is>
      </c>
      <c r="C15" s="6" t="inlineStr">
        <is>
          <t>ver en eBay</t>
        </is>
      </c>
      <c r="D15" s="7" t="n">
        <v>138.9</v>
      </c>
      <c r="E15" s="7" t="n">
        <v>0</v>
      </c>
      <c r="F15" s="7" t="n">
        <v>135</v>
      </c>
      <c r="G15" s="2" t="n"/>
      <c r="H15" s="2" t="n"/>
      <c r="I15" s="9">
        <f>INDEX(Dólar!$B:$B,MATCH(MAX(Dólar!$A:$A),Dólar!$A:$A,0))</f>
        <v/>
      </c>
      <c r="J15" s="10">
        <f>INDEX(Dólar!$E:$E,MATCH(MAX(Dólar!$A:$A),Dólar!$A:$A,0))</f>
        <v/>
      </c>
      <c r="K15" s="8" t="n">
        <v>350</v>
      </c>
      <c r="L15" s="11">
        <f>IF(D15="","",MIN(MAX(Supuestos!$B$5,CEILING((K15*Supuestos!$B$3+Supuestos!$B$7)/1000,Supuestos!$B$6))*Supuestos!$B$4/Supuestos!$B$3,Supuestos!$B$8+D15*Supuestos!$B$9))</f>
        <v/>
      </c>
      <c r="M15" s="12">
        <f>IF(D15="","",(D15+E15+L15+(D15+E15)*Supuestos!$B$10)*Supuestos!$B$11)</f>
        <v/>
      </c>
      <c r="N15" s="12">
        <f>IF(COUNT(G15:H15)=0,"",MIN(G15:H15))</f>
        <v/>
      </c>
      <c r="O15" s="13">
        <f>IF(OR(M15="",N15=""),"",N15-M15)</f>
        <v/>
      </c>
      <c r="P15" s="14">
        <f>IF(O15="","",O15/N15)</f>
        <v/>
      </c>
      <c r="Q15" s="5">
        <f>IF(P15="",IF(AND(D15="",N15=""),"Sin datos",IF(D15="","Sin precio eBay","Sin precio local")),IF(P15&gt;=Supuestos!$B$12,"Conviene",IF(P15&gt;=Supuestos!$B$13,"Justo","No conviene")))</f>
        <v/>
      </c>
    </row>
    <row r="16">
      <c r="A16" s="5" t="inlineStr">
        <is>
          <t>Ryzen 7 5700X3D</t>
        </is>
      </c>
      <c r="B16" s="5" t="inlineStr">
        <is>
          <t>CPU</t>
        </is>
      </c>
      <c r="C16" s="6" t="inlineStr">
        <is>
          <t>ver en eBay</t>
        </is>
      </c>
      <c r="D16" s="2" t="n"/>
      <c r="E16" s="2" t="n"/>
      <c r="F16" s="7" t="n">
        <v>305</v>
      </c>
      <c r="G16" s="2" t="n"/>
      <c r="H16" s="2" t="n"/>
      <c r="I16" s="9">
        <f>INDEX(Dólar!$B:$B,MATCH(MAX(Dólar!$A:$A),Dólar!$A:$A,0))</f>
        <v/>
      </c>
      <c r="J16" s="10">
        <f>INDEX(Dólar!$E:$E,MATCH(MAX(Dólar!$A:$A),Dólar!$A:$A,0))</f>
        <v/>
      </c>
      <c r="K16" s="8" t="n">
        <v>350</v>
      </c>
      <c r="L16" s="11">
        <f>IF(D16="","",MIN(MAX(Supuestos!$B$5,CEILING((K16*Supuestos!$B$3+Supuestos!$B$7)/1000,Supuestos!$B$6))*Supuestos!$B$4/Supuestos!$B$3,Supuestos!$B$8+D16*Supuestos!$B$9))</f>
        <v/>
      </c>
      <c r="M16" s="12">
        <f>IF(D16="","",(D16+E16+L16+(D16+E16)*Supuestos!$B$10)*Supuestos!$B$11)</f>
        <v/>
      </c>
      <c r="N16" s="12">
        <f>IF(COUNT(G16:H16)=0,"",MIN(G16:H16))</f>
        <v/>
      </c>
      <c r="O16" s="13">
        <f>IF(OR(M16="",N16=""),"",N16-M16)</f>
        <v/>
      </c>
      <c r="P16" s="14">
        <f>IF(O16="","",O16/N16)</f>
        <v/>
      </c>
      <c r="Q16" s="5">
        <f>IF(P16="",IF(AND(D16="",N16=""),"Sin datos",IF(D16="","Sin precio eBay","Sin precio local")),IF(P16&gt;=Supuestos!$B$12,"Conviene",IF(P16&gt;=Supuestos!$B$13,"Justo","No conviene")))</f>
        <v/>
      </c>
    </row>
    <row r="17">
      <c r="A17" s="5" t="inlineStr">
        <is>
          <t>Ryzen 5 7600</t>
        </is>
      </c>
      <c r="B17" s="5" t="inlineStr">
        <is>
          <t>CPU</t>
        </is>
      </c>
      <c r="C17" s="6" t="inlineStr">
        <is>
          <t>ver en eBay</t>
        </is>
      </c>
      <c r="D17" s="7" t="n">
        <v>144.25</v>
      </c>
      <c r="E17" s="7" t="n">
        <v>0</v>
      </c>
      <c r="F17" s="7" t="n">
        <v>122.99</v>
      </c>
      <c r="G17" s="2" t="n"/>
      <c r="H17" s="2" t="n"/>
      <c r="I17" s="9">
        <f>INDEX(Dólar!$B:$B,MATCH(MAX(Dólar!$A:$A),Dólar!$A:$A,0))</f>
        <v/>
      </c>
      <c r="J17" s="10">
        <f>INDEX(Dólar!$E:$E,MATCH(MAX(Dólar!$A:$A),Dólar!$A:$A,0))</f>
        <v/>
      </c>
      <c r="K17" s="8" t="n">
        <v>350</v>
      </c>
      <c r="L17" s="11">
        <f>IF(D17="","",MIN(MAX(Supuestos!$B$5,CEILING((K17*Supuestos!$B$3+Supuestos!$B$7)/1000,Supuestos!$B$6))*Supuestos!$B$4/Supuestos!$B$3,Supuestos!$B$8+D17*Supuestos!$B$9))</f>
        <v/>
      </c>
      <c r="M17" s="12">
        <f>IF(D17="","",(D17+E17+L17+(D17+E17)*Supuestos!$B$10)*Supuestos!$B$11)</f>
        <v/>
      </c>
      <c r="N17" s="12">
        <f>IF(COUNT(G17:H17)=0,"",MIN(G17:H17))</f>
        <v/>
      </c>
      <c r="O17" s="13">
        <f>IF(OR(M17="",N17=""),"",N17-M17)</f>
        <v/>
      </c>
      <c r="P17" s="14">
        <f>IF(O17="","",O17/N17)</f>
        <v/>
      </c>
      <c r="Q17" s="5">
        <f>IF(P17="",IF(AND(D17="",N17=""),"Sin datos",IF(D17="","Sin precio eBay","Sin precio local")),IF(P17&gt;=Supuestos!$B$12,"Conviene",IF(P17&gt;=Supuestos!$B$13,"Justo","No conviene")))</f>
        <v/>
      </c>
    </row>
    <row r="18">
      <c r="A18" s="5" t="inlineStr">
        <is>
          <t>Intel Core i5-12400F</t>
        </is>
      </c>
      <c r="B18" s="5" t="inlineStr">
        <is>
          <t>CPU</t>
        </is>
      </c>
      <c r="C18" s="6" t="inlineStr">
        <is>
          <t>ver en eBay</t>
        </is>
      </c>
      <c r="D18" s="7" t="n">
        <v>150</v>
      </c>
      <c r="E18" s="7" t="n">
        <v>0</v>
      </c>
      <c r="F18" s="7" t="n">
        <v>119.95</v>
      </c>
      <c r="G18" s="2" t="n"/>
      <c r="H18" s="2" t="n"/>
      <c r="I18" s="9">
        <f>INDEX(Dólar!$B:$B,MATCH(MAX(Dólar!$A:$A),Dólar!$A:$A,0))</f>
        <v/>
      </c>
      <c r="J18" s="10">
        <f>INDEX(Dólar!$E:$E,MATCH(MAX(Dólar!$A:$A),Dólar!$A:$A,0))</f>
        <v/>
      </c>
      <c r="K18" s="8" t="n">
        <v>250</v>
      </c>
      <c r="L18" s="11">
        <f>IF(D18="","",MIN(MAX(Supuestos!$B$5,CEILING((K18*Supuestos!$B$3+Supuestos!$B$7)/1000,Supuestos!$B$6))*Supuestos!$B$4/Supuestos!$B$3,Supuestos!$B$8+D18*Supuestos!$B$9))</f>
        <v/>
      </c>
      <c r="M18" s="12">
        <f>IF(D18="","",(D18+E18+L18+(D18+E18)*Supuestos!$B$10)*Supuestos!$B$11)</f>
        <v/>
      </c>
      <c r="N18" s="12">
        <f>IF(COUNT(G18:H18)=0,"",MIN(G18:H18))</f>
        <v/>
      </c>
      <c r="O18" s="13">
        <f>IF(OR(M18="",N18=""),"",N18-M18)</f>
        <v/>
      </c>
      <c r="P18" s="14">
        <f>IF(O18="","",O18/N18)</f>
        <v/>
      </c>
      <c r="Q18" s="5">
        <f>IF(P18="",IF(AND(D18="",N18=""),"Sin datos",IF(D18="","Sin precio eBay","Sin precio local")),IF(P18&gt;=Supuestos!$B$12,"Conviene",IF(P18&gt;=Supuestos!$B$13,"Justo","No conviene")))</f>
        <v/>
      </c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</row>
    <row r="20">
      <c r="A20" s="3" t="inlineStr">
        <is>
          <t>Azul: datos de eBay, Marketplace y tiendas (de los CSV del repo). Negro: fórmulas. Para probar otros supuestos (unidades, aduana, dólar) cambia la hoja Supuestos.</t>
        </is>
      </c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</row>
  </sheetData>
  <conditionalFormatting sqref="Q5:Q18">
    <cfRule type="cellIs" priority="1" operator="equal" dxfId="0">
      <formula>"Conviene"</formula>
    </cfRule>
    <cfRule type="cellIs" priority="2" operator="equal" dxfId="1">
      <formula>"Justo"</formula>
    </cfRule>
    <cfRule type="cellIs" priority="3" operator="equal" dxfId="2">
      <formula>"No conviene"</formula>
    </cfRule>
  </conditionalFormatting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7" customWidth="1" min="3" max="3"/>
    <col width="13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6" customWidth="1" min="10" max="10"/>
    <col width="13" customWidth="1" min="11" max="11"/>
    <col width="12" customWidth="1" min="12" max="12"/>
    <col width="12" customWidth="1" min="13" max="13"/>
    <col width="13" customWidth="1" min="14" max="14"/>
    <col width="11" customWidth="1" min="15" max="15"/>
  </cols>
  <sheetData>
    <row r="1" ht="30" customHeight="1">
      <c r="A1" s="4" t="inlineStr">
        <is>
          <t>Fecha</t>
        </is>
      </c>
      <c r="B1" s="4" t="inlineStr">
        <is>
          <t>Producto</t>
        </is>
      </c>
      <c r="C1" s="4" t="inlineStr">
        <is>
          <t>Tipo</t>
        </is>
      </c>
      <c r="D1" s="4" t="inlineStr">
        <is>
          <t>eBay nuevo USD</t>
        </is>
      </c>
      <c r="E1" s="4" t="inlineStr">
        <is>
          <t>eBay usado USD</t>
        </is>
      </c>
      <c r="F1" s="4" t="inlineStr">
        <is>
          <t>Marketplace Bs</t>
        </is>
      </c>
      <c r="G1" s="4" t="inlineStr">
        <is>
          <t>Tiendas Bs</t>
        </is>
      </c>
      <c r="H1" s="4" t="inlineStr">
        <is>
          <t>Dólar BCB</t>
        </is>
      </c>
      <c r="I1" s="4" t="inlineStr">
        <is>
          <t>Dólar paralelo</t>
        </is>
      </c>
      <c r="J1" s="4" t="inlineStr">
        <is>
          <t>Link del producto</t>
        </is>
      </c>
      <c r="K1" s="4" t="inlineStr">
        <is>
          <t>Fecha anterior</t>
        </is>
      </c>
      <c r="L1" s="4" t="inlineStr">
        <is>
          <t>Δ eBay nuevo</t>
        </is>
      </c>
      <c r="M1" s="4" t="inlineStr">
        <is>
          <t>Δ eBay usado</t>
        </is>
      </c>
      <c r="N1" s="4" t="inlineStr">
        <is>
          <t>Δ Marketplace</t>
        </is>
      </c>
      <c r="O1" s="4" t="inlineStr">
        <is>
          <t>Δ Tiendas</t>
        </is>
      </c>
    </row>
    <row r="2">
      <c r="A2" s="15" t="n">
        <v>46307</v>
      </c>
      <c r="B2" s="5" t="inlineStr">
        <is>
          <t>SSD NVMe 2TB</t>
        </is>
      </c>
      <c r="C2" s="5" t="inlineStr">
        <is>
          <t>SSD</t>
        </is>
      </c>
      <c r="D2" s="7" t="n">
        <v>209.99</v>
      </c>
      <c r="E2" s="7" t="n">
        <v>179.99</v>
      </c>
      <c r="F2" s="2" t="n"/>
      <c r="G2" s="2" t="n"/>
      <c r="H2" s="9">
        <f>IFERROR(IF(INDEX(Dólar!$B:$B,MATCH(A2,Dólar!$A:$A,0))="","",INDEX(Dólar!$B:$B,MATCH(A2,Dólar!$A:$A,0))),"")</f>
        <v/>
      </c>
      <c r="I2" s="10">
        <f>IFERROR(INDEX(Dólar!$E:$E,MATCH(A2,Dólar!$A:$A,0)),"")</f>
        <v/>
      </c>
      <c r="J2" s="6" t="inlineStr">
        <is>
          <t>ver anuncio</t>
        </is>
      </c>
      <c r="K2" s="15" t="n">
        <v>46306</v>
      </c>
      <c r="L2" s="16">
        <f>IF(OR($K2="",D2=""),"",IF(COUNTIFS($B:$B,$B2,$A:$A,$K2,D:D,"&gt;=0")=0,"",D2-SUMIFS(D:D,$B:$B,$B2,$A:$A,$K2)))</f>
        <v/>
      </c>
      <c r="M2" s="16">
        <f>IF(OR($K2="",E2=""),"",IF(COUNTIFS($B:$B,$B2,$A:$A,$K2,E:E,"&gt;=0")=0,"",E2-SUMIFS(E:E,$B:$B,$B2,$A:$A,$K2)))</f>
        <v/>
      </c>
      <c r="N2" s="16">
        <f>IF(OR($K2="",F2=""),"",IF(COUNTIFS($B:$B,$B2,$A:$A,$K2,F:F,"&gt;=0")=0,"",F2-SUMIFS(F:F,$B:$B,$B2,$A:$A,$K2)))</f>
        <v/>
      </c>
      <c r="O2" s="16">
        <f>IF(OR($K2="",G2=""),"",IF(COUNTIFS($B:$B,$B2,$A:$A,$K2,G:G,"&gt;=0")=0,"",G2-SUMIFS(G:G,$B:$B,$B2,$A:$A,$K2)))</f>
        <v/>
      </c>
    </row>
    <row r="3">
      <c r="A3" s="15" t="n">
        <v>46307</v>
      </c>
      <c r="B3" s="5" t="inlineStr">
        <is>
          <t>SSD NVMe 1TB</t>
        </is>
      </c>
      <c r="C3" s="5" t="inlineStr">
        <is>
          <t>SSD</t>
        </is>
      </c>
      <c r="D3" s="7" t="n">
        <v>114.99</v>
      </c>
      <c r="E3" s="7" t="n">
        <v>99.98999999999999</v>
      </c>
      <c r="F3" s="2" t="n"/>
      <c r="G3" s="2" t="n"/>
      <c r="H3" s="9">
        <f>IFERROR(IF(INDEX(Dólar!$B:$B,MATCH(A3,Dólar!$A:$A,0))="","",INDEX(Dólar!$B:$B,MATCH(A3,Dólar!$A:$A,0))),"")</f>
        <v/>
      </c>
      <c r="I3" s="10">
        <f>IFERROR(INDEX(Dólar!$E:$E,MATCH(A3,Dólar!$A:$A,0)),"")</f>
        <v/>
      </c>
      <c r="J3" s="6" t="inlineStr">
        <is>
          <t>ver anuncio</t>
        </is>
      </c>
      <c r="K3" s="15" t="n">
        <v>46306</v>
      </c>
      <c r="L3" s="16">
        <f>IF(OR($K3="",D3=""),"",IF(COUNTIFS($B:$B,$B3,$A:$A,$K3,D:D,"&gt;=0")=0,"",D3-SUMIFS(D:D,$B:$B,$B3,$A:$A,$K3)))</f>
        <v/>
      </c>
      <c r="M3" s="16">
        <f>IF(OR($K3="",E3=""),"",IF(COUNTIFS($B:$B,$B3,$A:$A,$K3,E:E,"&gt;=0")=0,"",E3-SUMIFS(E:E,$B:$B,$B3,$A:$A,$K3)))</f>
        <v/>
      </c>
      <c r="N3" s="16">
        <f>IF(OR($K3="",F3=""),"",IF(COUNTIFS($B:$B,$B3,$A:$A,$K3,F:F,"&gt;=0")=0,"",F3-SUMIFS(F:F,$B:$B,$B3,$A:$A,$K3)))</f>
        <v/>
      </c>
      <c r="O3" s="16">
        <f>IF(OR($K3="",G3=""),"",IF(COUNTIFS($B:$B,$B3,$A:$A,$K3,G:G,"&gt;=0")=0,"",G3-SUMIFS(G:G,$B:$B,$B3,$A:$A,$K3)))</f>
        <v/>
      </c>
    </row>
    <row r="4">
      <c r="A4" s="15" t="n">
        <v>46307</v>
      </c>
      <c r="B4" s="5" t="inlineStr">
        <is>
          <t>Ryzen 9 9950X</t>
        </is>
      </c>
      <c r="C4" s="5" t="inlineStr">
        <is>
          <t>CPU</t>
        </is>
      </c>
      <c r="D4" s="7" t="n">
        <v>499.99</v>
      </c>
      <c r="E4" s="7" t="n">
        <v>454.99</v>
      </c>
      <c r="F4" s="2" t="n"/>
      <c r="G4" s="8" t="n">
        <v>6140</v>
      </c>
      <c r="H4" s="9">
        <f>IFERROR(IF(INDEX(Dólar!$B:$B,MATCH(A4,Dólar!$A:$A,0))="","",INDEX(Dólar!$B:$B,MATCH(A4,Dólar!$A:$A,0))),"")</f>
        <v/>
      </c>
      <c r="I4" s="10">
        <f>IFERROR(INDEX(Dólar!$E:$E,MATCH(A4,Dólar!$A:$A,0)),"")</f>
        <v/>
      </c>
      <c r="J4" s="6" t="inlineStr">
        <is>
          <t>ver anuncio</t>
        </is>
      </c>
      <c r="K4" s="15" t="n">
        <v>46306</v>
      </c>
      <c r="L4" s="16">
        <f>IF(OR($K4="",D4=""),"",IF(COUNTIFS($B:$B,$B4,$A:$A,$K4,D:D,"&gt;=0")=0,"",D4-SUMIFS(D:D,$B:$B,$B4,$A:$A,$K4)))</f>
        <v/>
      </c>
      <c r="M4" s="16">
        <f>IF(OR($K4="",E4=""),"",IF(COUNTIFS($B:$B,$B4,$A:$A,$K4,E:E,"&gt;=0")=0,"",E4-SUMIFS(E:E,$B:$B,$B4,$A:$A,$K4)))</f>
        <v/>
      </c>
      <c r="N4" s="16">
        <f>IF(OR($K4="",F4=""),"",IF(COUNTIFS($B:$B,$B4,$A:$A,$K4,F:F,"&gt;=0")=0,"",F4-SUMIFS(F:F,$B:$B,$B4,$A:$A,$K4)))</f>
        <v/>
      </c>
      <c r="O4" s="16">
        <f>IF(OR($K4="",G4=""),"",IF(COUNTIFS($B:$B,$B4,$A:$A,$K4,G:G,"&gt;=0")=0,"",G4-SUMIFS(G:G,$B:$B,$B4,$A:$A,$K4)))</f>
        <v/>
      </c>
    </row>
    <row r="5">
      <c r="A5" s="15" t="n">
        <v>46307</v>
      </c>
      <c r="B5" s="5" t="inlineStr">
        <is>
          <t>Ryzen 7 7800X3D</t>
        </is>
      </c>
      <c r="C5" s="5" t="inlineStr">
        <is>
          <t>CPU</t>
        </is>
      </c>
      <c r="D5" s="7" t="n">
        <v>329</v>
      </c>
      <c r="E5" s="7" t="n">
        <v>283.99</v>
      </c>
      <c r="F5" s="2" t="n"/>
      <c r="G5" s="8" t="n">
        <v>4760</v>
      </c>
      <c r="H5" s="9">
        <f>IFERROR(IF(INDEX(Dólar!$B:$B,MATCH(A5,Dólar!$A:$A,0))="","",INDEX(Dólar!$B:$B,MATCH(A5,Dólar!$A:$A,0))),"")</f>
        <v/>
      </c>
      <c r="I5" s="10">
        <f>IFERROR(INDEX(Dólar!$E:$E,MATCH(A5,Dólar!$A:$A,0)),"")</f>
        <v/>
      </c>
      <c r="J5" s="6" t="inlineStr">
        <is>
          <t>ver anuncio</t>
        </is>
      </c>
      <c r="K5" s="15" t="n">
        <v>46306</v>
      </c>
      <c r="L5" s="16">
        <f>IF(OR($K5="",D5=""),"",IF(COUNTIFS($B:$B,$B5,$A:$A,$K5,D:D,"&gt;=0")=0,"",D5-SUMIFS(D:D,$B:$B,$B5,$A:$A,$K5)))</f>
        <v/>
      </c>
      <c r="M5" s="16">
        <f>IF(OR($K5="",E5=""),"",IF(COUNTIFS($B:$B,$B5,$A:$A,$K5,E:E,"&gt;=0")=0,"",E5-SUMIFS(E:E,$B:$B,$B5,$A:$A,$K5)))</f>
        <v/>
      </c>
      <c r="N5" s="16">
        <f>IF(OR($K5="",F5=""),"",IF(COUNTIFS($B:$B,$B5,$A:$A,$K5,F:F,"&gt;=0")=0,"",F5-SUMIFS(F:F,$B:$B,$B5,$A:$A,$K5)))</f>
        <v/>
      </c>
      <c r="O5" s="16">
        <f>IF(OR($K5="",G5=""),"",IF(COUNTIFS($B:$B,$B5,$A:$A,$K5,G:G,"&gt;=0")=0,"",G5-SUMIFS(G:G,$B:$B,$B5,$A:$A,$K5)))</f>
        <v/>
      </c>
    </row>
    <row r="6">
      <c r="A6" s="15" t="n">
        <v>46307</v>
      </c>
      <c r="B6" s="5" t="inlineStr">
        <is>
          <t>Ryzen 7 5700X3D</t>
        </is>
      </c>
      <c r="C6" s="5" t="inlineStr">
        <is>
          <t>CPU</t>
        </is>
      </c>
      <c r="D6" s="2" t="n"/>
      <c r="E6" s="7" t="n">
        <v>305</v>
      </c>
      <c r="F6" s="2" t="n"/>
      <c r="G6" s="2" t="n"/>
      <c r="H6" s="9">
        <f>IFERROR(IF(INDEX(Dólar!$B:$B,MATCH(A6,Dólar!$A:$A,0))="","",INDEX(Dólar!$B:$B,MATCH(A6,Dólar!$A:$A,0))),"")</f>
        <v/>
      </c>
      <c r="I6" s="10">
        <f>IFERROR(INDEX(Dólar!$E:$E,MATCH(A6,Dólar!$A:$A,0)),"")</f>
        <v/>
      </c>
      <c r="J6" s="6" t="inlineStr">
        <is>
          <t>ver anuncio</t>
        </is>
      </c>
      <c r="K6" s="5" t="n"/>
      <c r="L6" s="16">
        <f>IF(OR($K6="",D6=""),"",IF(COUNTIFS($B:$B,$B6,$A:$A,$K6,D:D,"&gt;=0")=0,"",D6-SUMIFS(D:D,$B:$B,$B6,$A:$A,$K6)))</f>
        <v/>
      </c>
      <c r="M6" s="16">
        <f>IF(OR($K6="",E6=""),"",IF(COUNTIFS($B:$B,$B6,$A:$A,$K6,E:E,"&gt;=0")=0,"",E6-SUMIFS(E:E,$B:$B,$B6,$A:$A,$K6)))</f>
        <v/>
      </c>
      <c r="N6" s="16">
        <f>IF(OR($K6="",F6=""),"",IF(COUNTIFS($B:$B,$B6,$A:$A,$K6,F:F,"&gt;=0")=0,"",F6-SUMIFS(F:F,$B:$B,$B6,$A:$A,$K6)))</f>
        <v/>
      </c>
      <c r="O6" s="16">
        <f>IF(OR($K6="",G6=""),"",IF(COUNTIFS($B:$B,$B6,$A:$A,$K6,G:G,"&gt;=0")=0,"",G6-SUMIFS(G:G,$B:$B,$B6,$A:$A,$K6)))</f>
        <v/>
      </c>
    </row>
    <row r="7">
      <c r="A7" s="15" t="n">
        <v>46307</v>
      </c>
      <c r="B7" s="5" t="inlineStr">
        <is>
          <t>Ryzen 5 7600</t>
        </is>
      </c>
      <c r="C7" s="5" t="inlineStr">
        <is>
          <t>CPU</t>
        </is>
      </c>
      <c r="D7" s="7" t="n">
        <v>144.25</v>
      </c>
      <c r="E7" s="7" t="n">
        <v>122.99</v>
      </c>
      <c r="F7" s="2" t="n"/>
      <c r="G7" s="2" t="n"/>
      <c r="H7" s="9">
        <f>IFERROR(IF(INDEX(Dólar!$B:$B,MATCH(A7,Dólar!$A:$A,0))="","",INDEX(Dólar!$B:$B,MATCH(A7,Dólar!$A:$A,0))),"")</f>
        <v/>
      </c>
      <c r="I7" s="10">
        <f>IFERROR(INDEX(Dólar!$E:$E,MATCH(A7,Dólar!$A:$A,0)),"")</f>
        <v/>
      </c>
      <c r="J7" s="6" t="inlineStr">
        <is>
          <t>ver anuncio</t>
        </is>
      </c>
      <c r="K7" s="15" t="n">
        <v>46306</v>
      </c>
      <c r="L7" s="16">
        <f>IF(OR($K7="",D7=""),"",IF(COUNTIFS($B:$B,$B7,$A:$A,$K7,D:D,"&gt;=0")=0,"",D7-SUMIFS(D:D,$B:$B,$B7,$A:$A,$K7)))</f>
        <v/>
      </c>
      <c r="M7" s="16">
        <f>IF(OR($K7="",E7=""),"",IF(COUNTIFS($B:$B,$B7,$A:$A,$K7,E:E,"&gt;=0")=0,"",E7-SUMIFS(E:E,$B:$B,$B7,$A:$A,$K7)))</f>
        <v/>
      </c>
      <c r="N7" s="16">
        <f>IF(OR($K7="",F7=""),"",IF(COUNTIFS($B:$B,$B7,$A:$A,$K7,F:F,"&gt;=0")=0,"",F7-SUMIFS(F:F,$B:$B,$B7,$A:$A,$K7)))</f>
        <v/>
      </c>
      <c r="O7" s="16">
        <f>IF(OR($K7="",G7=""),"",IF(COUNTIFS($B:$B,$B7,$A:$A,$K7,G:G,"&gt;=0")=0,"",G7-SUMIFS(G:G,$B:$B,$B7,$A:$A,$K7)))</f>
        <v/>
      </c>
    </row>
    <row r="8">
      <c r="A8" s="15" t="n">
        <v>46307</v>
      </c>
      <c r="B8" s="5" t="inlineStr">
        <is>
          <t>Ryzen 5 5600</t>
        </is>
      </c>
      <c r="C8" s="5" t="inlineStr">
        <is>
          <t>CPU</t>
        </is>
      </c>
      <c r="D8" s="7" t="n">
        <v>138.9</v>
      </c>
      <c r="E8" s="7" t="n">
        <v>135</v>
      </c>
      <c r="F8" s="2" t="n"/>
      <c r="G8" s="2" t="n"/>
      <c r="H8" s="9">
        <f>IFERROR(IF(INDEX(Dólar!$B:$B,MATCH(A8,Dólar!$A:$A,0))="","",INDEX(Dólar!$B:$B,MATCH(A8,Dólar!$A:$A,0))),"")</f>
        <v/>
      </c>
      <c r="I8" s="10">
        <f>IFERROR(INDEX(Dólar!$E:$E,MATCH(A8,Dólar!$A:$A,0)),"")</f>
        <v/>
      </c>
      <c r="J8" s="6" t="inlineStr">
        <is>
          <t>ver anuncio</t>
        </is>
      </c>
      <c r="K8" s="5" t="n"/>
      <c r="L8" s="16">
        <f>IF(OR($K8="",D8=""),"",IF(COUNTIFS($B:$B,$B8,$A:$A,$K8,D:D,"&gt;=0")=0,"",D8-SUMIFS(D:D,$B:$B,$B8,$A:$A,$K8)))</f>
        <v/>
      </c>
      <c r="M8" s="16">
        <f>IF(OR($K8="",E8=""),"",IF(COUNTIFS($B:$B,$B8,$A:$A,$K8,E:E,"&gt;=0")=0,"",E8-SUMIFS(E:E,$B:$B,$B8,$A:$A,$K8)))</f>
        <v/>
      </c>
      <c r="N8" s="16">
        <f>IF(OR($K8="",F8=""),"",IF(COUNTIFS($B:$B,$B8,$A:$A,$K8,F:F,"&gt;=0")=0,"",F8-SUMIFS(F:F,$B:$B,$B8,$A:$A,$K8)))</f>
        <v/>
      </c>
      <c r="O8" s="16">
        <f>IF(OR($K8="",G8=""),"",IF(COUNTIFS($B:$B,$B8,$A:$A,$K8,G:G,"&gt;=0")=0,"",G8-SUMIFS(G:G,$B:$B,$B8,$A:$A,$K8)))</f>
        <v/>
      </c>
    </row>
    <row r="9">
      <c r="A9" s="15" t="n">
        <v>46307</v>
      </c>
      <c r="B9" s="5" t="inlineStr">
        <is>
          <t>RAM DDR4 16GB (2x8) 3200</t>
        </is>
      </c>
      <c r="C9" s="5" t="inlineStr">
        <is>
          <t>RAM</t>
        </is>
      </c>
      <c r="D9" s="7" t="n">
        <v>75</v>
      </c>
      <c r="E9" s="7" t="n">
        <v>59.99</v>
      </c>
      <c r="F9" s="2" t="n"/>
      <c r="G9" s="8" t="n">
        <v>2150</v>
      </c>
      <c r="H9" s="9">
        <f>IFERROR(IF(INDEX(Dólar!$B:$B,MATCH(A9,Dólar!$A:$A,0))="","",INDEX(Dólar!$B:$B,MATCH(A9,Dólar!$A:$A,0))),"")</f>
        <v/>
      </c>
      <c r="I9" s="10">
        <f>IFERROR(INDEX(Dólar!$E:$E,MATCH(A9,Dólar!$A:$A,0)),"")</f>
        <v/>
      </c>
      <c r="J9" s="6" t="inlineStr">
        <is>
          <t>ver anuncio</t>
        </is>
      </c>
      <c r="K9" s="15" t="n">
        <v>46306</v>
      </c>
      <c r="L9" s="16">
        <f>IF(OR($K9="",D9=""),"",IF(COUNTIFS($B:$B,$B9,$A:$A,$K9,D:D,"&gt;=0")=0,"",D9-SUMIFS(D:D,$B:$B,$B9,$A:$A,$K9)))</f>
        <v/>
      </c>
      <c r="M9" s="16">
        <f>IF(OR($K9="",E9=""),"",IF(COUNTIFS($B:$B,$B9,$A:$A,$K9,E:E,"&gt;=0")=0,"",E9-SUMIFS(E:E,$B:$B,$B9,$A:$A,$K9)))</f>
        <v/>
      </c>
      <c r="N9" s="16">
        <f>IF(OR($K9="",F9=""),"",IF(COUNTIFS($B:$B,$B9,$A:$A,$K9,F:F,"&gt;=0")=0,"",F9-SUMIFS(F:F,$B:$B,$B9,$A:$A,$K9)))</f>
        <v/>
      </c>
      <c r="O9" s="16">
        <f>IF(OR($K9="",G9=""),"",IF(COUNTIFS($B:$B,$B9,$A:$A,$K9,G:G,"&gt;=0")=0,"",G9-SUMIFS(G:G,$B:$B,$B9,$A:$A,$K9)))</f>
        <v/>
      </c>
    </row>
    <row r="10">
      <c r="A10" s="15" t="n">
        <v>46307</v>
      </c>
      <c r="B10" s="5" t="inlineStr">
        <is>
          <t>Intel Core i5-14400F</t>
        </is>
      </c>
      <c r="C10" s="5" t="inlineStr">
        <is>
          <t>CPU</t>
        </is>
      </c>
      <c r="D10" s="7" t="n">
        <v>164.49</v>
      </c>
      <c r="E10" s="7" t="n">
        <v>136.99</v>
      </c>
      <c r="F10" s="2" t="n"/>
      <c r="G10" s="8" t="n">
        <v>2537</v>
      </c>
      <c r="H10" s="9">
        <f>IFERROR(IF(INDEX(Dólar!$B:$B,MATCH(A10,Dólar!$A:$A,0))="","",INDEX(Dólar!$B:$B,MATCH(A10,Dólar!$A:$A,0))),"")</f>
        <v/>
      </c>
      <c r="I10" s="10">
        <f>IFERROR(INDEX(Dólar!$E:$E,MATCH(A10,Dólar!$A:$A,0)),"")</f>
        <v/>
      </c>
      <c r="J10" s="6" t="inlineStr">
        <is>
          <t>ver anuncio</t>
        </is>
      </c>
      <c r="K10" s="15" t="n">
        <v>46306</v>
      </c>
      <c r="L10" s="16">
        <f>IF(OR($K10="",D10=""),"",IF(COUNTIFS($B:$B,$B10,$A:$A,$K10,D:D,"&gt;=0")=0,"",D10-SUMIFS(D:D,$B:$B,$B10,$A:$A,$K10)))</f>
        <v/>
      </c>
      <c r="M10" s="16">
        <f>IF(OR($K10="",E10=""),"",IF(COUNTIFS($B:$B,$B10,$A:$A,$K10,E:E,"&gt;=0")=0,"",E10-SUMIFS(E:E,$B:$B,$B10,$A:$A,$K10)))</f>
        <v/>
      </c>
      <c r="N10" s="16">
        <f>IF(OR($K10="",F10=""),"",IF(COUNTIFS($B:$B,$B10,$A:$A,$K10,F:F,"&gt;=0")=0,"",F10-SUMIFS(F:F,$B:$B,$B10,$A:$A,$K10)))</f>
        <v/>
      </c>
      <c r="O10" s="16">
        <f>IF(OR($K10="",G10=""),"",IF(COUNTIFS($B:$B,$B10,$A:$A,$K10,G:G,"&gt;=0")=0,"",G10-SUMIFS(G:G,$B:$B,$B10,$A:$A,$K10)))</f>
        <v/>
      </c>
    </row>
    <row r="11">
      <c r="A11" s="15" t="n">
        <v>46307</v>
      </c>
      <c r="B11" s="5" t="inlineStr">
        <is>
          <t>Intel Core i5-13400</t>
        </is>
      </c>
      <c r="C11" s="5" t="inlineStr">
        <is>
          <t>CPU</t>
        </is>
      </c>
      <c r="D11" s="7" t="n">
        <v>259.78</v>
      </c>
      <c r="E11" s="7" t="n">
        <v>149.99</v>
      </c>
      <c r="F11" s="2" t="n"/>
      <c r="G11" s="2" t="n"/>
      <c r="H11" s="9">
        <f>IFERROR(IF(INDEX(Dólar!$B:$B,MATCH(A11,Dólar!$A:$A,0))="","",INDEX(Dólar!$B:$B,MATCH(A11,Dólar!$A:$A,0))),"")</f>
        <v/>
      </c>
      <c r="I11" s="10">
        <f>IFERROR(INDEX(Dólar!$E:$E,MATCH(A11,Dólar!$A:$A,0)),"")</f>
        <v/>
      </c>
      <c r="J11" s="6" t="inlineStr">
        <is>
          <t>ver anuncio</t>
        </is>
      </c>
      <c r="K11" s="15" t="n">
        <v>46306</v>
      </c>
      <c r="L11" s="16">
        <f>IF(OR($K11="",D11=""),"",IF(COUNTIFS($B:$B,$B11,$A:$A,$K11,D:D,"&gt;=0")=0,"",D11-SUMIFS(D:D,$B:$B,$B11,$A:$A,$K11)))</f>
        <v/>
      </c>
      <c r="M11" s="16">
        <f>IF(OR($K11="",E11=""),"",IF(COUNTIFS($B:$B,$B11,$A:$A,$K11,E:E,"&gt;=0")=0,"",E11-SUMIFS(E:E,$B:$B,$B11,$A:$A,$K11)))</f>
        <v/>
      </c>
      <c r="N11" s="16">
        <f>IF(OR($K11="",F11=""),"",IF(COUNTIFS($B:$B,$B11,$A:$A,$K11,F:F,"&gt;=0")=0,"",F11-SUMIFS(F:F,$B:$B,$B11,$A:$A,$K11)))</f>
        <v/>
      </c>
      <c r="O11" s="16">
        <f>IF(OR($K11="",G11=""),"",IF(COUNTIFS($B:$B,$B11,$A:$A,$K11,G:G,"&gt;=0")=0,"",G11-SUMIFS(G:G,$B:$B,$B11,$A:$A,$K11)))</f>
        <v/>
      </c>
    </row>
    <row r="12">
      <c r="A12" s="15" t="n">
        <v>46307</v>
      </c>
      <c r="B12" s="5" t="inlineStr">
        <is>
          <t>Intel Core i5-12400F</t>
        </is>
      </c>
      <c r="C12" s="5" t="inlineStr">
        <is>
          <t>CPU</t>
        </is>
      </c>
      <c r="D12" s="7" t="n">
        <v>150</v>
      </c>
      <c r="E12" s="7" t="n">
        <v>119.95</v>
      </c>
      <c r="F12" s="2" t="n"/>
      <c r="G12" s="2" t="n"/>
      <c r="H12" s="9">
        <f>IFERROR(IF(INDEX(Dólar!$B:$B,MATCH(A12,Dólar!$A:$A,0))="","",INDEX(Dólar!$B:$B,MATCH(A12,Dólar!$A:$A,0))),"")</f>
        <v/>
      </c>
      <c r="I12" s="10">
        <f>IFERROR(INDEX(Dólar!$E:$E,MATCH(A12,Dólar!$A:$A,0)),"")</f>
        <v/>
      </c>
      <c r="J12" s="6" t="inlineStr">
        <is>
          <t>ver anuncio</t>
        </is>
      </c>
      <c r="K12" s="5" t="n"/>
      <c r="L12" s="16">
        <f>IF(OR($K12="",D12=""),"",IF(COUNTIFS($B:$B,$B12,$A:$A,$K12,D:D,"&gt;=0")=0,"",D12-SUMIFS(D:D,$B:$B,$B12,$A:$A,$K12)))</f>
        <v/>
      </c>
      <c r="M12" s="16">
        <f>IF(OR($K12="",E12=""),"",IF(COUNTIFS($B:$B,$B12,$A:$A,$K12,E:E,"&gt;=0")=0,"",E12-SUMIFS(E:E,$B:$B,$B12,$A:$A,$K12)))</f>
        <v/>
      </c>
      <c r="N12" s="16">
        <f>IF(OR($K12="",F12=""),"",IF(COUNTIFS($B:$B,$B12,$A:$A,$K12,F:F,"&gt;=0")=0,"",F12-SUMIFS(F:F,$B:$B,$B12,$A:$A,$K12)))</f>
        <v/>
      </c>
      <c r="O12" s="16">
        <f>IF(OR($K12="",G12=""),"",IF(COUNTIFS($B:$B,$B12,$A:$A,$K12,G:G,"&gt;=0")=0,"",G12-SUMIFS(G:G,$B:$B,$B12,$A:$A,$K12)))</f>
        <v/>
      </c>
    </row>
    <row r="13">
      <c r="A13" s="15" t="n">
        <v>46307</v>
      </c>
      <c r="B13" s="5" t="inlineStr">
        <is>
          <t>Intel Core Ultra 7 265K</t>
        </is>
      </c>
      <c r="C13" s="5" t="inlineStr">
        <is>
          <t>CPU</t>
        </is>
      </c>
      <c r="D13" s="7" t="n">
        <v>244.87</v>
      </c>
      <c r="E13" s="7" t="n">
        <v>209.99</v>
      </c>
      <c r="F13" s="2" t="n"/>
      <c r="G13" s="2" t="n"/>
      <c r="H13" s="9">
        <f>IFERROR(IF(INDEX(Dólar!$B:$B,MATCH(A13,Dólar!$A:$A,0))="","",INDEX(Dólar!$B:$B,MATCH(A13,Dólar!$A:$A,0))),"")</f>
        <v/>
      </c>
      <c r="I13" s="10">
        <f>IFERROR(INDEX(Dólar!$E:$E,MATCH(A13,Dólar!$A:$A,0)),"")</f>
        <v/>
      </c>
      <c r="J13" s="6" t="inlineStr">
        <is>
          <t>ver anuncio</t>
        </is>
      </c>
      <c r="K13" s="15" t="n">
        <v>46306</v>
      </c>
      <c r="L13" s="16">
        <f>IF(OR($K13="",D13=""),"",IF(COUNTIFS($B:$B,$B13,$A:$A,$K13,D:D,"&gt;=0")=0,"",D13-SUMIFS(D:D,$B:$B,$B13,$A:$A,$K13)))</f>
        <v/>
      </c>
      <c r="M13" s="16">
        <f>IF(OR($K13="",E13=""),"",IF(COUNTIFS($B:$B,$B13,$A:$A,$K13,E:E,"&gt;=0")=0,"",E13-SUMIFS(E:E,$B:$B,$B13,$A:$A,$K13)))</f>
        <v/>
      </c>
      <c r="N13" s="16">
        <f>IF(OR($K13="",F13=""),"",IF(COUNTIFS($B:$B,$B13,$A:$A,$K13,F:F,"&gt;=0")=0,"",F13-SUMIFS(F:F,$B:$B,$B13,$A:$A,$K13)))</f>
        <v/>
      </c>
      <c r="O13" s="16">
        <f>IF(OR($K13="",G13=""),"",IF(COUNTIFS($B:$B,$B13,$A:$A,$K13,G:G,"&gt;=0")=0,"",G13-SUMIFS(G:G,$B:$B,$B13,$A:$A,$K13)))</f>
        <v/>
      </c>
    </row>
    <row r="14">
      <c r="A14" s="15" t="n">
        <v>46307</v>
      </c>
      <c r="B14" s="5" t="inlineStr">
        <is>
          <t>Corsair Vengeance RGB DDR5 32GB (2x16) 6000</t>
        </is>
      </c>
      <c r="C14" s="5" t="inlineStr">
        <is>
          <t>RAM</t>
        </is>
      </c>
      <c r="D14" s="7" t="n">
        <v>435.99</v>
      </c>
      <c r="E14" s="7" t="n">
        <v>399.9</v>
      </c>
      <c r="F14" s="2" t="n"/>
      <c r="G14" s="2" t="n"/>
      <c r="H14" s="9">
        <f>IFERROR(IF(INDEX(Dólar!$B:$B,MATCH(A14,Dólar!$A:$A,0))="","",INDEX(Dólar!$B:$B,MATCH(A14,Dólar!$A:$A,0))),"")</f>
        <v/>
      </c>
      <c r="I14" s="10">
        <f>IFERROR(INDEX(Dólar!$E:$E,MATCH(A14,Dólar!$A:$A,0)),"")</f>
        <v/>
      </c>
      <c r="J14" s="6" t="inlineStr">
        <is>
          <t>ver anuncio</t>
        </is>
      </c>
      <c r="K14" s="15" t="n">
        <v>46306</v>
      </c>
      <c r="L14" s="16">
        <f>IF(OR($K14="",D14=""),"",IF(COUNTIFS($B:$B,$B14,$A:$A,$K14,D:D,"&gt;=0")=0,"",D14-SUMIFS(D:D,$B:$B,$B14,$A:$A,$K14)))</f>
        <v/>
      </c>
      <c r="M14" s="16">
        <f>IF(OR($K14="",E14=""),"",IF(COUNTIFS($B:$B,$B14,$A:$A,$K14,E:E,"&gt;=0")=0,"",E14-SUMIFS(E:E,$B:$B,$B14,$A:$A,$K14)))</f>
        <v/>
      </c>
      <c r="N14" s="16">
        <f>IF(OR($K14="",F14=""),"",IF(COUNTIFS($B:$B,$B14,$A:$A,$K14,F:F,"&gt;=0")=0,"",F14-SUMIFS(F:F,$B:$B,$B14,$A:$A,$K14)))</f>
        <v/>
      </c>
      <c r="O14" s="16">
        <f>IF(OR($K14="",G14=""),"",IF(COUNTIFS($B:$B,$B14,$A:$A,$K14,G:G,"&gt;=0")=0,"",G14-SUMIFS(G:G,$B:$B,$B14,$A:$A,$K14)))</f>
        <v/>
      </c>
    </row>
    <row r="15">
      <c r="A15" s="15" t="n">
        <v>46307</v>
      </c>
      <c r="B15" s="5" t="inlineStr">
        <is>
          <t>Corsair Vengeance RGB DDR5 32GB (2x16) 5600</t>
        </is>
      </c>
      <c r="C15" s="5" t="inlineStr">
        <is>
          <t>RAM</t>
        </is>
      </c>
      <c r="D15" s="7" t="n">
        <v>493</v>
      </c>
      <c r="E15" s="7" t="n">
        <v>399.99</v>
      </c>
      <c r="F15" s="8" t="n">
        <v>4500</v>
      </c>
      <c r="G15" s="2" t="n"/>
      <c r="H15" s="9">
        <f>IFERROR(IF(INDEX(Dólar!$B:$B,MATCH(A15,Dólar!$A:$A,0))="","",INDEX(Dólar!$B:$B,MATCH(A15,Dólar!$A:$A,0))),"")</f>
        <v/>
      </c>
      <c r="I15" s="10">
        <f>IFERROR(INDEX(Dólar!$E:$E,MATCH(A15,Dólar!$A:$A,0)),"")</f>
        <v/>
      </c>
      <c r="J15" s="6" t="inlineStr">
        <is>
          <t>ver anuncio</t>
        </is>
      </c>
      <c r="K15" s="5" t="n"/>
      <c r="L15" s="16">
        <f>IF(OR($K15="",D15=""),"",IF(COUNTIFS($B:$B,$B15,$A:$A,$K15,D:D,"&gt;=0")=0,"",D15-SUMIFS(D:D,$B:$B,$B15,$A:$A,$K15)))</f>
        <v/>
      </c>
      <c r="M15" s="16">
        <f>IF(OR($K15="",E15=""),"",IF(COUNTIFS($B:$B,$B15,$A:$A,$K15,E:E,"&gt;=0")=0,"",E15-SUMIFS(E:E,$B:$B,$B15,$A:$A,$K15)))</f>
        <v/>
      </c>
      <c r="N15" s="16">
        <f>IF(OR($K15="",F15=""),"",IF(COUNTIFS($B:$B,$B15,$A:$A,$K15,F:F,"&gt;=0")=0,"",F15-SUMIFS(F:F,$B:$B,$B15,$A:$A,$K15)))</f>
        <v/>
      </c>
      <c r="O15" s="16">
        <f>IF(OR($K15="",G15=""),"",IF(COUNTIFS($B:$B,$B15,$A:$A,$K15,G:G,"&gt;=0")=0,"",G15-SUMIFS(G:G,$B:$B,$B15,$A:$A,$K15)))</f>
        <v/>
      </c>
    </row>
    <row r="16">
      <c r="A16" s="15" t="n">
        <v>46306</v>
      </c>
      <c r="B16" s="5" t="inlineStr">
        <is>
          <t>SSD NVMe 2TB</t>
        </is>
      </c>
      <c r="C16" s="5" t="inlineStr">
        <is>
          <t>SSD</t>
        </is>
      </c>
      <c r="D16" s="2" t="n"/>
      <c r="E16" s="2" t="n"/>
      <c r="F16" s="8" t="n">
        <v>3550</v>
      </c>
      <c r="G16" s="2" t="n"/>
      <c r="H16" s="9">
        <f>IFERROR(IF(INDEX(Dólar!$B:$B,MATCH(A16,Dólar!$A:$A,0))="","",INDEX(Dólar!$B:$B,MATCH(A16,Dólar!$A:$A,0))),"")</f>
        <v/>
      </c>
      <c r="I16" s="10">
        <f>IFERROR(INDEX(Dólar!$E:$E,MATCH(A16,Dólar!$A:$A,0)),"")</f>
        <v/>
      </c>
      <c r="J16" s="6" t="inlineStr">
        <is>
          <t>ver anuncio</t>
        </is>
      </c>
      <c r="K16" s="5" t="n"/>
      <c r="L16" s="16">
        <f>IF(OR($K16="",D16=""),"",IF(COUNTIFS($B:$B,$B16,$A:$A,$K16,D:D,"&gt;=0")=0,"",D16-SUMIFS(D:D,$B:$B,$B16,$A:$A,$K16)))</f>
        <v/>
      </c>
      <c r="M16" s="16">
        <f>IF(OR($K16="",E16=""),"",IF(COUNTIFS($B:$B,$B16,$A:$A,$K16,E:E,"&gt;=0")=0,"",E16-SUMIFS(E:E,$B:$B,$B16,$A:$A,$K16)))</f>
        <v/>
      </c>
      <c r="N16" s="16">
        <f>IF(OR($K16="",F16=""),"",IF(COUNTIFS($B:$B,$B16,$A:$A,$K16,F:F,"&gt;=0")=0,"",F16-SUMIFS(F:F,$B:$B,$B16,$A:$A,$K16)))</f>
        <v/>
      </c>
      <c r="O16" s="16">
        <f>IF(OR($K16="",G16=""),"",IF(COUNTIFS($B:$B,$B16,$A:$A,$K16,G:G,"&gt;=0")=0,"",G16-SUMIFS(G:G,$B:$B,$B16,$A:$A,$K16)))</f>
        <v/>
      </c>
    </row>
    <row r="17">
      <c r="A17" s="15" t="n">
        <v>46306</v>
      </c>
      <c r="B17" s="5" t="inlineStr">
        <is>
          <t>SSD NVMe 1TB</t>
        </is>
      </c>
      <c r="C17" s="5" t="inlineStr">
        <is>
          <t>SSD</t>
        </is>
      </c>
      <c r="D17" s="2" t="n"/>
      <c r="E17" s="2" t="n"/>
      <c r="F17" s="8" t="n">
        <v>1800</v>
      </c>
      <c r="G17" s="2" t="n"/>
      <c r="H17" s="9">
        <f>IFERROR(IF(INDEX(Dólar!$B:$B,MATCH(A17,Dólar!$A:$A,0))="","",INDEX(Dólar!$B:$B,MATCH(A17,Dólar!$A:$A,0))),"")</f>
        <v/>
      </c>
      <c r="I17" s="10">
        <f>IFERROR(INDEX(Dólar!$E:$E,MATCH(A17,Dólar!$A:$A,0)),"")</f>
        <v/>
      </c>
      <c r="J17" s="6" t="inlineStr">
        <is>
          <t>ver anuncio</t>
        </is>
      </c>
      <c r="K17" s="5" t="n"/>
      <c r="L17" s="16">
        <f>IF(OR($K17="",D17=""),"",IF(COUNTIFS($B:$B,$B17,$A:$A,$K17,D:D,"&gt;=0")=0,"",D17-SUMIFS(D:D,$B:$B,$B17,$A:$A,$K17)))</f>
        <v/>
      </c>
      <c r="M17" s="16">
        <f>IF(OR($K17="",E17=""),"",IF(COUNTIFS($B:$B,$B17,$A:$A,$K17,E:E,"&gt;=0")=0,"",E17-SUMIFS(E:E,$B:$B,$B17,$A:$A,$K17)))</f>
        <v/>
      </c>
      <c r="N17" s="16">
        <f>IF(OR($K17="",F17=""),"",IF(COUNTIFS($B:$B,$B17,$A:$A,$K17,F:F,"&gt;=0")=0,"",F17-SUMIFS(F:F,$B:$B,$B17,$A:$A,$K17)))</f>
        <v/>
      </c>
      <c r="O17" s="16">
        <f>IF(OR($K17="",G17=""),"",IF(COUNTIFS($B:$B,$B17,$A:$A,$K17,G:G,"&gt;=0")=0,"",G17-SUMIFS(G:G,$B:$B,$B17,$A:$A,$K17)))</f>
        <v/>
      </c>
    </row>
    <row r="18">
      <c r="A18" s="15" t="n">
        <v>46306</v>
      </c>
      <c r="B18" s="5" t="inlineStr">
        <is>
          <t>Ryzen 9 9950X</t>
        </is>
      </c>
      <c r="C18" s="5" t="inlineStr">
        <is>
          <t>CPU</t>
        </is>
      </c>
      <c r="D18" s="2" t="n"/>
      <c r="E18" s="2" t="n"/>
      <c r="F18" s="2" t="n"/>
      <c r="G18" s="8" t="n">
        <v>5580</v>
      </c>
      <c r="H18" s="9">
        <f>IFERROR(IF(INDEX(Dólar!$B:$B,MATCH(A18,Dólar!$A:$A,0))="","",INDEX(Dólar!$B:$B,MATCH(A18,Dólar!$A:$A,0))),"")</f>
        <v/>
      </c>
      <c r="I18" s="10">
        <f>IFERROR(INDEX(Dólar!$E:$E,MATCH(A18,Dólar!$A:$A,0)),"")</f>
        <v/>
      </c>
      <c r="J18" s="6" t="inlineStr">
        <is>
          <t>ver anuncio</t>
        </is>
      </c>
      <c r="K18" s="5" t="n"/>
      <c r="L18" s="16">
        <f>IF(OR($K18="",D18=""),"",IF(COUNTIFS($B:$B,$B18,$A:$A,$K18,D:D,"&gt;=0")=0,"",D18-SUMIFS(D:D,$B:$B,$B18,$A:$A,$K18)))</f>
        <v/>
      </c>
      <c r="M18" s="16">
        <f>IF(OR($K18="",E18=""),"",IF(COUNTIFS($B:$B,$B18,$A:$A,$K18,E:E,"&gt;=0")=0,"",E18-SUMIFS(E:E,$B:$B,$B18,$A:$A,$K18)))</f>
        <v/>
      </c>
      <c r="N18" s="16">
        <f>IF(OR($K18="",F18=""),"",IF(COUNTIFS($B:$B,$B18,$A:$A,$K18,F:F,"&gt;=0")=0,"",F18-SUMIFS(F:F,$B:$B,$B18,$A:$A,$K18)))</f>
        <v/>
      </c>
      <c r="O18" s="16">
        <f>IF(OR($K18="",G18=""),"",IF(COUNTIFS($B:$B,$B18,$A:$A,$K18,G:G,"&gt;=0")=0,"",G18-SUMIFS(G:G,$B:$B,$B18,$A:$A,$K18)))</f>
        <v/>
      </c>
    </row>
    <row r="19">
      <c r="A19" s="15" t="n">
        <v>46306</v>
      </c>
      <c r="B19" s="5" t="inlineStr">
        <is>
          <t>Ryzen 7 7800X3D</t>
        </is>
      </c>
      <c r="C19" s="5" t="inlineStr">
        <is>
          <t>CPU</t>
        </is>
      </c>
      <c r="D19" s="2" t="n"/>
      <c r="E19" s="2" t="n"/>
      <c r="F19" s="8" t="n">
        <v>4800</v>
      </c>
      <c r="G19" s="2" t="n"/>
      <c r="H19" s="9">
        <f>IFERROR(IF(INDEX(Dólar!$B:$B,MATCH(A19,Dólar!$A:$A,0))="","",INDEX(Dólar!$B:$B,MATCH(A19,Dólar!$A:$A,0))),"")</f>
        <v/>
      </c>
      <c r="I19" s="10">
        <f>IFERROR(INDEX(Dólar!$E:$E,MATCH(A19,Dólar!$A:$A,0)),"")</f>
        <v/>
      </c>
      <c r="J19" s="6" t="inlineStr">
        <is>
          <t>ver anuncio</t>
        </is>
      </c>
      <c r="K19" s="5" t="n"/>
      <c r="L19" s="16">
        <f>IF(OR($K19="",D19=""),"",IF(COUNTIFS($B:$B,$B19,$A:$A,$K19,D:D,"&gt;=0")=0,"",D19-SUMIFS(D:D,$B:$B,$B19,$A:$A,$K19)))</f>
        <v/>
      </c>
      <c r="M19" s="16">
        <f>IF(OR($K19="",E19=""),"",IF(COUNTIFS($B:$B,$B19,$A:$A,$K19,E:E,"&gt;=0")=0,"",E19-SUMIFS(E:E,$B:$B,$B19,$A:$A,$K19)))</f>
        <v/>
      </c>
      <c r="N19" s="16">
        <f>IF(OR($K19="",F19=""),"",IF(COUNTIFS($B:$B,$B19,$A:$A,$K19,F:F,"&gt;=0")=0,"",F19-SUMIFS(F:F,$B:$B,$B19,$A:$A,$K19)))</f>
        <v/>
      </c>
      <c r="O19" s="16">
        <f>IF(OR($K19="",G19=""),"",IF(COUNTIFS($B:$B,$B19,$A:$A,$K19,G:G,"&gt;=0")=0,"",G19-SUMIFS(G:G,$B:$B,$B19,$A:$A,$K19)))</f>
        <v/>
      </c>
    </row>
    <row r="20">
      <c r="A20" s="15" t="n">
        <v>46306</v>
      </c>
      <c r="B20" s="5" t="inlineStr">
        <is>
          <t>Ryzen 5 7600</t>
        </is>
      </c>
      <c r="C20" s="5" t="inlineStr">
        <is>
          <t>CPU</t>
        </is>
      </c>
      <c r="D20" s="2" t="n"/>
      <c r="E20" s="2" t="n"/>
      <c r="F20" s="2" t="n"/>
      <c r="G20" s="2" t="n"/>
      <c r="H20" s="9">
        <f>IFERROR(IF(INDEX(Dólar!$B:$B,MATCH(A20,Dólar!$A:$A,0))="","",INDEX(Dólar!$B:$B,MATCH(A20,Dólar!$A:$A,0))),"")</f>
        <v/>
      </c>
      <c r="I20" s="10">
        <f>IFERROR(INDEX(Dólar!$E:$E,MATCH(A20,Dólar!$A:$A,0)),"")</f>
        <v/>
      </c>
      <c r="J20" s="2" t="n"/>
      <c r="K20" s="5" t="n"/>
      <c r="L20" s="16">
        <f>IF(OR($K20="",D20=""),"",IF(COUNTIFS($B:$B,$B20,$A:$A,$K20,D:D,"&gt;=0")=0,"",D20-SUMIFS(D:D,$B:$B,$B20,$A:$A,$K20)))</f>
        <v/>
      </c>
      <c r="M20" s="16">
        <f>IF(OR($K20="",E20=""),"",IF(COUNTIFS($B:$B,$B20,$A:$A,$K20,E:E,"&gt;=0")=0,"",E20-SUMIFS(E:E,$B:$B,$B20,$A:$A,$K20)))</f>
        <v/>
      </c>
      <c r="N20" s="16">
        <f>IF(OR($K20="",F20=""),"",IF(COUNTIFS($B:$B,$B20,$A:$A,$K20,F:F,"&gt;=0")=0,"",F20-SUMIFS(F:F,$B:$B,$B20,$A:$A,$K20)))</f>
        <v/>
      </c>
      <c r="O20" s="16">
        <f>IF(OR($K20="",G20=""),"",IF(COUNTIFS($B:$B,$B20,$A:$A,$K20,G:G,"&gt;=0")=0,"",G20-SUMIFS(G:G,$B:$B,$B20,$A:$A,$K20)))</f>
        <v/>
      </c>
    </row>
    <row r="21">
      <c r="A21" s="15" t="n">
        <v>46306</v>
      </c>
      <c r="B21" s="5" t="inlineStr">
        <is>
          <t>RAM DDR4 16GB (2x8) 3200</t>
        </is>
      </c>
      <c r="C21" s="5" t="inlineStr">
        <is>
          <t>RAM</t>
        </is>
      </c>
      <c r="D21" s="2" t="n"/>
      <c r="E21" s="2" t="n"/>
      <c r="F21" s="8" t="n">
        <v>900</v>
      </c>
      <c r="G21" s="2" t="n"/>
      <c r="H21" s="9">
        <f>IFERROR(IF(INDEX(Dólar!$B:$B,MATCH(A21,Dólar!$A:$A,0))="","",INDEX(Dólar!$B:$B,MATCH(A21,Dólar!$A:$A,0))),"")</f>
        <v/>
      </c>
      <c r="I21" s="10">
        <f>IFERROR(INDEX(Dólar!$E:$E,MATCH(A21,Dólar!$A:$A,0)),"")</f>
        <v/>
      </c>
      <c r="J21" s="6" t="inlineStr">
        <is>
          <t>ver anuncio</t>
        </is>
      </c>
      <c r="K21" s="5" t="n"/>
      <c r="L21" s="16">
        <f>IF(OR($K21="",D21=""),"",IF(COUNTIFS($B:$B,$B21,$A:$A,$K21,D:D,"&gt;=0")=0,"",D21-SUMIFS(D:D,$B:$B,$B21,$A:$A,$K21)))</f>
        <v/>
      </c>
      <c r="M21" s="16">
        <f>IF(OR($K21="",E21=""),"",IF(COUNTIFS($B:$B,$B21,$A:$A,$K21,E:E,"&gt;=0")=0,"",E21-SUMIFS(E:E,$B:$B,$B21,$A:$A,$K21)))</f>
        <v/>
      </c>
      <c r="N21" s="16">
        <f>IF(OR($K21="",F21=""),"",IF(COUNTIFS($B:$B,$B21,$A:$A,$K21,F:F,"&gt;=0")=0,"",F21-SUMIFS(F:F,$B:$B,$B21,$A:$A,$K21)))</f>
        <v/>
      </c>
      <c r="O21" s="16">
        <f>IF(OR($K21="",G21=""),"",IF(COUNTIFS($B:$B,$B21,$A:$A,$K21,G:G,"&gt;=0")=0,"",G21-SUMIFS(G:G,$B:$B,$B21,$A:$A,$K21)))</f>
        <v/>
      </c>
    </row>
    <row r="22">
      <c r="A22" s="15" t="n">
        <v>46306</v>
      </c>
      <c r="B22" s="5" t="inlineStr">
        <is>
          <t>Intel Core i5-14400F</t>
        </is>
      </c>
      <c r="C22" s="5" t="inlineStr">
        <is>
          <t>CPU</t>
        </is>
      </c>
      <c r="D22" s="2" t="n"/>
      <c r="E22" s="2" t="n"/>
      <c r="F22" s="8" t="n">
        <v>2700</v>
      </c>
      <c r="G22" s="2" t="n"/>
      <c r="H22" s="9">
        <f>IFERROR(IF(INDEX(Dólar!$B:$B,MATCH(A22,Dólar!$A:$A,0))="","",INDEX(Dólar!$B:$B,MATCH(A22,Dólar!$A:$A,0))),"")</f>
        <v/>
      </c>
      <c r="I22" s="10">
        <f>IFERROR(INDEX(Dólar!$E:$E,MATCH(A22,Dólar!$A:$A,0)),"")</f>
        <v/>
      </c>
      <c r="J22" s="6" t="inlineStr">
        <is>
          <t>ver anuncio</t>
        </is>
      </c>
      <c r="K22" s="5" t="n"/>
      <c r="L22" s="16">
        <f>IF(OR($K22="",D22=""),"",IF(COUNTIFS($B:$B,$B22,$A:$A,$K22,D:D,"&gt;=0")=0,"",D22-SUMIFS(D:D,$B:$B,$B22,$A:$A,$K22)))</f>
        <v/>
      </c>
      <c r="M22" s="16">
        <f>IF(OR($K22="",E22=""),"",IF(COUNTIFS($B:$B,$B22,$A:$A,$K22,E:E,"&gt;=0")=0,"",E22-SUMIFS(E:E,$B:$B,$B22,$A:$A,$K22)))</f>
        <v/>
      </c>
      <c r="N22" s="16">
        <f>IF(OR($K22="",F22=""),"",IF(COUNTIFS($B:$B,$B22,$A:$A,$K22,F:F,"&gt;=0")=0,"",F22-SUMIFS(F:F,$B:$B,$B22,$A:$A,$K22)))</f>
        <v/>
      </c>
      <c r="O22" s="16">
        <f>IF(OR($K22="",G22=""),"",IF(COUNTIFS($B:$B,$B22,$A:$A,$K22,G:G,"&gt;=0")=0,"",G22-SUMIFS(G:G,$B:$B,$B22,$A:$A,$K22)))</f>
        <v/>
      </c>
    </row>
    <row r="23">
      <c r="A23" s="15" t="n">
        <v>46306</v>
      </c>
      <c r="B23" s="5" t="inlineStr">
        <is>
          <t>Intel Core i5-13400</t>
        </is>
      </c>
      <c r="C23" s="5" t="inlineStr">
        <is>
          <t>CPU</t>
        </is>
      </c>
      <c r="D23" s="2" t="n"/>
      <c r="E23" s="2" t="n"/>
      <c r="F23" s="2" t="n"/>
      <c r="G23" s="8" t="n">
        <v>2300</v>
      </c>
      <c r="H23" s="9">
        <f>IFERROR(IF(INDEX(Dólar!$B:$B,MATCH(A23,Dólar!$A:$A,0))="","",INDEX(Dólar!$B:$B,MATCH(A23,Dólar!$A:$A,0))),"")</f>
        <v/>
      </c>
      <c r="I23" s="10">
        <f>IFERROR(INDEX(Dólar!$E:$E,MATCH(A23,Dólar!$A:$A,0)),"")</f>
        <v/>
      </c>
      <c r="J23" s="6" t="inlineStr">
        <is>
          <t>ver anuncio</t>
        </is>
      </c>
      <c r="K23" s="5" t="n"/>
      <c r="L23" s="16">
        <f>IF(OR($K23="",D23=""),"",IF(COUNTIFS($B:$B,$B23,$A:$A,$K23,D:D,"&gt;=0")=0,"",D23-SUMIFS(D:D,$B:$B,$B23,$A:$A,$K23)))</f>
        <v/>
      </c>
      <c r="M23" s="16">
        <f>IF(OR($K23="",E23=""),"",IF(COUNTIFS($B:$B,$B23,$A:$A,$K23,E:E,"&gt;=0")=0,"",E23-SUMIFS(E:E,$B:$B,$B23,$A:$A,$K23)))</f>
        <v/>
      </c>
      <c r="N23" s="16">
        <f>IF(OR($K23="",F23=""),"",IF(COUNTIFS($B:$B,$B23,$A:$A,$K23,F:F,"&gt;=0")=0,"",F23-SUMIFS(F:F,$B:$B,$B23,$A:$A,$K23)))</f>
        <v/>
      </c>
      <c r="O23" s="16">
        <f>IF(OR($K23="",G23=""),"",IF(COUNTIFS($B:$B,$B23,$A:$A,$K23,G:G,"&gt;=0")=0,"",G23-SUMIFS(G:G,$B:$B,$B23,$A:$A,$K23)))</f>
        <v/>
      </c>
    </row>
    <row r="24">
      <c r="A24" s="15" t="n">
        <v>46306</v>
      </c>
      <c r="B24" s="5" t="inlineStr">
        <is>
          <t>Intel Core Ultra 7 265K</t>
        </is>
      </c>
      <c r="C24" s="5" t="inlineStr">
        <is>
          <t>CPU</t>
        </is>
      </c>
      <c r="D24" s="2" t="n"/>
      <c r="E24" s="2" t="n"/>
      <c r="F24" s="2" t="n"/>
      <c r="G24" s="8" t="n">
        <v>3950</v>
      </c>
      <c r="H24" s="9">
        <f>IFERROR(IF(INDEX(Dólar!$B:$B,MATCH(A24,Dólar!$A:$A,0))="","",INDEX(Dólar!$B:$B,MATCH(A24,Dólar!$A:$A,0))),"")</f>
        <v/>
      </c>
      <c r="I24" s="10">
        <f>IFERROR(INDEX(Dólar!$E:$E,MATCH(A24,Dólar!$A:$A,0)),"")</f>
        <v/>
      </c>
      <c r="J24" s="6" t="inlineStr">
        <is>
          <t>ver anuncio</t>
        </is>
      </c>
      <c r="K24" s="5" t="n"/>
      <c r="L24" s="16">
        <f>IF(OR($K24="",D24=""),"",IF(COUNTIFS($B:$B,$B24,$A:$A,$K24,D:D,"&gt;=0")=0,"",D24-SUMIFS(D:D,$B:$B,$B24,$A:$A,$K24)))</f>
        <v/>
      </c>
      <c r="M24" s="16">
        <f>IF(OR($K24="",E24=""),"",IF(COUNTIFS($B:$B,$B24,$A:$A,$K24,E:E,"&gt;=0")=0,"",E24-SUMIFS(E:E,$B:$B,$B24,$A:$A,$K24)))</f>
        <v/>
      </c>
      <c r="N24" s="16">
        <f>IF(OR($K24="",F24=""),"",IF(COUNTIFS($B:$B,$B24,$A:$A,$K24,F:F,"&gt;=0")=0,"",F24-SUMIFS(F:F,$B:$B,$B24,$A:$A,$K24)))</f>
        <v/>
      </c>
      <c r="O24" s="16">
        <f>IF(OR($K24="",G24=""),"",IF(COUNTIFS($B:$B,$B24,$A:$A,$K24,G:G,"&gt;=0")=0,"",G24-SUMIFS(G:G,$B:$B,$B24,$A:$A,$K24)))</f>
        <v/>
      </c>
    </row>
    <row r="25">
      <c r="A25" s="15" t="n">
        <v>46306</v>
      </c>
      <c r="B25" s="5" t="inlineStr">
        <is>
          <t>Corsair Vengeance RGB DDR5 32GB (2x16) 6000</t>
        </is>
      </c>
      <c r="C25" s="5" t="inlineStr">
        <is>
          <t>RAM</t>
        </is>
      </c>
      <c r="D25" s="2" t="n"/>
      <c r="E25" s="2" t="n"/>
      <c r="F25" s="8" t="n">
        <v>6200</v>
      </c>
      <c r="G25" s="2" t="n"/>
      <c r="H25" s="9">
        <f>IFERROR(IF(INDEX(Dólar!$B:$B,MATCH(A25,Dólar!$A:$A,0))="","",INDEX(Dólar!$B:$B,MATCH(A25,Dólar!$A:$A,0))),"")</f>
        <v/>
      </c>
      <c r="I25" s="10">
        <f>IFERROR(INDEX(Dólar!$E:$E,MATCH(A25,Dólar!$A:$A,0)),"")</f>
        <v/>
      </c>
      <c r="J25" s="6" t="inlineStr">
        <is>
          <t>ver anuncio</t>
        </is>
      </c>
      <c r="K25" s="5" t="n"/>
      <c r="L25" s="16">
        <f>IF(OR($K25="",D25=""),"",IF(COUNTIFS($B:$B,$B25,$A:$A,$K25,D:D,"&gt;=0")=0,"",D25-SUMIFS(D:D,$B:$B,$B25,$A:$A,$K25)))</f>
        <v/>
      </c>
      <c r="M25" s="16">
        <f>IF(OR($K25="",E25=""),"",IF(COUNTIFS($B:$B,$B25,$A:$A,$K25,E:E,"&gt;=0")=0,"",E25-SUMIFS(E:E,$B:$B,$B25,$A:$A,$K25)))</f>
        <v/>
      </c>
      <c r="N25" s="16">
        <f>IF(OR($K25="",F25=""),"",IF(COUNTIFS($B:$B,$B25,$A:$A,$K25,F:F,"&gt;=0")=0,"",F25-SUMIFS(F:F,$B:$B,$B25,$A:$A,$K25)))</f>
        <v/>
      </c>
      <c r="O25" s="16">
        <f>IF(OR($K25="",G25=""),"",IF(COUNTIFS($B:$B,$B25,$A:$A,$K25,G:G,"&gt;=0")=0,"",G25-SUMIFS(G:G,$B:$B,$B25,$A:$A,$K25)))</f>
        <v/>
      </c>
    </row>
  </sheetData>
  <conditionalFormatting sqref="L2:M25">
    <cfRule type="cellIs" priority="1" operator="greaterThan" dxfId="2">
      <formula>0</formula>
    </cfRule>
    <cfRule type="cellIs" priority="2" operator="lessThan" dxfId="0">
      <formula>0</formula>
    </cfRule>
  </conditionalFormatting>
  <conditionalFormatting sqref="N2:O25">
    <cfRule type="cellIs" priority="3" operator="greaterThan" dxfId="0">
      <formula>0</formula>
    </cfRule>
    <cfRule type="cellIs" priority="4" operator="lessThan" dxfId="2">
      <formula>0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1" r:id="rId19"/>
    <hyperlink xmlns:r="http://schemas.openxmlformats.org/officeDocument/2006/relationships" ref="J22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  <tableParts count="1">
    <tablePart xmlns:r="http://schemas.openxmlformats.org/officeDocument/2006/relationships" r:id="rId2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</cols>
  <sheetData>
    <row r="1">
      <c r="A1" s="17" t="inlineStr">
        <is>
          <t>Supuestos del cálculo (celdas azules: se pueden cambiar)</t>
        </is>
      </c>
      <c r="B1" s="2" t="n"/>
    </row>
    <row r="2">
      <c r="A2" s="2" t="n"/>
      <c r="B2" s="2" t="n"/>
    </row>
    <row r="3">
      <c r="A3" s="5" t="inlineStr">
        <is>
          <t>Unidades por pedido</t>
        </is>
      </c>
      <c r="B3" s="18" t="n">
        <v>2</v>
      </c>
    </row>
    <row r="4">
      <c r="A4" s="5" t="inlineStr">
        <is>
          <t>Courier B: USD por kg</t>
        </is>
      </c>
      <c r="B4" s="19" t="n">
        <v>28</v>
      </c>
    </row>
    <row r="5">
      <c r="A5" s="5" t="inlineStr">
        <is>
          <t>Courier B: mínimo kg</t>
        </is>
      </c>
      <c r="B5" s="20" t="n">
        <v>1</v>
      </c>
    </row>
    <row r="6">
      <c r="A6" s="5" t="inlineStr">
        <is>
          <t>Courier B: salto kg</t>
        </is>
      </c>
      <c r="B6" s="20" t="n">
        <v>0.5</v>
      </c>
    </row>
    <row r="7">
      <c r="A7" s="5" t="inlineStr">
        <is>
          <t>Caja exterior + relleno, g</t>
        </is>
      </c>
      <c r="B7" s="18" t="n">
        <v>300</v>
      </c>
    </row>
    <row r="8">
      <c r="A8" s="5" t="inlineStr">
        <is>
          <t>Courier A: USD por producto</t>
        </is>
      </c>
      <c r="B8" s="19" t="n">
        <v>10</v>
      </c>
    </row>
    <row r="9">
      <c r="A9" s="5" t="inlineStr">
        <is>
          <t>Courier A: sales tax</t>
        </is>
      </c>
      <c r="B9" s="21" t="n">
        <v>0.07000000000000001</v>
      </c>
    </row>
    <row r="10">
      <c r="A10" s="5" t="inlineStr">
        <is>
          <t>Aduana boliviana (sin confirmar)</t>
        </is>
      </c>
      <c r="B10" s="22" t="n">
        <v>0</v>
      </c>
    </row>
    <row r="11">
      <c r="A11" s="5" t="inlineStr">
        <is>
          <t>Dólar para cálculos, Bs/USD</t>
        </is>
      </c>
      <c r="B11" s="9">
        <f>INDEX(Dólar!$F:$F,MATCH(MAX(Dólar!$A:$A),Dólar!$A:$A,0))</f>
        <v/>
      </c>
    </row>
    <row r="12">
      <c r="A12" s="5" t="inlineStr">
        <is>
          <t>Umbral 'Conviene'</t>
        </is>
      </c>
      <c r="B12" s="23" t="n">
        <v>0.15</v>
      </c>
    </row>
    <row r="13">
      <c r="A13" s="5" t="inlineStr">
        <is>
          <t>Umbral 'Justo'</t>
        </is>
      </c>
      <c r="B13" s="23" t="n">
        <v>0.05</v>
      </c>
    </row>
    <row r="14">
      <c r="A14" s="2" t="n"/>
      <c r="B14" s="2" t="n"/>
    </row>
    <row r="15">
      <c r="A15" s="3" t="inlineStr">
        <is>
          <t>Fuente de los supuestos: CLAUDE.md (couriers del usuario). Dólar: hoja Dólar (BCB y paralelo P2P).</t>
        </is>
      </c>
      <c r="B15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5" customWidth="1" min="4" max="4"/>
    <col width="16" customWidth="1" min="5" max="5"/>
    <col width="16" customWidth="1" min="6" max="6"/>
    <col width="80" customWidth="1" min="7" max="7"/>
  </cols>
  <sheetData>
    <row r="1" ht="30" customHeight="1">
      <c r="A1" s="4" t="inlineStr">
        <is>
          <t>Fecha</t>
        </is>
      </c>
      <c r="B1" s="4" t="inlineStr">
        <is>
          <t>Oficial BCB</t>
        </is>
      </c>
      <c r="C1" s="4" t="inlineStr">
        <is>
          <t>Paralelo compra</t>
        </is>
      </c>
      <c r="D1" s="4" t="inlineStr">
        <is>
          <t>Paralelo venta</t>
        </is>
      </c>
      <c r="E1" s="4" t="inlineStr">
        <is>
          <t>Paralelo promedio</t>
        </is>
      </c>
      <c r="F1" s="4" t="inlineStr">
        <is>
          <t>Usado en cálculos</t>
        </is>
      </c>
      <c r="G1" s="4" t="inlineStr">
        <is>
          <t>Fuente</t>
        </is>
      </c>
    </row>
    <row r="2">
      <c r="A2" s="24" t="n">
        <v>46305</v>
      </c>
      <c r="B2" s="19" t="n">
        <v>11.73</v>
      </c>
      <c r="C2" s="19" t="n">
        <v>11.86</v>
      </c>
      <c r="D2" s="19" t="n">
        <v>11.91</v>
      </c>
      <c r="E2" s="10">
        <f>IF(COUNT(C2:D2)=2,AVERAGE(C2:D2),"")</f>
        <v/>
      </c>
      <c r="F2" s="19" t="n">
        <v>11.9</v>
      </c>
      <c r="G2" s="5" t="inlineStr">
        <is>
          <t>referencia del usuario (CLAUDE.md)</t>
        </is>
      </c>
    </row>
    <row r="3">
      <c r="A3" s="24" t="n">
        <v>46306</v>
      </c>
      <c r="B3" s="2" t="n"/>
      <c r="C3" s="2" t="n"/>
      <c r="D3" s="2" t="n"/>
      <c r="E3" s="10">
        <f>IF(COUNT(C3:D3)=2,AVERAGE(C3:D3),"")</f>
        <v/>
      </c>
      <c r="F3" s="19" t="n">
        <v>11.9</v>
      </c>
      <c r="G3" s="5" t="inlineStr">
        <is>
          <t>sin cotización del día: se usó la referencia del 10/10 (estimado)</t>
        </is>
      </c>
    </row>
    <row r="4">
      <c r="A4" s="24" t="n">
        <v>46307</v>
      </c>
      <c r="B4" s="19" t="n">
        <v>11.73</v>
      </c>
      <c r="C4" s="19" t="n">
        <v>11.86</v>
      </c>
      <c r="D4" s="19" t="n">
        <v>11.83</v>
      </c>
      <c r="E4" s="10">
        <f>IF(COUNT(C4:D4)=2,AVERAGE(C4:D4),"")</f>
        <v/>
      </c>
      <c r="F4" s="19" t="n">
        <v>11.85</v>
      </c>
      <c r="G4" s="5" t="inlineStr">
        <is>
          <t>BCB oficial del 12/10 (Red Uno); paralelo dolarbolivia.net 12/10 08:50 (promedio de 8 plataformas P2P); usado = promedio del paralelo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40" customWidth="1" min="3" max="3"/>
    <col width="36" customWidth="1" min="4" max="4"/>
    <col width="11" customWidth="1" min="5" max="5"/>
    <col width="8" customWidth="1" min="6" max="6"/>
    <col width="60" customWidth="1" min="7" max="7"/>
    <col width="14" customWidth="1" min="8" max="8"/>
  </cols>
  <sheetData>
    <row r="1" ht="30" customHeight="1">
      <c r="A1" s="4" t="inlineStr">
        <is>
          <t>Fecha</t>
        </is>
      </c>
      <c r="B1" s="4" t="inlineStr">
        <is>
          <t>Origen</t>
        </is>
      </c>
      <c r="C1" s="4" t="inlineStr">
        <is>
          <t>Producto</t>
        </is>
      </c>
      <c r="D1" s="4" t="inlineStr">
        <is>
          <t>Condición / vendedor</t>
        </is>
      </c>
      <c r="E1" s="4" t="inlineStr">
        <is>
          <t>Precio</t>
        </is>
      </c>
      <c r="F1" s="4" t="inlineStr">
        <is>
          <t>Moneda</t>
        </is>
      </c>
      <c r="G1" s="4" t="inlineStr">
        <is>
          <t>Detalle</t>
        </is>
      </c>
      <c r="H1" s="4" t="inlineStr">
        <is>
          <t>Link</t>
        </is>
      </c>
    </row>
    <row r="2">
      <c r="A2" s="15" t="n">
        <v>46307</v>
      </c>
      <c r="B2" s="5" t="inlineStr">
        <is>
          <t>eBay</t>
        </is>
      </c>
      <c r="C2" s="5" t="inlineStr">
        <is>
          <t>Ryzen 5 5600</t>
        </is>
      </c>
      <c r="D2" s="5" t="inlineStr">
        <is>
          <t>nuevo</t>
        </is>
      </c>
      <c r="E2" s="11" t="n">
        <v>159.99</v>
      </c>
      <c r="F2" s="5" t="inlineStr">
        <is>
          <t>USD</t>
        </is>
      </c>
      <c r="G2" s="5" t="inlineStr">
        <is>
          <t>eBay vía Chrome, vendedor en EE.UU. (PC de la casa); envío gratis</t>
        </is>
      </c>
      <c r="H2" s="6" t="inlineStr">
        <is>
          <t>ver</t>
        </is>
      </c>
    </row>
    <row r="3">
      <c r="A3" s="15" t="n">
        <v>46307</v>
      </c>
      <c r="B3" s="5" t="inlineStr">
        <is>
          <t>eBay</t>
        </is>
      </c>
      <c r="C3" s="5" t="inlineStr">
        <is>
          <t>Ryzen 5 5600</t>
        </is>
      </c>
      <c r="D3" s="5" t="inlineStr">
        <is>
          <t>usado</t>
        </is>
      </c>
      <c r="E3" s="11" t="n">
        <v>124.68</v>
      </c>
      <c r="F3" s="5" t="inlineStr">
        <is>
          <t>USD</t>
        </is>
      </c>
      <c r="G3" s="5" t="inlineStr">
        <is>
          <t>eBay vía Chrome, vendedor en EE.UU. (PC de la casa)</t>
        </is>
      </c>
      <c r="H3" s="6" t="inlineStr">
        <is>
          <t>ver</t>
        </is>
      </c>
    </row>
    <row r="4">
      <c r="A4" s="15" t="n">
        <v>46307</v>
      </c>
      <c r="B4" s="5" t="inlineStr">
        <is>
          <t>eBay</t>
        </is>
      </c>
      <c r="C4" s="5" t="inlineStr">
        <is>
          <t>Ryzen 7 5700X3D</t>
        </is>
      </c>
      <c r="D4" s="5" t="inlineStr">
        <is>
          <t>usado</t>
        </is>
      </c>
      <c r="E4" s="11" t="n">
        <v>305.79</v>
      </c>
      <c r="F4" s="5" t="inlineStr">
        <is>
          <t>USD</t>
        </is>
      </c>
      <c r="G4" s="5" t="inlineStr">
        <is>
          <t>eBay vía Chrome, vendedor en EE.UU. (PC de la casa); no hay nuevos de vendedores de EE.UU.</t>
        </is>
      </c>
      <c r="H4" s="6" t="inlineStr">
        <is>
          <t>ver</t>
        </is>
      </c>
    </row>
    <row r="5">
      <c r="A5" s="15" t="n">
        <v>46307</v>
      </c>
      <c r="B5" s="5" t="inlineStr">
        <is>
          <t>eBay</t>
        </is>
      </c>
      <c r="C5" s="5" t="inlineStr">
        <is>
          <t>Ryzen 5 7600</t>
        </is>
      </c>
      <c r="D5" s="5" t="inlineStr">
        <is>
          <t>nuevo</t>
        </is>
      </c>
      <c r="E5" s="11" t="n">
        <v>137.04</v>
      </c>
      <c r="F5" s="5" t="inlineStr">
        <is>
          <t>USD</t>
        </is>
      </c>
      <c r="G5" s="5" t="inlineStr">
        <is>
          <t>eBay vía Chrome, vendedor en EE.UU. (PC de la casa); tray/OEM; en caja USD 240,53</t>
        </is>
      </c>
      <c r="H5" s="6" t="inlineStr">
        <is>
          <t>ver</t>
        </is>
      </c>
    </row>
    <row r="6">
      <c r="A6" s="15" t="n">
        <v>46307</v>
      </c>
      <c r="B6" s="5" t="inlineStr">
        <is>
          <t>eBay</t>
        </is>
      </c>
      <c r="C6" s="5" t="inlineStr">
        <is>
          <t>Ryzen 5 7600</t>
        </is>
      </c>
      <c r="D6" s="5" t="inlineStr">
        <is>
          <t>usado</t>
        </is>
      </c>
      <c r="E6" s="11" t="n">
        <v>120.99</v>
      </c>
      <c r="F6" s="5" t="inlineStr">
        <is>
          <t>USD</t>
        </is>
      </c>
      <c r="G6" s="5" t="inlineStr">
        <is>
          <t>eBay vía Chrome, vendedor en EE.UU. (PC de la casa)</t>
        </is>
      </c>
      <c r="H6" s="6" t="inlineStr">
        <is>
          <t>ver</t>
        </is>
      </c>
    </row>
    <row r="7">
      <c r="A7" s="15" t="n">
        <v>46307</v>
      </c>
      <c r="B7" s="5" t="inlineStr">
        <is>
          <t>eBay</t>
        </is>
      </c>
      <c r="C7" s="5" t="inlineStr">
        <is>
          <t>Ryzen 7 7800X3D</t>
        </is>
      </c>
      <c r="D7" s="5" t="inlineStr">
        <is>
          <t>nuevo</t>
        </is>
      </c>
      <c r="E7" s="11" t="n">
        <v>320</v>
      </c>
      <c r="F7" s="5" t="inlineStr">
        <is>
          <t>USD</t>
        </is>
      </c>
      <c r="G7" s="5" t="inlineStr">
        <is>
          <t>eBay vía Chrome, vendedor en EE.UU. (PC de la casa); envío gratis</t>
        </is>
      </c>
      <c r="H7" s="6" t="inlineStr">
        <is>
          <t>ver</t>
        </is>
      </c>
    </row>
    <row r="8">
      <c r="A8" s="15" t="n">
        <v>46307</v>
      </c>
      <c r="B8" s="5" t="inlineStr">
        <is>
          <t>eBay</t>
        </is>
      </c>
      <c r="C8" s="5" t="inlineStr">
        <is>
          <t>Ryzen 7 7800X3D</t>
        </is>
      </c>
      <c r="D8" s="5" t="inlineStr">
        <is>
          <t>usado</t>
        </is>
      </c>
      <c r="E8" s="11" t="n">
        <v>282.52</v>
      </c>
      <c r="F8" s="5" t="inlineStr">
        <is>
          <t>USD</t>
        </is>
      </c>
      <c r="G8" s="5" t="inlineStr">
        <is>
          <t>eBay vía Chrome, vendedor en EE.UU. (PC de la casa)</t>
        </is>
      </c>
      <c r="H8" s="6" t="inlineStr">
        <is>
          <t>ver</t>
        </is>
      </c>
    </row>
    <row r="9">
      <c r="A9" s="15" t="n">
        <v>46307</v>
      </c>
      <c r="B9" s="5" t="inlineStr">
        <is>
          <t>eBay</t>
        </is>
      </c>
      <c r="C9" s="5" t="inlineStr">
        <is>
          <t>Ryzen 9 9950X</t>
        </is>
      </c>
      <c r="D9" s="5" t="inlineStr">
        <is>
          <t>nuevo</t>
        </is>
      </c>
      <c r="E9" s="11" t="n">
        <v>512.1</v>
      </c>
      <c r="F9" s="5" t="inlineStr">
        <is>
          <t>USD</t>
        </is>
      </c>
      <c r="G9" s="5" t="inlineStr">
        <is>
          <t>eBay vía Chrome, vendedor en EE.UU. (PC de la casa)</t>
        </is>
      </c>
      <c r="H9" s="6" t="inlineStr">
        <is>
          <t>ver</t>
        </is>
      </c>
    </row>
    <row r="10">
      <c r="A10" s="15" t="n">
        <v>46307</v>
      </c>
      <c r="B10" s="5" t="inlineStr">
        <is>
          <t>eBay</t>
        </is>
      </c>
      <c r="C10" s="5" t="inlineStr">
        <is>
          <t>Ryzen 9 9950X</t>
        </is>
      </c>
      <c r="D10" s="5" t="inlineStr">
        <is>
          <t>usado</t>
        </is>
      </c>
      <c r="E10" s="11" t="n">
        <v>410</v>
      </c>
      <c r="F10" s="5" t="inlineStr">
        <is>
          <t>USD</t>
        </is>
      </c>
      <c r="G10" s="5" t="inlineStr">
        <is>
          <t>eBay vía Chrome, vendedor en EE.UU. (PC de la casa)</t>
        </is>
      </c>
      <c r="H10" s="6" t="inlineStr">
        <is>
          <t>ver</t>
        </is>
      </c>
    </row>
    <row r="11">
      <c r="A11" s="15" t="n">
        <v>46307</v>
      </c>
      <c r="B11" s="5" t="inlineStr">
        <is>
          <t>eBay</t>
        </is>
      </c>
      <c r="C11" s="5" t="inlineStr">
        <is>
          <t>Intel Core i5-12400F</t>
        </is>
      </c>
      <c r="D11" s="5" t="inlineStr">
        <is>
          <t>nuevo</t>
        </is>
      </c>
      <c r="E11" s="11" t="n">
        <v>159.95</v>
      </c>
      <c r="F11" s="5" t="inlineStr">
        <is>
          <t>USD</t>
        </is>
      </c>
      <c r="G11" s="5" t="inlineStr">
        <is>
          <t>eBay vía Chrome, vendedor en EE.UU. (PC de la casa); en caja, envío gratis</t>
        </is>
      </c>
      <c r="H11" s="6" t="inlineStr">
        <is>
          <t>ver</t>
        </is>
      </c>
    </row>
    <row r="12">
      <c r="A12" s="15" t="n">
        <v>46307</v>
      </c>
      <c r="B12" s="5" t="inlineStr">
        <is>
          <t>eBay</t>
        </is>
      </c>
      <c r="C12" s="5" t="inlineStr">
        <is>
          <t>Intel Core i5-12400F</t>
        </is>
      </c>
      <c r="D12" s="5" t="inlineStr">
        <is>
          <t>usado</t>
        </is>
      </c>
      <c r="E12" s="11" t="n">
        <v>124.99</v>
      </c>
      <c r="F12" s="5" t="inlineStr">
        <is>
          <t>USD</t>
        </is>
      </c>
      <c r="G12" s="5" t="inlineStr">
        <is>
          <t>eBay vía Chrome, vendedor en EE.UU. (PC de la casa)</t>
        </is>
      </c>
      <c r="H12" s="6" t="inlineStr">
        <is>
          <t>ver</t>
        </is>
      </c>
    </row>
    <row r="13">
      <c r="A13" s="15" t="n">
        <v>46307</v>
      </c>
      <c r="B13" s="5" t="inlineStr">
        <is>
          <t>eBay</t>
        </is>
      </c>
      <c r="C13" s="5" t="inlineStr">
        <is>
          <t>Intel Core i5-13400</t>
        </is>
      </c>
      <c r="D13" s="5" t="inlineStr">
        <is>
          <t>nuevo</t>
        </is>
      </c>
      <c r="E13" s="11" t="n">
        <v>259.78</v>
      </c>
      <c r="F13" s="5" t="inlineStr">
        <is>
          <t>USD</t>
        </is>
      </c>
      <c r="G13" s="5" t="inlineStr">
        <is>
          <t>eBay vía Chrome, vendedor en EE.UU. (PC de la casa); tray/OEM; pocos anuncios</t>
        </is>
      </c>
      <c r="H13" s="6" t="inlineStr">
        <is>
          <t>ver</t>
        </is>
      </c>
    </row>
    <row r="14">
      <c r="A14" s="15" t="n">
        <v>46307</v>
      </c>
      <c r="B14" s="5" t="inlineStr">
        <is>
          <t>eBay</t>
        </is>
      </c>
      <c r="C14" s="5" t="inlineStr">
        <is>
          <t>Intel Core i5-13400</t>
        </is>
      </c>
      <c r="D14" s="5" t="inlineStr">
        <is>
          <t>usado</t>
        </is>
      </c>
      <c r="E14" s="11" t="n">
        <v>155.72</v>
      </c>
      <c r="F14" s="5" t="inlineStr">
        <is>
          <t>USD</t>
        </is>
      </c>
      <c r="G14" s="5" t="inlineStr">
        <is>
          <t>eBay vía Chrome, vendedor en EE.UU. (PC de la casa)</t>
        </is>
      </c>
      <c r="H14" s="6" t="inlineStr">
        <is>
          <t>ver</t>
        </is>
      </c>
    </row>
    <row r="15">
      <c r="A15" s="15" t="n">
        <v>46307</v>
      </c>
      <c r="B15" s="5" t="inlineStr">
        <is>
          <t>eBay</t>
        </is>
      </c>
      <c r="C15" s="5" t="inlineStr">
        <is>
          <t>Intel Core i5-14400F</t>
        </is>
      </c>
      <c r="D15" s="5" t="inlineStr">
        <is>
          <t>nuevo</t>
        </is>
      </c>
      <c r="E15" s="11" t="n">
        <v>164.49</v>
      </c>
      <c r="F15" s="5" t="inlineStr">
        <is>
          <t>USD</t>
        </is>
      </c>
      <c r="G15" s="5" t="inlineStr">
        <is>
          <t>eBay vía Chrome, vendedor en EE.UU. (PC de la casa); envío gratis</t>
        </is>
      </c>
      <c r="H15" s="6" t="inlineStr">
        <is>
          <t>ver</t>
        </is>
      </c>
    </row>
    <row r="16">
      <c r="A16" s="15" t="n">
        <v>46307</v>
      </c>
      <c r="B16" s="5" t="inlineStr">
        <is>
          <t>eBay</t>
        </is>
      </c>
      <c r="C16" s="5" t="inlineStr">
        <is>
          <t>Intel Core i5-14400F</t>
        </is>
      </c>
      <c r="D16" s="5" t="inlineStr">
        <is>
          <t>usado</t>
        </is>
      </c>
      <c r="E16" s="11" t="n">
        <v>139.99</v>
      </c>
      <c r="F16" s="5" t="inlineStr">
        <is>
          <t>USD</t>
        </is>
      </c>
      <c r="G16" s="5" t="inlineStr">
        <is>
          <t>eBay vía Chrome, vendedor en EE.UU. (PC de la casa)</t>
        </is>
      </c>
      <c r="H16" s="6" t="inlineStr">
        <is>
          <t>ver</t>
        </is>
      </c>
    </row>
    <row r="17">
      <c r="A17" s="15" t="n">
        <v>46307</v>
      </c>
      <c r="B17" s="5" t="inlineStr">
        <is>
          <t>eBay</t>
        </is>
      </c>
      <c r="C17" s="5" t="inlineStr">
        <is>
          <t>Intel Core Ultra 7 265K</t>
        </is>
      </c>
      <c r="D17" s="5" t="inlineStr">
        <is>
          <t>nuevo</t>
        </is>
      </c>
      <c r="E17" s="11" t="n">
        <v>244.88</v>
      </c>
      <c r="F17" s="5" t="inlineStr">
        <is>
          <t>USD</t>
        </is>
      </c>
      <c r="G17" s="5" t="inlineStr">
        <is>
          <t>eBay vía Chrome, vendedor en EE.UU. (PC de la casa); envío gratis</t>
        </is>
      </c>
      <c r="H17" s="6" t="inlineStr">
        <is>
          <t>ver</t>
        </is>
      </c>
    </row>
    <row r="18">
      <c r="A18" s="15" t="n">
        <v>46307</v>
      </c>
      <c r="B18" s="5" t="inlineStr">
        <is>
          <t>eBay</t>
        </is>
      </c>
      <c r="C18" s="5" t="inlineStr">
        <is>
          <t>Intel Core Ultra 7 265K</t>
        </is>
      </c>
      <c r="D18" s="5" t="inlineStr">
        <is>
          <t>usado</t>
        </is>
      </c>
      <c r="E18" s="11" t="n">
        <v>199.99</v>
      </c>
      <c r="F18" s="5" t="inlineStr">
        <is>
          <t>USD</t>
        </is>
      </c>
      <c r="G18" s="5" t="inlineStr">
        <is>
          <t>eBay vía Chrome, vendedor en EE.UU. (PC de la casa)</t>
        </is>
      </c>
      <c r="H18" s="6" t="inlineStr">
        <is>
          <t>ver</t>
        </is>
      </c>
    </row>
    <row r="19">
      <c r="A19" s="15" t="n">
        <v>46307</v>
      </c>
      <c r="B19" s="5" t="inlineStr">
        <is>
          <t>eBay</t>
        </is>
      </c>
      <c r="C19" s="5" t="inlineStr">
        <is>
          <t>Corsair Vengeance RGB DDR5 32GB (2x16) 5600</t>
        </is>
      </c>
      <c r="D19" s="5" t="inlineStr">
        <is>
          <t>nuevo</t>
        </is>
      </c>
      <c r="E19" s="11" t="n">
        <v>429</v>
      </c>
      <c r="F19" s="5" t="inlineStr">
        <is>
          <t>USD</t>
        </is>
      </c>
      <c r="G19" s="5" t="inlineStr">
        <is>
          <t>eBay vía Chrome, vendedor en EE.UU. (PC de la casa); OPEN BOX (no hay nuevo de vendedor de EE.UU.)</t>
        </is>
      </c>
      <c r="H19" s="6" t="inlineStr">
        <is>
          <t>ver</t>
        </is>
      </c>
    </row>
    <row r="20">
      <c r="A20" s="15" t="n">
        <v>46307</v>
      </c>
      <c r="B20" s="5" t="inlineStr">
        <is>
          <t>eBay</t>
        </is>
      </c>
      <c r="C20" s="5" t="inlineStr">
        <is>
          <t>Corsair Vengeance RGB DDR5 32GB (2x16) 5600</t>
        </is>
      </c>
      <c r="D20" s="5" t="inlineStr">
        <is>
          <t>usado</t>
        </is>
      </c>
      <c r="E20" s="11" t="n">
        <v>399.99</v>
      </c>
      <c r="F20" s="5" t="inlineStr">
        <is>
          <t>USD</t>
        </is>
      </c>
      <c r="G20" s="5" t="inlineStr">
        <is>
          <t>eBay vía Chrome, vendedor en EE.UU. (PC de la casa)</t>
        </is>
      </c>
      <c r="H20" s="6" t="inlineStr">
        <is>
          <t>ver</t>
        </is>
      </c>
    </row>
    <row r="21">
      <c r="A21" s="15" t="n">
        <v>46307</v>
      </c>
      <c r="B21" s="5" t="inlineStr">
        <is>
          <t>eBay</t>
        </is>
      </c>
      <c r="C21" s="5" t="inlineStr">
        <is>
          <t>Corsair Vengeance RGB DDR5 32GB (2x16) 6000</t>
        </is>
      </c>
      <c r="D21" s="5" t="inlineStr">
        <is>
          <t>nuevo</t>
        </is>
      </c>
      <c r="E21" s="11" t="n">
        <v>430.99</v>
      </c>
      <c r="F21" s="5" t="inlineStr">
        <is>
          <t>USD</t>
        </is>
      </c>
      <c r="G21" s="5" t="inlineStr">
        <is>
          <t>eBay vía Chrome, vendedor en EE.UU. (PC de la casa); Vengeance RGB RS</t>
        </is>
      </c>
      <c r="H21" s="6" t="inlineStr">
        <is>
          <t>ver</t>
        </is>
      </c>
    </row>
    <row r="22">
      <c r="A22" s="15" t="n">
        <v>46307</v>
      </c>
      <c r="B22" s="5" t="inlineStr">
        <is>
          <t>eBay</t>
        </is>
      </c>
      <c r="C22" s="5" t="inlineStr">
        <is>
          <t>Corsair Vengeance RGB DDR5 32GB (2x16) 6000</t>
        </is>
      </c>
      <c r="D22" s="5" t="inlineStr">
        <is>
          <t>usado</t>
        </is>
      </c>
      <c r="E22" s="11" t="n">
        <v>399.95</v>
      </c>
      <c r="F22" s="5" t="inlineStr">
        <is>
          <t>USD</t>
        </is>
      </c>
      <c r="G22" s="5" t="inlineStr">
        <is>
          <t>eBay vía Chrome, vendedor en EE.UU. (PC de la casa)</t>
        </is>
      </c>
      <c r="H22" s="6" t="inlineStr">
        <is>
          <t>ver</t>
        </is>
      </c>
    </row>
    <row r="23">
      <c r="A23" s="15" t="n">
        <v>46307</v>
      </c>
      <c r="B23" s="5" t="inlineStr">
        <is>
          <t>eBay</t>
        </is>
      </c>
      <c r="C23" s="5" t="inlineStr">
        <is>
          <t>RAM DDR4 16GB (2x8) 3200</t>
        </is>
      </c>
      <c r="D23" s="5" t="inlineStr">
        <is>
          <t>nuevo</t>
        </is>
      </c>
      <c r="E23" s="11" t="n">
        <v>97.48999999999999</v>
      </c>
      <c r="F23" s="5" t="inlineStr">
        <is>
          <t>USD</t>
        </is>
      </c>
      <c r="G23" s="5" t="inlineStr">
        <is>
          <t>eBay vía Chrome, vendedor en EE.UU. (PC de la casa); G.Skill Ripjaws V 2x8</t>
        </is>
      </c>
      <c r="H23" s="6" t="inlineStr">
        <is>
          <t>ver</t>
        </is>
      </c>
    </row>
    <row r="24">
      <c r="A24" s="15" t="n">
        <v>46307</v>
      </c>
      <c r="B24" s="5" t="inlineStr">
        <is>
          <t>eBay</t>
        </is>
      </c>
      <c r="C24" s="5" t="inlineStr">
        <is>
          <t>RAM DDR4 16GB (2x8) 3200</t>
        </is>
      </c>
      <c r="D24" s="5" t="inlineStr">
        <is>
          <t>usado</t>
        </is>
      </c>
      <c r="E24" s="11" t="n">
        <v>65.70999999999999</v>
      </c>
      <c r="F24" s="5" t="inlineStr">
        <is>
          <t>USD</t>
        </is>
      </c>
      <c r="G24" s="5" t="inlineStr">
        <is>
          <t>eBay vía Chrome, vendedor en EE.UU. (PC de la casa); Micron 2x8</t>
        </is>
      </c>
      <c r="H24" s="6" t="inlineStr">
        <is>
          <t>ver</t>
        </is>
      </c>
    </row>
    <row r="25">
      <c r="A25" s="15" t="n">
        <v>46307</v>
      </c>
      <c r="B25" s="5" t="inlineStr">
        <is>
          <t>eBay</t>
        </is>
      </c>
      <c r="C25" s="5" t="inlineStr">
        <is>
          <t>SSD NVMe 1TB</t>
        </is>
      </c>
      <c r="D25" s="5" t="inlineStr">
        <is>
          <t>nuevo</t>
        </is>
      </c>
      <c r="E25" s="11" t="n">
        <v>144.99</v>
      </c>
      <c r="F25" s="5" t="inlineStr">
        <is>
          <t>USD</t>
        </is>
      </c>
      <c r="G25" s="5" t="inlineStr">
        <is>
          <t>eBay vía Chrome, vendedor en EE.UU. (PC de la casa); Kingston NV3 1TB</t>
        </is>
      </c>
      <c r="H25" s="6" t="inlineStr">
        <is>
          <t>ver</t>
        </is>
      </c>
    </row>
    <row r="26">
      <c r="A26" s="15" t="n">
        <v>46307</v>
      </c>
      <c r="B26" s="5" t="inlineStr">
        <is>
          <t>eBay</t>
        </is>
      </c>
      <c r="C26" s="5" t="inlineStr">
        <is>
          <t>SSD NVMe 1TB</t>
        </is>
      </c>
      <c r="D26" s="5" t="inlineStr">
        <is>
          <t>usado</t>
        </is>
      </c>
      <c r="E26" s="11" t="n">
        <v>145.72</v>
      </c>
      <c r="F26" s="5" t="inlineStr">
        <is>
          <t>USD</t>
        </is>
      </c>
      <c r="G26" s="5" t="inlineStr">
        <is>
          <t>eBay vía Chrome, vendedor en EE.UU. (PC de la casa); Samsung 990 EVO Plus</t>
        </is>
      </c>
      <c r="H26" s="6" t="inlineStr">
        <is>
          <t>ver</t>
        </is>
      </c>
    </row>
    <row r="27">
      <c r="A27" s="15" t="n">
        <v>46307</v>
      </c>
      <c r="B27" s="5" t="inlineStr">
        <is>
          <t>eBay</t>
        </is>
      </c>
      <c r="C27" s="5" t="inlineStr">
        <is>
          <t>SSD NVMe 2TB</t>
        </is>
      </c>
      <c r="D27" s="5" t="inlineStr">
        <is>
          <t>nuevo</t>
        </is>
      </c>
      <c r="E27" s="11" t="n">
        <v>279.99</v>
      </c>
      <c r="F27" s="5" t="inlineStr">
        <is>
          <t>USD</t>
        </is>
      </c>
      <c r="G27" s="5" t="inlineStr">
        <is>
          <t>eBay vía Chrome, vendedor en EE.UU. (PC de la casa); Kingston NV3 2TB, envío gratis</t>
        </is>
      </c>
      <c r="H27" s="6" t="inlineStr">
        <is>
          <t>ver</t>
        </is>
      </c>
    </row>
    <row r="28">
      <c r="A28" s="15" t="n">
        <v>46307</v>
      </c>
      <c r="B28" s="5" t="inlineStr">
        <is>
          <t>eBay</t>
        </is>
      </c>
      <c r="C28" s="5" t="inlineStr">
        <is>
          <t>SSD NVMe 2TB</t>
        </is>
      </c>
      <c r="D28" s="5" t="inlineStr">
        <is>
          <t>usado</t>
        </is>
      </c>
      <c r="E28" s="11" t="n">
        <v>185.34</v>
      </c>
      <c r="F28" s="5" t="inlineStr">
        <is>
          <t>USD</t>
        </is>
      </c>
      <c r="G28" s="5" t="inlineStr">
        <is>
          <t>eBay vía Chrome, vendedor en EE.UU. (PC de la casa); Kingston NV3 2TB</t>
        </is>
      </c>
      <c r="H28" s="6" t="inlineStr">
        <is>
          <t>ver</t>
        </is>
      </c>
    </row>
    <row r="29">
      <c r="A29" s="15" t="n">
        <v>46307</v>
      </c>
      <c r="B29" s="5" t="inlineStr">
        <is>
          <t>eBay</t>
        </is>
      </c>
      <c r="C29" s="5" t="inlineStr">
        <is>
          <t>Ryzen 5 5600</t>
        </is>
      </c>
      <c r="D29" s="5" t="inlineStr">
        <is>
          <t>nuevo</t>
        </is>
      </c>
      <c r="E29" s="11" t="n">
        <v>138.9</v>
      </c>
      <c r="F29" s="5" t="inlineStr">
        <is>
          <t>USD</t>
        </is>
      </c>
      <c r="G29" s="5" t="inlineStr">
        <is>
          <t>eBay API; vendedor 3c_wholesaler 99.1%</t>
        </is>
      </c>
      <c r="H29" s="6" t="inlineStr">
        <is>
          <t>ver</t>
        </is>
      </c>
    </row>
    <row r="30">
      <c r="A30" s="15" t="n">
        <v>46307</v>
      </c>
      <c r="B30" s="5" t="inlineStr">
        <is>
          <t>eBay</t>
        </is>
      </c>
      <c r="C30" s="5" t="inlineStr">
        <is>
          <t>Ryzen 5 7600</t>
        </is>
      </c>
      <c r="D30" s="5" t="inlineStr">
        <is>
          <t>nuevo</t>
        </is>
      </c>
      <c r="E30" s="11" t="n">
        <v>144.25</v>
      </c>
      <c r="F30" s="5" t="inlineStr">
        <is>
          <t>USD</t>
        </is>
      </c>
      <c r="G30" s="5" t="inlineStr">
        <is>
          <t>eBay API; vendedor silaxon 99.6%</t>
        </is>
      </c>
      <c r="H30" s="6" t="inlineStr">
        <is>
          <t>ver</t>
        </is>
      </c>
    </row>
    <row r="31">
      <c r="A31" s="15" t="n">
        <v>46307</v>
      </c>
      <c r="B31" s="5" t="inlineStr">
        <is>
          <t>eBay</t>
        </is>
      </c>
      <c r="C31" s="5" t="inlineStr">
        <is>
          <t>Ryzen 7 7800X3D</t>
        </is>
      </c>
      <c r="D31" s="5" t="inlineStr">
        <is>
          <t>nuevo</t>
        </is>
      </c>
      <c r="E31" s="11" t="n">
        <v>329</v>
      </c>
      <c r="F31" s="5" t="inlineStr">
        <is>
          <t>USD</t>
        </is>
      </c>
      <c r="G31" s="5" t="inlineStr">
        <is>
          <t>eBay API; vendedor aaawavecom 99.8%; sin caja (tray)</t>
        </is>
      </c>
      <c r="H31" s="6" t="inlineStr">
        <is>
          <t>ver</t>
        </is>
      </c>
    </row>
    <row r="32">
      <c r="A32" s="15" t="n">
        <v>46307</v>
      </c>
      <c r="B32" s="5" t="inlineStr">
        <is>
          <t>eBay</t>
        </is>
      </c>
      <c r="C32" s="5" t="inlineStr">
        <is>
          <t>Ryzen 9 9950X</t>
        </is>
      </c>
      <c r="D32" s="5" t="inlineStr">
        <is>
          <t>nuevo</t>
        </is>
      </c>
      <c r="E32" s="11" t="n">
        <v>499.99</v>
      </c>
      <c r="F32" s="5" t="inlineStr">
        <is>
          <t>USD</t>
        </is>
      </c>
      <c r="G32" s="5" t="inlineStr">
        <is>
          <t>eBay API; vendedor saguarowholesalesupply 100.0%; sellado; envío no indicado</t>
        </is>
      </c>
      <c r="H32" s="6" t="inlineStr">
        <is>
          <t>ver</t>
        </is>
      </c>
    </row>
    <row r="33">
      <c r="A33" s="15" t="n">
        <v>46307</v>
      </c>
      <c r="B33" s="5" t="inlineStr">
        <is>
          <t>eBay</t>
        </is>
      </c>
      <c r="C33" s="5" t="inlineStr">
        <is>
          <t>Intel Core i5-12400F</t>
        </is>
      </c>
      <c r="D33" s="5" t="inlineStr">
        <is>
          <t>nuevo</t>
        </is>
      </c>
      <c r="E33" s="11" t="n">
        <v>150</v>
      </c>
      <c r="F33" s="5" t="inlineStr">
        <is>
          <t>USD</t>
        </is>
      </c>
      <c r="G33" s="5" t="inlineStr">
        <is>
          <t>eBay API; vendedor algonz1137 100.0%; envío no indicado</t>
        </is>
      </c>
      <c r="H33" s="6" t="inlineStr">
        <is>
          <t>ver</t>
        </is>
      </c>
    </row>
    <row r="34">
      <c r="A34" s="15" t="n">
        <v>46307</v>
      </c>
      <c r="B34" s="5" t="inlineStr">
        <is>
          <t>eBay</t>
        </is>
      </c>
      <c r="C34" s="5" t="inlineStr">
        <is>
          <t>Intel Core i5-14400F</t>
        </is>
      </c>
      <c r="D34" s="5" t="inlineStr">
        <is>
          <t>nuevo</t>
        </is>
      </c>
      <c r="E34" s="11" t="n">
        <v>164.49</v>
      </c>
      <c r="F34" s="5" t="inlineStr">
        <is>
          <t>USD</t>
        </is>
      </c>
      <c r="G34" s="5" t="inlineStr">
        <is>
          <t>eBay API; vendedor newegg 99.6%</t>
        </is>
      </c>
      <c r="H34" s="6" t="inlineStr">
        <is>
          <t>ver</t>
        </is>
      </c>
    </row>
    <row r="35">
      <c r="A35" s="15" t="n">
        <v>46307</v>
      </c>
      <c r="B35" s="5" t="inlineStr">
        <is>
          <t>eBay</t>
        </is>
      </c>
      <c r="C35" s="5" t="inlineStr">
        <is>
          <t>Intel Core Ultra 7 265K</t>
        </is>
      </c>
      <c r="D35" s="5" t="inlineStr">
        <is>
          <t>nuevo</t>
        </is>
      </c>
      <c r="E35" s="11" t="n">
        <v>244.87</v>
      </c>
      <c r="F35" s="5" t="inlineStr">
        <is>
          <t>USD</t>
        </is>
      </c>
      <c r="G35" s="5" t="inlineStr">
        <is>
          <t>eBay API; vendedor reverendreed779 100.0%</t>
        </is>
      </c>
      <c r="H35" s="6" t="inlineStr">
        <is>
          <t>ver</t>
        </is>
      </c>
    </row>
    <row r="36">
      <c r="A36" s="15" t="n">
        <v>46307</v>
      </c>
      <c r="B36" s="5" t="inlineStr">
        <is>
          <t>eBay</t>
        </is>
      </c>
      <c r="C36" s="5" t="inlineStr">
        <is>
          <t>Corsair Vengeance RGB DDR5 32GB (2x16) 5600</t>
        </is>
      </c>
      <c r="D36" s="5" t="inlineStr">
        <is>
          <t>nuevo</t>
        </is>
      </c>
      <c r="E36" s="11" t="n">
        <v>493</v>
      </c>
      <c r="F36" s="5" t="inlineStr">
        <is>
          <t>USD</t>
        </is>
      </c>
      <c r="G36" s="5" t="inlineStr">
        <is>
          <t>eBay API; vendedor blessshoppingshangrila 100.0%</t>
        </is>
      </c>
      <c r="H36" s="6" t="inlineStr">
        <is>
          <t>ver</t>
        </is>
      </c>
    </row>
    <row r="37">
      <c r="A37" s="15" t="n">
        <v>46307</v>
      </c>
      <c r="B37" s="5" t="inlineStr">
        <is>
          <t>eBay</t>
        </is>
      </c>
      <c r="C37" s="5" t="inlineStr">
        <is>
          <t>Corsair Vengeance RGB DDR5 32GB (2x16) 6000</t>
        </is>
      </c>
      <c r="D37" s="5" t="inlineStr">
        <is>
          <t>nuevo</t>
        </is>
      </c>
      <c r="E37" s="11" t="n">
        <v>435.99</v>
      </c>
      <c r="F37" s="5" t="inlineStr">
        <is>
          <t>USD</t>
        </is>
      </c>
      <c r="G37" s="5" t="inlineStr">
        <is>
          <t>eBay API; vendedor wojiapanpan_4 100.0%; Vengeance RGB RS</t>
        </is>
      </c>
      <c r="H37" s="6" t="inlineStr">
        <is>
          <t>ver</t>
        </is>
      </c>
    </row>
    <row r="38">
      <c r="A38" s="15" t="n">
        <v>46307</v>
      </c>
      <c r="B38" s="5" t="inlineStr">
        <is>
          <t>eBay</t>
        </is>
      </c>
      <c r="C38" s="5" t="inlineStr">
        <is>
          <t>RAM DDR4 16GB (2x8) 3200</t>
        </is>
      </c>
      <c r="D38" s="5" t="inlineStr">
        <is>
          <t>nuevo</t>
        </is>
      </c>
      <c r="E38" s="11" t="n">
        <v>75</v>
      </c>
      <c r="F38" s="5" t="inlineStr">
        <is>
          <t>USD</t>
        </is>
      </c>
      <c r="G38" s="5" t="inlineStr">
        <is>
          <t>eBay API; vendedor juniorarredondo 100.0%; Silicon Power 2x8</t>
        </is>
      </c>
      <c r="H38" s="6" t="inlineStr">
        <is>
          <t>ver</t>
        </is>
      </c>
    </row>
    <row r="39">
      <c r="A39" s="15" t="n">
        <v>46307</v>
      </c>
      <c r="B39" s="5" t="inlineStr">
        <is>
          <t>eBay</t>
        </is>
      </c>
      <c r="C39" s="5" t="inlineStr">
        <is>
          <t>SSD NVMe 1TB</t>
        </is>
      </c>
      <c r="D39" s="5" t="inlineStr">
        <is>
          <t>nuevo</t>
        </is>
      </c>
      <c r="E39" s="11" t="n">
        <v>114.99</v>
      </c>
      <c r="F39" s="5" t="inlineStr">
        <is>
          <t>USD</t>
        </is>
      </c>
      <c r="G39" s="5" t="inlineStr">
        <is>
          <t>eBay API; vendedor gadgetworld03 99.0%; Derlar DN-850Q, marca poco conocida</t>
        </is>
      </c>
      <c r="H39" s="6" t="inlineStr">
        <is>
          <t>ver</t>
        </is>
      </c>
    </row>
    <row r="40">
      <c r="A40" s="15" t="n">
        <v>46307</v>
      </c>
      <c r="B40" s="5" t="inlineStr">
        <is>
          <t>eBay</t>
        </is>
      </c>
      <c r="C40" s="5" t="inlineStr">
        <is>
          <t>SSD NVMe 2TB</t>
        </is>
      </c>
      <c r="D40" s="5" t="inlineStr">
        <is>
          <t>nuevo</t>
        </is>
      </c>
      <c r="E40" s="11" t="n">
        <v>209.99</v>
      </c>
      <c r="F40" s="5" t="inlineStr">
        <is>
          <t>USD</t>
        </is>
      </c>
      <c r="G40" s="5" t="inlineStr">
        <is>
          <t>eBay API; vendedor ram_technologies 100.0%; RAM Tech 2TB Gen4</t>
        </is>
      </c>
      <c r="H40" s="6" t="inlineStr">
        <is>
          <t>ver</t>
        </is>
      </c>
    </row>
    <row r="41">
      <c r="A41" s="15" t="n">
        <v>46307</v>
      </c>
      <c r="B41" s="5" t="inlineStr">
        <is>
          <t>eBay</t>
        </is>
      </c>
      <c r="C41" s="5" t="inlineStr">
        <is>
          <t>Ryzen 5 5600</t>
        </is>
      </c>
      <c r="D41" s="5" t="inlineStr">
        <is>
          <t>usado</t>
        </is>
      </c>
      <c r="E41" s="11" t="n">
        <v>135</v>
      </c>
      <c r="F41" s="5" t="inlineStr">
        <is>
          <t>USD</t>
        </is>
      </c>
      <c r="G41" s="5" t="inlineStr">
        <is>
          <t>eBay API; vendedor btlsln 100.0%; envío no indicado</t>
        </is>
      </c>
      <c r="H41" s="6" t="inlineStr">
        <is>
          <t>ver</t>
        </is>
      </c>
    </row>
    <row r="42">
      <c r="A42" s="15" t="n">
        <v>46307</v>
      </c>
      <c r="B42" s="5" t="inlineStr">
        <is>
          <t>eBay</t>
        </is>
      </c>
      <c r="C42" s="5" t="inlineStr">
        <is>
          <t>Ryzen 7 5700X3D</t>
        </is>
      </c>
      <c r="D42" s="5" t="inlineStr">
        <is>
          <t>usado</t>
        </is>
      </c>
      <c r="E42" s="11" t="n">
        <v>305</v>
      </c>
      <c r="F42" s="5" t="inlineStr">
        <is>
          <t>USD</t>
        </is>
      </c>
      <c r="G42" s="5" t="inlineStr">
        <is>
          <t>eBay API; vendedor wcaton 98.5%; envío no indicado</t>
        </is>
      </c>
      <c r="H42" s="6" t="inlineStr">
        <is>
          <t>ver</t>
        </is>
      </c>
    </row>
    <row r="43">
      <c r="A43" s="15" t="n">
        <v>46307</v>
      </c>
      <c r="B43" s="5" t="inlineStr">
        <is>
          <t>eBay</t>
        </is>
      </c>
      <c r="C43" s="5" t="inlineStr">
        <is>
          <t>Ryzen 5 7600</t>
        </is>
      </c>
      <c r="D43" s="5" t="inlineStr">
        <is>
          <t>usado</t>
        </is>
      </c>
      <c r="E43" s="11" t="n">
        <v>122.99</v>
      </c>
      <c r="F43" s="5" t="inlineStr">
        <is>
          <t>USD</t>
        </is>
      </c>
      <c r="G43" s="5" t="inlineStr">
        <is>
          <t>eBay API; vendedor paymore_cumberland 98.6%</t>
        </is>
      </c>
      <c r="H43" s="6" t="inlineStr">
        <is>
          <t>ver</t>
        </is>
      </c>
    </row>
    <row r="44">
      <c r="A44" s="15" t="n">
        <v>46307</v>
      </c>
      <c r="B44" s="5" t="inlineStr">
        <is>
          <t>eBay</t>
        </is>
      </c>
      <c r="C44" s="5" t="inlineStr">
        <is>
          <t>Ryzen 7 7800X3D</t>
        </is>
      </c>
      <c r="D44" s="5" t="inlineStr">
        <is>
          <t>usado</t>
        </is>
      </c>
      <c r="E44" s="11" t="n">
        <v>283.99</v>
      </c>
      <c r="F44" s="5" t="inlineStr">
        <is>
          <t>USD</t>
        </is>
      </c>
      <c r="G44" s="5" t="inlineStr">
        <is>
          <t>eBay API; vendedor paymore_pooler 99.6%</t>
        </is>
      </c>
      <c r="H44" s="6" t="inlineStr">
        <is>
          <t>ver</t>
        </is>
      </c>
    </row>
    <row r="45">
      <c r="A45" s="15" t="n">
        <v>46307</v>
      </c>
      <c r="B45" s="5" t="inlineStr">
        <is>
          <t>eBay</t>
        </is>
      </c>
      <c r="C45" s="5" t="inlineStr">
        <is>
          <t>Ryzen 9 9950X</t>
        </is>
      </c>
      <c r="D45" s="5" t="inlineStr">
        <is>
          <t>usado</t>
        </is>
      </c>
      <c r="E45" s="11" t="n">
        <v>454.99</v>
      </c>
      <c r="F45" s="5" t="inlineStr">
        <is>
          <t>USD</t>
        </is>
      </c>
      <c r="G45" s="5" t="inlineStr">
        <is>
          <t>eBay API; vendedor goodios_direct 99.6%</t>
        </is>
      </c>
      <c r="H45" s="6" t="inlineStr">
        <is>
          <t>ver</t>
        </is>
      </c>
    </row>
    <row r="46">
      <c r="A46" s="15" t="n">
        <v>46307</v>
      </c>
      <c r="B46" s="5" t="inlineStr">
        <is>
          <t>eBay</t>
        </is>
      </c>
      <c r="C46" s="5" t="inlineStr">
        <is>
          <t>Intel Core i5-12400F</t>
        </is>
      </c>
      <c r="D46" s="5" t="inlineStr">
        <is>
          <t>usado</t>
        </is>
      </c>
      <c r="E46" s="11" t="n">
        <v>119.95</v>
      </c>
      <c r="F46" s="5" t="inlineStr">
        <is>
          <t>USD</t>
        </is>
      </c>
      <c r="G46" s="5" t="inlineStr">
        <is>
          <t>eBay API; vendedor sg_design_and_goods 99.3%; envío no indicado</t>
        </is>
      </c>
      <c r="H46" s="6" t="inlineStr">
        <is>
          <t>ver</t>
        </is>
      </c>
    </row>
    <row r="47">
      <c r="A47" s="15" t="n">
        <v>46307</v>
      </c>
      <c r="B47" s="5" t="inlineStr">
        <is>
          <t>eBay</t>
        </is>
      </c>
      <c r="C47" s="5" t="inlineStr">
        <is>
          <t>Intel Core i5-13400</t>
        </is>
      </c>
      <c r="D47" s="5" t="inlineStr">
        <is>
          <t>usado</t>
        </is>
      </c>
      <c r="E47" s="11" t="n">
        <v>149.99</v>
      </c>
      <c r="F47" s="5" t="inlineStr">
        <is>
          <t>USD</t>
        </is>
      </c>
      <c r="G47" s="5" t="inlineStr">
        <is>
          <t>eBay API; vendedor techrec-recycling 99.6%</t>
        </is>
      </c>
      <c r="H47" s="6" t="inlineStr">
        <is>
          <t>ver</t>
        </is>
      </c>
    </row>
    <row r="48">
      <c r="A48" s="15" t="n">
        <v>46307</v>
      </c>
      <c r="B48" s="5" t="inlineStr">
        <is>
          <t>eBay</t>
        </is>
      </c>
      <c r="C48" s="5" t="inlineStr">
        <is>
          <t>Intel Core i5-14400F</t>
        </is>
      </c>
      <c r="D48" s="5" t="inlineStr">
        <is>
          <t>usado</t>
        </is>
      </c>
      <c r="E48" s="11" t="n">
        <v>136.99</v>
      </c>
      <c r="F48" s="5" t="inlineStr">
        <is>
          <t>USD</t>
        </is>
      </c>
      <c r="G48" s="5" t="inlineStr">
        <is>
          <t>eBay API; vendedor paymore_covington 99.8%</t>
        </is>
      </c>
      <c r="H48" s="6" t="inlineStr">
        <is>
          <t>ver</t>
        </is>
      </c>
    </row>
    <row r="49">
      <c r="A49" s="15" t="n">
        <v>46307</v>
      </c>
      <c r="B49" s="5" t="inlineStr">
        <is>
          <t>eBay</t>
        </is>
      </c>
      <c r="C49" s="5" t="inlineStr">
        <is>
          <t>Intel Core Ultra 7 265K</t>
        </is>
      </c>
      <c r="D49" s="5" t="inlineStr">
        <is>
          <t>usado</t>
        </is>
      </c>
      <c r="E49" s="11" t="n">
        <v>209.99</v>
      </c>
      <c r="F49" s="5" t="inlineStr">
        <is>
          <t>USD</t>
        </is>
      </c>
      <c r="G49" s="5" t="inlineStr">
        <is>
          <t>eBay API; vendedor paymore_bustleton 99.4%</t>
        </is>
      </c>
      <c r="H49" s="6" t="inlineStr">
        <is>
          <t>ver</t>
        </is>
      </c>
    </row>
    <row r="50">
      <c r="A50" s="15" t="n">
        <v>46307</v>
      </c>
      <c r="B50" s="5" t="inlineStr">
        <is>
          <t>eBay</t>
        </is>
      </c>
      <c r="C50" s="5" t="inlineStr">
        <is>
          <t>Corsair Vengeance RGB DDR5 32GB (2x16) 5600</t>
        </is>
      </c>
      <c r="D50" s="5" t="inlineStr">
        <is>
          <t>usado</t>
        </is>
      </c>
      <c r="E50" s="11" t="n">
        <v>399.99</v>
      </c>
      <c r="F50" s="5" t="inlineStr">
        <is>
          <t>USD</t>
        </is>
      </c>
      <c r="G50" s="5" t="inlineStr">
        <is>
          <t>eBay API; vendedor paymore_sugar_land 99.4%</t>
        </is>
      </c>
      <c r="H50" s="6" t="inlineStr">
        <is>
          <t>ver</t>
        </is>
      </c>
    </row>
    <row r="51">
      <c r="A51" s="15" t="n">
        <v>46307</v>
      </c>
      <c r="B51" s="5" t="inlineStr">
        <is>
          <t>eBay</t>
        </is>
      </c>
      <c r="C51" s="5" t="inlineStr">
        <is>
          <t>Corsair Vengeance RGB DDR5 32GB (2x16) 6000</t>
        </is>
      </c>
      <c r="D51" s="5" t="inlineStr">
        <is>
          <t>usado</t>
        </is>
      </c>
      <c r="E51" s="11" t="n">
        <v>399.9</v>
      </c>
      <c r="F51" s="5" t="inlineStr">
        <is>
          <t>USD</t>
        </is>
      </c>
      <c r="G51" s="5" t="inlineStr">
        <is>
          <t>eBay API; vendedor thaigamer 100.0%; envío no indicado</t>
        </is>
      </c>
      <c r="H51" s="6" t="inlineStr">
        <is>
          <t>ver</t>
        </is>
      </c>
    </row>
    <row r="52">
      <c r="A52" s="15" t="n">
        <v>46307</v>
      </c>
      <c r="B52" s="5" t="inlineStr">
        <is>
          <t>eBay</t>
        </is>
      </c>
      <c r="C52" s="5" t="inlineStr">
        <is>
          <t>RAM DDR4 16GB (2x8) 3200</t>
        </is>
      </c>
      <c r="D52" s="5" t="inlineStr">
        <is>
          <t>usado</t>
        </is>
      </c>
      <c r="E52" s="11" t="n">
        <v>59.99</v>
      </c>
      <c r="F52" s="5" t="inlineStr">
        <is>
          <t>USD</t>
        </is>
      </c>
      <c r="G52" s="5" t="inlineStr">
        <is>
          <t>eBay API; vendedor lowwvoltage 100.0%; Micron 2x8; envío no indicado</t>
        </is>
      </c>
      <c r="H52" s="6" t="inlineStr">
        <is>
          <t>ver</t>
        </is>
      </c>
    </row>
    <row r="53">
      <c r="A53" s="15" t="n">
        <v>46307</v>
      </c>
      <c r="B53" s="5" t="inlineStr">
        <is>
          <t>eBay</t>
        </is>
      </c>
      <c r="C53" s="5" t="inlineStr">
        <is>
          <t>SSD NVMe 1TB</t>
        </is>
      </c>
      <c r="D53" s="5" t="inlineStr">
        <is>
          <t>usado</t>
        </is>
      </c>
      <c r="E53" s="11" t="n">
        <v>99.98999999999999</v>
      </c>
      <c r="F53" s="5" t="inlineStr">
        <is>
          <t>USD</t>
        </is>
      </c>
      <c r="G53" s="5" t="inlineStr">
        <is>
          <t>eBay API; vendedor paymore_anaheim 99.5%; Intel 665P</t>
        </is>
      </c>
      <c r="H53" s="6" t="inlineStr">
        <is>
          <t>ver</t>
        </is>
      </c>
    </row>
    <row r="54">
      <c r="A54" s="15" t="n">
        <v>46307</v>
      </c>
      <c r="B54" s="5" t="inlineStr">
        <is>
          <t>eBay</t>
        </is>
      </c>
      <c r="C54" s="5" t="inlineStr">
        <is>
          <t>SSD NVMe 2TB</t>
        </is>
      </c>
      <c r="D54" s="5" t="inlineStr">
        <is>
          <t>usado</t>
        </is>
      </c>
      <c r="E54" s="11" t="n">
        <v>179.99</v>
      </c>
      <c r="F54" s="5" t="inlineStr">
        <is>
          <t>USD</t>
        </is>
      </c>
      <c r="G54" s="5" t="inlineStr">
        <is>
          <t>eBay API; vendedor oceanwaveshop 99.2%; ORICO e3500</t>
        </is>
      </c>
      <c r="H54" s="6" t="inlineStr">
        <is>
          <t>ver</t>
        </is>
      </c>
    </row>
    <row r="55">
      <c r="A55" s="15" t="n">
        <v>46306</v>
      </c>
      <c r="B55" s="5" t="inlineStr">
        <is>
          <t>Tienda</t>
        </is>
      </c>
      <c r="C55" s="5" t="inlineStr">
        <is>
          <t>Ryzen 9 9950X</t>
        </is>
      </c>
      <c r="D55" s="5" t="inlineStr">
        <is>
          <t>MSR Computers (web; fecha de actualización desconocida)</t>
        </is>
      </c>
      <c r="E55" s="11" t="n">
        <v>5580</v>
      </c>
      <c r="F55" s="5" t="inlineStr">
        <is>
          <t>Bs</t>
        </is>
      </c>
      <c r="G55" s="5" t="inlineStr">
        <is>
          <t>nuevo</t>
        </is>
      </c>
      <c r="H55" s="6" t="inlineStr">
        <is>
          <t>ver</t>
        </is>
      </c>
    </row>
    <row r="56">
      <c r="A56" s="15" t="n">
        <v>46306</v>
      </c>
      <c r="B56" s="5" t="inlineStr">
        <is>
          <t>Tienda</t>
        </is>
      </c>
      <c r="C56" s="5" t="inlineStr">
        <is>
          <t>Intel Core i5-13400</t>
        </is>
      </c>
      <c r="D56" s="5" t="inlineStr">
        <is>
          <t>MSR Computers (web; fecha de actualización desconocida)</t>
        </is>
      </c>
      <c r="E56" s="11" t="n">
        <v>2300</v>
      </c>
      <c r="F56" s="5" t="inlineStr">
        <is>
          <t>Bs</t>
        </is>
      </c>
      <c r="G56" s="5" t="inlineStr">
        <is>
          <t>nuevo</t>
        </is>
      </c>
      <c r="H56" s="6" t="inlineStr">
        <is>
          <t>ver</t>
        </is>
      </c>
    </row>
    <row r="57">
      <c r="A57" s="15" t="n">
        <v>46306</v>
      </c>
      <c r="B57" s="5" t="inlineStr">
        <is>
          <t>Tienda</t>
        </is>
      </c>
      <c r="C57" s="5" t="inlineStr">
        <is>
          <t>Intel Core Ultra 7 265K</t>
        </is>
      </c>
      <c r="D57" s="5" t="inlineStr">
        <is>
          <t>MSR Computers (web; fecha de actualización desconocida)</t>
        </is>
      </c>
      <c r="E57" s="11" t="n">
        <v>3950</v>
      </c>
      <c r="F57" s="5" t="inlineStr">
        <is>
          <t>Bs</t>
        </is>
      </c>
      <c r="G57" s="5" t="inlineStr">
        <is>
          <t>nuevo</t>
        </is>
      </c>
      <c r="H57" s="6" t="inlineStr">
        <is>
          <t>ver</t>
        </is>
      </c>
    </row>
    <row r="58">
      <c r="A58" s="15" t="n">
        <v>46306</v>
      </c>
      <c r="B58" s="5" t="inlineStr">
        <is>
          <t>Marketplace</t>
        </is>
      </c>
      <c r="C58" s="5" t="inlineStr">
        <is>
          <t>Ryzen 7 7800X3D</t>
        </is>
      </c>
      <c r="D58" s="5" t="inlineStr">
        <is>
          <t>Marketplace Cochabamba (particular/vendedor)</t>
        </is>
      </c>
      <c r="E58" s="11" t="n">
        <v>4800</v>
      </c>
      <c r="F58" s="5" t="inlineStr">
        <is>
          <t>Bs</t>
        </is>
      </c>
      <c r="G58" s="5" t="inlineStr">
        <is>
          <t>nuevo sellado (según anuncio)</t>
        </is>
      </c>
      <c r="H58" s="6" t="inlineStr">
        <is>
          <t>ver</t>
        </is>
      </c>
    </row>
    <row r="59">
      <c r="A59" s="15" t="n">
        <v>46306</v>
      </c>
      <c r="B59" s="5" t="inlineStr">
        <is>
          <t>Marketplace</t>
        </is>
      </c>
      <c r="C59" s="5" t="inlineStr">
        <is>
          <t>Ryzen 7 7800X3D</t>
        </is>
      </c>
      <c r="D59" s="5" t="inlineStr">
        <is>
          <t>Marketplace Cochabamba</t>
        </is>
      </c>
      <c r="E59" s="11" t="n">
        <v>5190</v>
      </c>
      <c r="F59" s="5" t="inlineStr">
        <is>
          <t>Bs</t>
        </is>
      </c>
      <c r="G59" s="5" t="inlineStr">
        <is>
          <t>no indicado</t>
        </is>
      </c>
      <c r="H59" s="6" t="inlineStr">
        <is>
          <t>ver</t>
        </is>
      </c>
    </row>
    <row r="60">
      <c r="A60" s="15" t="n">
        <v>46306</v>
      </c>
      <c r="B60" s="5" t="inlineStr">
        <is>
          <t>Marketplace</t>
        </is>
      </c>
      <c r="C60" s="5" t="inlineStr">
        <is>
          <t>Ryzen 7 7800X3D</t>
        </is>
      </c>
      <c r="D60" s="5" t="inlineStr">
        <is>
          <t>Marketplace Cochabamba</t>
        </is>
      </c>
      <c r="E60" s="11" t="n">
        <v>5390</v>
      </c>
      <c r="F60" s="5" t="inlineStr">
        <is>
          <t>Bs</t>
        </is>
      </c>
      <c r="G60" s="5" t="inlineStr">
        <is>
          <t>no indicado</t>
        </is>
      </c>
      <c r="H60" s="6" t="inlineStr">
        <is>
          <t>ver</t>
        </is>
      </c>
    </row>
    <row r="61">
      <c r="A61" s="15" t="n">
        <v>46306</v>
      </c>
      <c r="B61" s="5" t="inlineStr">
        <is>
          <t>Marketplace</t>
        </is>
      </c>
      <c r="C61" s="5" t="inlineStr">
        <is>
          <t>Ryzen 5 7600</t>
        </is>
      </c>
      <c r="D61" s="5" t="inlineStr">
        <is>
          <t>Marketplace La Paz</t>
        </is>
      </c>
      <c r="E61" s="11" t="n">
        <v>2000</v>
      </c>
      <c r="F61" s="5" t="inlineStr">
        <is>
          <t>Bs</t>
        </is>
      </c>
      <c r="G61" s="5" t="inlineStr">
        <is>
          <t>no indicado (es 7600X; está en La Paz: solo referencia)</t>
        </is>
      </c>
      <c r="H61" s="6" t="inlineStr">
        <is>
          <t>ver</t>
        </is>
      </c>
    </row>
    <row r="62">
      <c r="A62" s="15" t="n">
        <v>46306</v>
      </c>
      <c r="B62" s="5" t="inlineStr">
        <is>
          <t>Marketplace</t>
        </is>
      </c>
      <c r="C62" s="5" t="inlineStr">
        <is>
          <t>Ryzen 5 7600</t>
        </is>
      </c>
      <c r="D62" s="5" t="inlineStr">
        <is>
          <t>Marketplace La Paz</t>
        </is>
      </c>
      <c r="E62" s="11" t="n">
        <v>2650</v>
      </c>
      <c r="F62" s="5" t="inlineStr">
        <is>
          <t>Bs</t>
        </is>
      </c>
      <c r="G62" s="5" t="inlineStr">
        <is>
          <t>no indicado (es 7600X; está en La Paz: solo referencia)</t>
        </is>
      </c>
      <c r="H62" s="6" t="inlineStr">
        <is>
          <t>ver</t>
        </is>
      </c>
    </row>
    <row r="63">
      <c r="A63" s="15" t="n">
        <v>46306</v>
      </c>
      <c r="B63" s="5" t="inlineStr">
        <is>
          <t>Marketplace</t>
        </is>
      </c>
      <c r="C63" s="5" t="inlineStr">
        <is>
          <t>Intel Core i5-14400F</t>
        </is>
      </c>
      <c r="D63" s="5" t="inlineStr">
        <is>
          <t>Marketplace Cochabamba</t>
        </is>
      </c>
      <c r="E63" s="11" t="n">
        <v>2700</v>
      </c>
      <c r="F63" s="5" t="inlineStr">
        <is>
          <t>Bs</t>
        </is>
      </c>
      <c r="G63" s="5" t="inlineStr">
        <is>
          <t>no indicado (anuncio dice i5 14400; confirmar si es F)</t>
        </is>
      </c>
      <c r="H63" s="6" t="inlineStr">
        <is>
          <t>ver</t>
        </is>
      </c>
    </row>
    <row r="64">
      <c r="A64" s="15" t="n">
        <v>46306</v>
      </c>
      <c r="B64" s="5" t="inlineStr">
        <is>
          <t>Marketplace</t>
        </is>
      </c>
      <c r="C64" s="5" t="inlineStr">
        <is>
          <t>Corsair Vengeance RGB DDR5 32GB (2x16) 6000</t>
        </is>
      </c>
      <c r="D64" s="5" t="inlineStr">
        <is>
          <t>Marketplace Cochabamba</t>
        </is>
      </c>
      <c r="E64" s="11" t="n">
        <v>6200</v>
      </c>
      <c r="F64" s="5" t="inlineStr">
        <is>
          <t>Bs</t>
        </is>
      </c>
      <c r="G64" s="5" t="inlineStr">
        <is>
          <t>no indicado (modelo RS)</t>
        </is>
      </c>
      <c r="H64" s="6" t="inlineStr">
        <is>
          <t>ver</t>
        </is>
      </c>
    </row>
    <row r="65">
      <c r="A65" s="15" t="n">
        <v>46306</v>
      </c>
      <c r="B65" s="5" t="inlineStr">
        <is>
          <t>Marketplace</t>
        </is>
      </c>
      <c r="C65" s="5" t="inlineStr">
        <is>
          <t>RAM DDR4 16GB (2x8) 3200</t>
        </is>
      </c>
      <c r="D65" s="5" t="inlineStr">
        <is>
          <t>Marketplace Cochabamba</t>
        </is>
      </c>
      <c r="E65" s="11" t="n">
        <v>540</v>
      </c>
      <c r="F65" s="5" t="inlineStr">
        <is>
          <t>Bs</t>
        </is>
      </c>
      <c r="G65" s="5" t="inlineStr">
        <is>
          <t>no indicado (Kingston Fury Beast RGB 16GB 3200; probablemente 1x16; no cuenta)</t>
        </is>
      </c>
      <c r="H65" s="6" t="inlineStr">
        <is>
          <t>ver</t>
        </is>
      </c>
    </row>
    <row r="66">
      <c r="A66" s="15" t="n">
        <v>46306</v>
      </c>
      <c r="B66" s="5" t="inlineStr">
        <is>
          <t>Marketplace</t>
        </is>
      </c>
      <c r="C66" s="5" t="inlineStr">
        <is>
          <t>RAM DDR4 16GB (2x8) 3200</t>
        </is>
      </c>
      <c r="D66" s="5" t="inlineStr">
        <is>
          <t>Marketplace Cochabamba</t>
        </is>
      </c>
      <c r="E66" s="11" t="n">
        <v>900</v>
      </c>
      <c r="F66" s="5" t="inlineStr">
        <is>
          <t>Bs</t>
        </is>
      </c>
      <c r="G66" s="5" t="inlineStr">
        <is>
          <t>no indicado (16GB 3200; configuración no indicada)</t>
        </is>
      </c>
      <c r="H66" s="6" t="inlineStr">
        <is>
          <t>ver</t>
        </is>
      </c>
    </row>
    <row r="67">
      <c r="A67" s="15" t="n">
        <v>46306</v>
      </c>
      <c r="B67" s="5" t="inlineStr">
        <is>
          <t>Marketplace</t>
        </is>
      </c>
      <c r="C67" s="5" t="inlineStr">
        <is>
          <t>RAM DDR4 16GB (2x8) 3200</t>
        </is>
      </c>
      <c r="D67" s="5" t="inlineStr">
        <is>
          <t>Marketplace Cochabamba</t>
        </is>
      </c>
      <c r="E67" s="11" t="n">
        <v>1500</v>
      </c>
      <c r="F67" s="5" t="inlineStr">
        <is>
          <t>Bs</t>
        </is>
      </c>
      <c r="G67" s="5" t="inlineStr">
        <is>
          <t>no indicado (2x8 3200; Sacaba)</t>
        </is>
      </c>
      <c r="H67" s="6" t="inlineStr">
        <is>
          <t>ver</t>
        </is>
      </c>
    </row>
    <row r="68">
      <c r="A68" s="15" t="n">
        <v>46306</v>
      </c>
      <c r="B68" s="5" t="inlineStr">
        <is>
          <t>Marketplace</t>
        </is>
      </c>
      <c r="C68" s="5" t="inlineStr">
        <is>
          <t>RAM DDR4 16GB (2x8) 3200</t>
        </is>
      </c>
      <c r="D68" s="5" t="inlineStr">
        <is>
          <t>Marketplace Cochabamba</t>
        </is>
      </c>
      <c r="E68" s="11" t="n">
        <v>1500</v>
      </c>
      <c r="F68" s="5" t="inlineStr">
        <is>
          <t>Bs</t>
        </is>
      </c>
      <c r="G68" s="5" t="inlineStr">
        <is>
          <t>no indicado (Corsair Vengeance 2x8; Sacaba; rebajado de 1600)</t>
        </is>
      </c>
      <c r="H68" s="6" t="inlineStr">
        <is>
          <t>ver</t>
        </is>
      </c>
    </row>
    <row r="69">
      <c r="A69" s="15" t="n">
        <v>46306</v>
      </c>
      <c r="B69" s="5" t="inlineStr">
        <is>
          <t>Marketplace</t>
        </is>
      </c>
      <c r="C69" s="5" t="inlineStr">
        <is>
          <t>SSD NVMe 1TB</t>
        </is>
      </c>
      <c r="D69" s="5" t="inlineStr">
        <is>
          <t>Marketplace Cochabamba</t>
        </is>
      </c>
      <c r="E69" s="11" t="n">
        <v>1850</v>
      </c>
      <c r="F69" s="5" t="inlineStr">
        <is>
          <t>Bs</t>
        </is>
      </c>
      <c r="G69" s="5" t="inlineStr">
        <is>
          <t>no indicado (Kingston NV3 1TB)</t>
        </is>
      </c>
      <c r="H69" s="6" t="inlineStr">
        <is>
          <t>ver</t>
        </is>
      </c>
    </row>
    <row r="70">
      <c r="A70" s="15" t="n">
        <v>46306</v>
      </c>
      <c r="B70" s="5" t="inlineStr">
        <is>
          <t>Marketplace</t>
        </is>
      </c>
      <c r="C70" s="5" t="inlineStr">
        <is>
          <t>SSD NVMe 1TB</t>
        </is>
      </c>
      <c r="D70" s="5" t="inlineStr">
        <is>
          <t>Marketplace Cochabamba</t>
        </is>
      </c>
      <c r="E70" s="11" t="n">
        <v>2000</v>
      </c>
      <c r="F70" s="5" t="inlineStr">
        <is>
          <t>Bs</t>
        </is>
      </c>
      <c r="G70" s="5" t="inlineStr">
        <is>
          <t>no indicado (Crucial P310 1TB)</t>
        </is>
      </c>
      <c r="H70" s="6" t="inlineStr">
        <is>
          <t>ver</t>
        </is>
      </c>
    </row>
    <row r="71">
      <c r="A71" s="15" t="n">
        <v>46306</v>
      </c>
      <c r="B71" s="5" t="inlineStr">
        <is>
          <t>Marketplace</t>
        </is>
      </c>
      <c r="C71" s="5" t="inlineStr">
        <is>
          <t>SSD NVMe 1TB</t>
        </is>
      </c>
      <c r="D71" s="5" t="inlineStr">
        <is>
          <t>Marketplace Cochabamba</t>
        </is>
      </c>
      <c r="E71" s="11" t="n">
        <v>1800</v>
      </c>
      <c r="F71" s="5" t="inlineStr">
        <is>
          <t>Bs</t>
        </is>
      </c>
      <c r="G71" s="5" t="inlineStr">
        <is>
          <t>no indicado (M.2 1TB; marca no indicada)</t>
        </is>
      </c>
      <c r="H71" s="6" t="inlineStr">
        <is>
          <t>ver</t>
        </is>
      </c>
    </row>
    <row r="72">
      <c r="A72" s="15" t="n">
        <v>46306</v>
      </c>
      <c r="B72" s="5" t="inlineStr">
        <is>
          <t>Marketplace</t>
        </is>
      </c>
      <c r="C72" s="5" t="inlineStr">
        <is>
          <t>SSD NVMe 2TB</t>
        </is>
      </c>
      <c r="D72" s="5" t="inlineStr">
        <is>
          <t>Marketplace Cochabamba</t>
        </is>
      </c>
      <c r="E72" s="11" t="n">
        <v>3550</v>
      </c>
      <c r="F72" s="5" t="inlineStr">
        <is>
          <t>Bs</t>
        </is>
      </c>
      <c r="G72" s="5" t="inlineStr">
        <is>
          <t>no indicado (SanDisk 2TB; no dice si es NVMe o SATA)</t>
        </is>
      </c>
      <c r="H72" s="6" t="inlineStr">
        <is>
          <t>ver</t>
        </is>
      </c>
    </row>
    <row r="73">
      <c r="A73" s="15" t="n">
        <v>46307</v>
      </c>
      <c r="B73" s="5" t="inlineStr">
        <is>
          <t>Tienda</t>
        </is>
      </c>
      <c r="C73" s="5" t="inlineStr">
        <is>
          <t>Ryzen 7 7800X3D</t>
        </is>
      </c>
      <c r="D73" s="5" t="inlineStr">
        <is>
          <t>Cyrex Store (WhatsApp)</t>
        </is>
      </c>
      <c r="E73" s="11" t="n">
        <v>5664</v>
      </c>
      <c r="F73" s="5" t="inlineStr">
        <is>
          <t>Bs</t>
        </is>
      </c>
      <c r="G73" s="5" t="inlineStr">
        <is>
          <t>BOX (según foto de su web; USD 480)</t>
        </is>
      </c>
      <c r="H73" s="6" t="inlineStr">
        <is>
          <t>ver</t>
        </is>
      </c>
    </row>
    <row r="74">
      <c r="A74" s="15" t="n">
        <v>46307</v>
      </c>
      <c r="B74" s="5" t="inlineStr">
        <is>
          <t>Tienda</t>
        </is>
      </c>
      <c r="C74" s="5" t="inlineStr">
        <is>
          <t>Intel Core i5-14400F</t>
        </is>
      </c>
      <c r="D74" s="5" t="inlineStr">
        <is>
          <t>Cyrex Store (WhatsApp)</t>
        </is>
      </c>
      <c r="E74" s="11" t="n">
        <v>2537</v>
      </c>
      <c r="F74" s="5" t="inlineStr">
        <is>
          <t>Bs</t>
        </is>
      </c>
      <c r="G74" s="5" t="inlineStr">
        <is>
          <t>OEM (sin caja; según foto de su web; USD 215)</t>
        </is>
      </c>
      <c r="H74" s="6" t="inlineStr">
        <is>
          <t>ver</t>
        </is>
      </c>
    </row>
    <row r="75">
      <c r="A75" s="15" t="n">
        <v>46307</v>
      </c>
      <c r="B75" s="5" t="inlineStr">
        <is>
          <t>Tienda</t>
        </is>
      </c>
      <c r="C75" s="5" t="inlineStr">
        <is>
          <t>RAM DDR5 16GB (1x16) 6000</t>
        </is>
      </c>
      <c r="D75" s="5" t="inlineStr">
        <is>
          <t>Cyrex Store (WhatsApp)</t>
        </is>
      </c>
      <c r="E75" s="11" t="n">
        <v>3127</v>
      </c>
      <c r="F75" s="5" t="inlineStr">
        <is>
          <t>Bs</t>
        </is>
      </c>
      <c r="G75" s="5" t="inlineStr">
        <is>
          <t>no indicado (Patriot Viper Venom RGB 1x16 CL30; USD 265; no es el kit Corsair 2x16: solo referencia)</t>
        </is>
      </c>
      <c r="H75" s="6" t="inlineStr">
        <is>
          <t>ver</t>
        </is>
      </c>
    </row>
    <row r="76">
      <c r="A76" s="15" t="n">
        <v>46307</v>
      </c>
      <c r="B76" s="5" t="inlineStr">
        <is>
          <t>Tienda</t>
        </is>
      </c>
      <c r="C76" s="5" t="inlineStr">
        <is>
          <t>RAM DDR4 16GB (2x8) 3200</t>
        </is>
      </c>
      <c r="D76" s="5" t="inlineStr">
        <is>
          <t>Compucenter (WhatsApp)</t>
        </is>
      </c>
      <c r="E76" s="11" t="n">
        <v>2150</v>
      </c>
      <c r="F76" s="5" t="inlineStr">
        <is>
          <t>Bs</t>
        </is>
      </c>
      <c r="G76" s="5" t="inlineStr">
        <is>
          <t>nuevo (Corsair Vengeance RGB DDR4 16GB 3600; no dice si es 2x8; Bs 2.560 con factura)</t>
        </is>
      </c>
      <c r="H76" s="6" t="inlineStr">
        <is>
          <t>ver</t>
        </is>
      </c>
    </row>
    <row r="77">
      <c r="A77" s="15" t="n">
        <v>46307</v>
      </c>
      <c r="B77" s="5" t="inlineStr">
        <is>
          <t>Tienda</t>
        </is>
      </c>
      <c r="C77" s="5" t="inlineStr">
        <is>
          <t>Ryzen 9 9950X</t>
        </is>
      </c>
      <c r="D77" s="5" t="inlineStr">
        <is>
          <t>Tienda Supermall (WhatsApp)</t>
        </is>
      </c>
      <c r="E77" s="11" t="n">
        <v>6140</v>
      </c>
      <c r="F77" s="5" t="inlineStr">
        <is>
          <t>Bs</t>
        </is>
      </c>
      <c r="G77" s="5" t="inlineStr">
        <is>
          <t>nuevo OEM (garantía 6 meses)</t>
        </is>
      </c>
      <c r="H77" s="6" t="inlineStr">
        <is>
          <t>ver</t>
        </is>
      </c>
    </row>
    <row r="78">
      <c r="A78" s="15" t="n">
        <v>46307</v>
      </c>
      <c r="B78" s="5" t="inlineStr">
        <is>
          <t>Tienda</t>
        </is>
      </c>
      <c r="C78" s="5" t="inlineStr">
        <is>
          <t>Ryzen 7 7800X3D</t>
        </is>
      </c>
      <c r="D78" s="5" t="inlineStr">
        <is>
          <t>Tienda Supermall (WhatsApp)</t>
        </is>
      </c>
      <c r="E78" s="11" t="n">
        <v>4760</v>
      </c>
      <c r="F78" s="5" t="inlineStr">
        <is>
          <t>Bs</t>
        </is>
      </c>
      <c r="G78" s="5" t="inlineStr">
        <is>
          <t>no indicado (la tienda lo ofrece como "7700x3d"; foto de caja 7800X3D; stock bajo; garantía 6 meses; confirmar modelo)</t>
        </is>
      </c>
      <c r="H78" s="6" t="inlineStr">
        <is>
          <t>ver</t>
        </is>
      </c>
    </row>
    <row r="79">
      <c r="A79" s="15" t="n">
        <v>46307</v>
      </c>
      <c r="B79" s="5" t="inlineStr">
        <is>
          <t>Tienda</t>
        </is>
      </c>
      <c r="C79" s="5" t="inlineStr">
        <is>
          <t>Corsair Vengeance RGB DDR5 32GB (2x16) 6000</t>
        </is>
      </c>
      <c r="D79" s="5" t="inlineStr">
        <is>
          <t>PC Components Bolivia (WhatsApp; Santa Cruz: referencia)</t>
        </is>
      </c>
      <c r="E79" s="11" t="n">
        <v>6800</v>
      </c>
      <c r="F79" s="5" t="inlineStr">
        <is>
          <t>Bs</t>
        </is>
      </c>
      <c r="G79" s="5" t="inlineStr">
        <is>
          <t>no indicado</t>
        </is>
      </c>
      <c r="H79" s="6" t="inlineStr">
        <is>
          <t>ver</t>
        </is>
      </c>
    </row>
    <row r="80">
      <c r="A80" s="15" t="n">
        <v>46307</v>
      </c>
      <c r="B80" s="5" t="inlineStr">
        <is>
          <t>Tienda</t>
        </is>
      </c>
      <c r="C80" s="5" t="inlineStr">
        <is>
          <t>SSD NVMe 1TB</t>
        </is>
      </c>
      <c r="D80" s="5" t="inlineStr">
        <is>
          <t>PC Components Bolivia (WhatsApp; Santa Cruz: referencia)</t>
        </is>
      </c>
      <c r="E80" s="11" t="n">
        <v>2100</v>
      </c>
      <c r="F80" s="5" t="inlineStr">
        <is>
          <t>Bs</t>
        </is>
      </c>
      <c r="G80" s="5" t="inlineStr">
        <is>
          <t>no indicado (Kingston NV3 PCIe 4.0; Santa Cruz: referencia)</t>
        </is>
      </c>
      <c r="H80" s="6" t="inlineStr">
        <is>
          <t>ver</t>
        </is>
      </c>
    </row>
    <row r="81">
      <c r="A81" s="15" t="n">
        <v>46307</v>
      </c>
      <c r="B81" s="5" t="inlineStr">
        <is>
          <t>Tienda</t>
        </is>
      </c>
      <c r="C81" s="5" t="inlineStr">
        <is>
          <t>SSD NVMe 1TB</t>
        </is>
      </c>
      <c r="D81" s="5" t="inlineStr">
        <is>
          <t>PC Components Bolivia (WhatsApp; Santa Cruz: referencia)</t>
        </is>
      </c>
      <c r="E81" s="11" t="n">
        <v>1800</v>
      </c>
      <c r="F81" s="5" t="inlineStr">
        <is>
          <t>Bs</t>
        </is>
      </c>
      <c r="G81" s="5" t="inlineStr">
        <is>
          <t>no indicado (marca "ediloca" PCIe 4.0; Santa Cruz: referencia)</t>
        </is>
      </c>
      <c r="H81" s="6" t="inlineStr">
        <is>
          <t>ver</t>
        </is>
      </c>
    </row>
    <row r="82">
      <c r="A82" s="15" t="n">
        <v>46307</v>
      </c>
      <c r="B82" s="5" t="inlineStr">
        <is>
          <t>Marketplace</t>
        </is>
      </c>
      <c r="C82" s="5" t="inlineStr">
        <is>
          <t>Corsair Vengeance RGB DDR5 32GB (2x16) 5600</t>
        </is>
      </c>
      <c r="D82" s="5" t="inlineStr">
        <is>
          <t>Marketplace Cochabamba (particular)</t>
        </is>
      </c>
      <c r="E82" s="11" t="n">
        <v>4500</v>
      </c>
      <c r="F82" s="5" t="inlineStr">
        <is>
          <t>Bs</t>
        </is>
      </c>
      <c r="G82" s="5" t="inlineStr">
        <is>
          <t>usado como nuevo (4 meses de uso; publicado hace 7 semanas)</t>
        </is>
      </c>
      <c r="H82" s="6" t="inlineStr">
        <is>
          <t>ver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  <hyperlink xmlns:r="http://schemas.openxmlformats.org/officeDocument/2006/relationships" ref="H48" r:id="rId47"/>
    <hyperlink xmlns:r="http://schemas.openxmlformats.org/officeDocument/2006/relationships" ref="H49" r:id="rId48"/>
    <hyperlink xmlns:r="http://schemas.openxmlformats.org/officeDocument/2006/relationships" ref="H50" r:id="rId49"/>
    <hyperlink xmlns:r="http://schemas.openxmlformats.org/officeDocument/2006/relationships" ref="H51" r:id="rId50"/>
    <hyperlink xmlns:r="http://schemas.openxmlformats.org/officeDocument/2006/relationships" ref="H52" r:id="rId51"/>
    <hyperlink xmlns:r="http://schemas.openxmlformats.org/officeDocument/2006/relationships" ref="H53" r:id="rId52"/>
    <hyperlink xmlns:r="http://schemas.openxmlformats.org/officeDocument/2006/relationships" ref="H54" r:id="rId53"/>
    <hyperlink xmlns:r="http://schemas.openxmlformats.org/officeDocument/2006/relationships" ref="H55" r:id="rId54"/>
    <hyperlink xmlns:r="http://schemas.openxmlformats.org/officeDocument/2006/relationships" ref="H56" r:id="rId55"/>
    <hyperlink xmlns:r="http://schemas.openxmlformats.org/officeDocument/2006/relationships" ref="H57" r:id="rId56"/>
    <hyperlink xmlns:r="http://schemas.openxmlformats.org/officeDocument/2006/relationships" ref="H58" r:id="rId57"/>
    <hyperlink xmlns:r="http://schemas.openxmlformats.org/officeDocument/2006/relationships" ref="H59" r:id="rId58"/>
    <hyperlink xmlns:r="http://schemas.openxmlformats.org/officeDocument/2006/relationships" ref="H60" r:id="rId59"/>
    <hyperlink xmlns:r="http://schemas.openxmlformats.org/officeDocument/2006/relationships" ref="H61" r:id="rId60"/>
    <hyperlink xmlns:r="http://schemas.openxmlformats.org/officeDocument/2006/relationships" ref="H62" r:id="rId61"/>
    <hyperlink xmlns:r="http://schemas.openxmlformats.org/officeDocument/2006/relationships" ref="H63" r:id="rId62"/>
    <hyperlink xmlns:r="http://schemas.openxmlformats.org/officeDocument/2006/relationships" ref="H64" r:id="rId63"/>
    <hyperlink xmlns:r="http://schemas.openxmlformats.org/officeDocument/2006/relationships" ref="H65" r:id="rId64"/>
    <hyperlink xmlns:r="http://schemas.openxmlformats.org/officeDocument/2006/relationships" ref="H66" r:id="rId65"/>
    <hyperlink xmlns:r="http://schemas.openxmlformats.org/officeDocument/2006/relationships" ref="H67" r:id="rId66"/>
    <hyperlink xmlns:r="http://schemas.openxmlformats.org/officeDocument/2006/relationships" ref="H68" r:id="rId67"/>
    <hyperlink xmlns:r="http://schemas.openxmlformats.org/officeDocument/2006/relationships" ref="H69" r:id="rId68"/>
    <hyperlink xmlns:r="http://schemas.openxmlformats.org/officeDocument/2006/relationships" ref="H70" r:id="rId69"/>
    <hyperlink xmlns:r="http://schemas.openxmlformats.org/officeDocument/2006/relationships" ref="H71" r:id="rId70"/>
    <hyperlink xmlns:r="http://schemas.openxmlformats.org/officeDocument/2006/relationships" ref="H72" r:id="rId71"/>
    <hyperlink xmlns:r="http://schemas.openxmlformats.org/officeDocument/2006/relationships" ref="H73" r:id="rId72"/>
    <hyperlink xmlns:r="http://schemas.openxmlformats.org/officeDocument/2006/relationships" ref="H74" r:id="rId73"/>
    <hyperlink xmlns:r="http://schemas.openxmlformats.org/officeDocument/2006/relationships" ref="H75" r:id="rId74"/>
    <hyperlink xmlns:r="http://schemas.openxmlformats.org/officeDocument/2006/relationships" ref="H76" r:id="rId75"/>
    <hyperlink xmlns:r="http://schemas.openxmlformats.org/officeDocument/2006/relationships" ref="H77" r:id="rId76"/>
    <hyperlink xmlns:r="http://schemas.openxmlformats.org/officeDocument/2006/relationships" ref="H78" r:id="rId77"/>
    <hyperlink xmlns:r="http://schemas.openxmlformats.org/officeDocument/2006/relationships" ref="H79" r:id="rId78"/>
    <hyperlink xmlns:r="http://schemas.openxmlformats.org/officeDocument/2006/relationships" ref="H80" r:id="rId79"/>
    <hyperlink xmlns:r="http://schemas.openxmlformats.org/officeDocument/2006/relationships" ref="H81" r:id="rId80"/>
    <hyperlink xmlns:r="http://schemas.openxmlformats.org/officeDocument/2006/relationships" ref="H82" r:id="rId81"/>
  </hyperlinks>
  <pageMargins left="0.75" right="0.75" top="1" bottom="1" header="0.5" footer="0.5"/>
  <tableParts count="1">
    <tablePart xmlns:r="http://schemas.openxmlformats.org/officeDocument/2006/relationships" r:id="rId8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2026-10-12T16:08:19Z</dcterms:created>
  <dcterms:modified xsi:type="dcterms:W3CDTF">2026-10-12T16:08:19Z</dcterms:modified>
</cp:coreProperties>
</file>