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Los dos couriers ya incluyen la aduana (Santi, 13/10): queda en 0. Probar aquí solo si algún envío la cobra aparte,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67" headerRowCount="1">
  <autoFilter ref="A1:O67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202" headerRowCount="1">
  <autoFilter ref="A1:H202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158132772011" TargetMode="External" Id="rId2" /><Relationship Type="http://schemas.openxmlformats.org/officeDocument/2006/relationships/hyperlink" Target="https://www.ebay.com/itm/366718755179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389945918228" TargetMode="External" Id="rId5" /><Relationship Type="http://schemas.openxmlformats.org/officeDocument/2006/relationships/hyperlink" Target="https://www.ebay.com/itm/800773514419" TargetMode="External" Id="rId6" /><Relationship Type="http://schemas.openxmlformats.org/officeDocument/2006/relationships/hyperlink" Target="https://www.ebay.com/itm/960033835048" TargetMode="External" Id="rId7" /><Relationship Type="http://schemas.openxmlformats.org/officeDocument/2006/relationships/hyperlink" Target="https://www.ebay.com/itm/314675451357" TargetMode="External" Id="rId8" /><Relationship Type="http://schemas.openxmlformats.org/officeDocument/2006/relationships/hyperlink" Target="https://www.ebay.com/itm/128104115525" TargetMode="External" Id="rId9" /><Relationship Type="http://schemas.openxmlformats.org/officeDocument/2006/relationships/hyperlink" Target="https://www.ebay.com/itm/198709471618" TargetMode="External" Id="rId10" /><Relationship Type="http://schemas.openxmlformats.org/officeDocument/2006/relationships/hyperlink" Target="https://www.ebay.com/itm/278289521729" TargetMode="External" Id="rId11" /><Relationship Type="http://schemas.openxmlformats.org/officeDocument/2006/relationships/hyperlink" Target="https://www.ebay.com/itm/335784468289" TargetMode="External" Id="rId12" /><Relationship Type="http://schemas.openxmlformats.org/officeDocument/2006/relationships/hyperlink" Target="https://www.ebay.com/itm/389732753480" TargetMode="External" Id="rId13" /><Relationship Type="http://schemas.openxmlformats.org/officeDocument/2006/relationships/hyperlink" Target="https://www.ebay.com/itm/307230030575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314675451357" TargetMode="External" Id="rId2" /><Relationship Type="http://schemas.openxmlformats.org/officeDocument/2006/relationships/hyperlink" Target="https://www.ebay.com/itm/335784468289" TargetMode="External" Id="rId3" /><Relationship Type="http://schemas.openxmlformats.org/officeDocument/2006/relationships/hyperlink" Target="https://www.ebay.com/itm/920041309011" TargetMode="External" Id="rId4" /><Relationship Type="http://schemas.openxmlformats.org/officeDocument/2006/relationships/hyperlink" Target="https://www.ebay.com/itm/307230030575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366720837166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366718755179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128104115525" TargetMode="External" Id="rId14" /><Relationship Type="http://schemas.openxmlformats.org/officeDocument/2006/relationships/hyperlink" Target="https://www.ebay.com/itm/227402767941" TargetMode="External" Id="rId15" /><Relationship Type="http://schemas.openxmlformats.org/officeDocument/2006/relationships/hyperlink" Target="https://www.ebay.com/itm/364224496605" TargetMode="External" Id="rId16" /><Relationship Type="http://schemas.openxmlformats.org/officeDocument/2006/relationships/hyperlink" Target="https://www.ebay.com/itm/267809260226" TargetMode="External" Id="rId17" /><Relationship Type="http://schemas.openxmlformats.org/officeDocument/2006/relationships/hyperlink" Target="https://www.ebay.com/itm/389401265654" TargetMode="External" Id="rId18" /><Relationship Type="http://schemas.openxmlformats.org/officeDocument/2006/relationships/hyperlink" Target="https://www.ebay.com/itm/307230030575" TargetMode="External" Id="rId19" /><Relationship Type="http://schemas.openxmlformats.org/officeDocument/2006/relationships/hyperlink" Target="https://www.ebay.com/itm/158132772011" TargetMode="External" Id="rId20" /><Relationship Type="http://schemas.openxmlformats.org/officeDocument/2006/relationships/hyperlink" Target="https://www.ebay.com/itm/389732753480" TargetMode="External" Id="rId21" /><Relationship Type="http://schemas.openxmlformats.org/officeDocument/2006/relationships/hyperlink" Target="https://www.ebay.com/itm/377567672653" TargetMode="External" Id="rId22" /><Relationship Type="http://schemas.openxmlformats.org/officeDocument/2006/relationships/hyperlink" Target="https://www.ebay.com/itm/389945918228" TargetMode="External" Id="rId23" /><Relationship Type="http://schemas.openxmlformats.org/officeDocument/2006/relationships/hyperlink" Target="https://www.ebay.com/itm/366720837166" TargetMode="External" Id="rId24" /><Relationship Type="http://schemas.openxmlformats.org/officeDocument/2006/relationships/hyperlink" Target="https://www.ebay.com/itm/800773514419" TargetMode="External" Id="rId25" /><Relationship Type="http://schemas.openxmlformats.org/officeDocument/2006/relationships/hyperlink" Target="https://www.ebay.com/itm/366718755179" TargetMode="External" Id="rId26" /><Relationship Type="http://schemas.openxmlformats.org/officeDocument/2006/relationships/hyperlink" Target="https://www.ebay.com/itm/960033835048" TargetMode="External" Id="rId27" /><Relationship Type="http://schemas.openxmlformats.org/officeDocument/2006/relationships/hyperlink" Target="https://www.ebay.com/itm/128104115525" TargetMode="External" Id="rId28" /><Relationship Type="http://schemas.openxmlformats.org/officeDocument/2006/relationships/hyperlink" Target="https://www.ebay.com/itm/227402767941" TargetMode="External" Id="rId29" /><Relationship Type="http://schemas.openxmlformats.org/officeDocument/2006/relationships/hyperlink" Target="https://www.ebay.com/itm/80057251868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187668752673" TargetMode="External" Id="rId32" /><Relationship Type="http://schemas.openxmlformats.org/officeDocument/2006/relationships/hyperlink" Target="https://www.ebay.com/itm/398398409741" TargetMode="External" Id="rId33" /><Relationship Type="http://schemas.openxmlformats.org/officeDocument/2006/relationships/hyperlink" Target="https://www.ebay.com/itm/158132772011" TargetMode="External" Id="rId34" /><Relationship Type="http://schemas.openxmlformats.org/officeDocument/2006/relationships/hyperlink" Target="https://www.ebay.com/itm/389732753480" TargetMode="External" Id="rId35" /><Relationship Type="http://schemas.openxmlformats.org/officeDocument/2006/relationships/hyperlink" Target="https://www.ebay.com/itm/327369990511" TargetMode="External" Id="rId36" /><Relationship Type="http://schemas.openxmlformats.org/officeDocument/2006/relationships/hyperlink" Target="https://www.ebay.com/itm/389945918228" TargetMode="External" Id="rId37" /><Relationship Type="http://schemas.openxmlformats.org/officeDocument/2006/relationships/hyperlink" Target="https://www.ebay.com/itm/366720837166" TargetMode="External" Id="rId38" /><Relationship Type="http://schemas.openxmlformats.org/officeDocument/2006/relationships/hyperlink" Target="https://www.ebay.com/itm/800773514419" TargetMode="External" Id="rId39" /><Relationship Type="http://schemas.openxmlformats.org/officeDocument/2006/relationships/hyperlink" Target="https://www.ebay.com/itm/366718755179" TargetMode="External" Id="rId40" /><Relationship Type="http://schemas.openxmlformats.org/officeDocument/2006/relationships/hyperlink" Target="https://www.ebay.com/itm/960033835048" TargetMode="External" Id="rId41" /><Relationship Type="http://schemas.openxmlformats.org/officeDocument/2006/relationships/hyperlink" Target="https://www.ebay.com/itm/237072275336" TargetMode="External" Id="rId42" /><Relationship Type="http://schemas.openxmlformats.org/officeDocument/2006/relationships/hyperlink" Target="https://www.ebay.com/itm/227402767941" TargetMode="External" Id="rId43" /><Relationship Type="http://schemas.openxmlformats.org/officeDocument/2006/relationships/hyperlink" Target="https://www.ebay.com/itm/800572518683" TargetMode="External" Id="rId44" /><Relationship Type="http://schemas.openxmlformats.org/officeDocument/2006/relationships/hyperlink" Target="https://www.ebay.com/itm/267809260226" TargetMode="External" Id="rId45" /><Relationship Type="http://schemas.openxmlformats.org/officeDocument/2006/relationships/hyperlink" Target="https://www.ebay.com/itm/187668752673" TargetMode="External" Id="rId46" /><Relationship Type="http://schemas.openxmlformats.org/officeDocument/2006/relationships/hyperlink" Target="https://www.ebay.com/itm/377562785374" TargetMode="External" Id="rId47" /><Relationship Type="http://schemas.openxmlformats.org/officeDocument/2006/relationships/hyperlink" Target="https://www.ebay.com/itm/158132772011" TargetMode="External" Id="rId48" /><Relationship Type="http://schemas.openxmlformats.org/officeDocument/2006/relationships/hyperlink" Target="https://www.ebay.com/itm/389732753480" TargetMode="External" Id="rId49" /><Relationship Type="http://schemas.openxmlformats.org/officeDocument/2006/relationships/hyperlink" Target="https://www.ebay.com/itm/198709471618" TargetMode="External" Id="rId50" /><Relationship Type="http://schemas.openxmlformats.org/officeDocument/2006/relationships/hyperlink" Target="https://www.ebay.com/itm/389945918228" TargetMode="External" Id="rId51" /><Relationship Type="http://schemas.openxmlformats.org/officeDocument/2006/relationships/hyperlink" Target="https://www.ebay.com/itm/278289521729" TargetMode="External" Id="rId52" /><Relationship Type="http://schemas.openxmlformats.org/officeDocument/2006/relationships/hyperlink" Target="https://www.ebay.com/itm/800773514419" TargetMode="External" Id="rId53" /><Relationship Type="http://schemas.openxmlformats.org/officeDocument/2006/relationships/hyperlink" Target="https://www.ebay.com/itm/840012484062" TargetMode="External" Id="rId54" /><Relationship Type="http://schemas.openxmlformats.org/officeDocument/2006/relationships/hyperlink" Target="https://www.ebay.com/itm/960033835048" TargetMode="External" Id="rId55" /><Relationship Type="http://schemas.openxmlformats.org/officeDocument/2006/relationships/hyperlink" Target="https://www.ebay.com/itm/237072275336" TargetMode="External" Id="rId56" /><Relationship Type="http://schemas.openxmlformats.org/officeDocument/2006/relationships/hyperlink" Target="https://www.facebook.com/marketplace/item/1448988227128820/" TargetMode="External" Id="rId57" /><Relationship Type="http://schemas.openxmlformats.org/officeDocument/2006/relationships/hyperlink" Target="https://msrcomputers.framer.website/" TargetMode="External" Id="rId58" /><Relationship Type="http://schemas.openxmlformats.org/officeDocument/2006/relationships/hyperlink" Target="https://www.facebook.com/marketplace/item/2555034215012611/" TargetMode="External" Id="rId59" /><Relationship Type="http://schemas.openxmlformats.org/officeDocument/2006/relationships/hyperlink" Target="https://www.facebook.com/marketplace/item/959874386670350/" TargetMode="External" Id="rId60" /><Relationship Type="http://schemas.openxmlformats.org/officeDocument/2006/relationships/hyperlink" Target="https://msrcomputers.framer.website/" TargetMode="External" Id="rId61" /><Relationship Type="http://schemas.openxmlformats.org/officeDocument/2006/relationships/hyperlink" Target="https://msrcomputers.framer.website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table" Target="/xl/tables/table2.xml" Id="rId6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www.ebay.com/itm/389732753480" TargetMode="External" Id="rId54" /><Relationship Type="http://schemas.openxmlformats.org/officeDocument/2006/relationships/hyperlink" Target="https://www.ebay.com/itm/158132772011" TargetMode="External" Id="rId55" /><Relationship Type="http://schemas.openxmlformats.org/officeDocument/2006/relationships/hyperlink" Target="https://www.ebay.com/itm/187668752673" TargetMode="External" Id="rId56" /><Relationship Type="http://schemas.openxmlformats.org/officeDocument/2006/relationships/hyperlink" Target="https://www.ebay.com/itm/267809260226" TargetMode="External" Id="rId57" /><Relationship Type="http://schemas.openxmlformats.org/officeDocument/2006/relationships/hyperlink" Target="https://www.ebay.com/itm/800773514419" TargetMode="External" Id="rId58" /><Relationship Type="http://schemas.openxmlformats.org/officeDocument/2006/relationships/hyperlink" Target="https://www.ebay.com/itm/389945918228" TargetMode="External" Id="rId59" /><Relationship Type="http://schemas.openxmlformats.org/officeDocument/2006/relationships/hyperlink" Target="https://www.ebay.com/itm/366718755179" TargetMode="External" Id="rId60" /><Relationship Type="http://schemas.openxmlformats.org/officeDocument/2006/relationships/hyperlink" Target="https://www.ebay.com/itm/237072275336" TargetMode="External" Id="rId61" /><Relationship Type="http://schemas.openxmlformats.org/officeDocument/2006/relationships/hyperlink" Target="https://www.ebay.com/itm/960033835048" TargetMode="External" Id="rId62" /><Relationship Type="http://schemas.openxmlformats.org/officeDocument/2006/relationships/hyperlink" Target="https://www.ebay.com/itm/327369990511" TargetMode="External" Id="rId63" /><Relationship Type="http://schemas.openxmlformats.org/officeDocument/2006/relationships/hyperlink" Target="https://www.ebay.com/itm/800572518683" TargetMode="External" Id="rId64" /><Relationship Type="http://schemas.openxmlformats.org/officeDocument/2006/relationships/hyperlink" Target="https://www.ebay.com/itm/227402767941" TargetMode="External" Id="rId65" /><Relationship Type="http://schemas.openxmlformats.org/officeDocument/2006/relationships/hyperlink" Target="https://www.ebay.com/itm/287620955096" TargetMode="External" Id="rId66" /><Relationship Type="http://schemas.openxmlformats.org/officeDocument/2006/relationships/hyperlink" Target="https://www.ebay.com/itm/398398409741" TargetMode="External" Id="rId67" /><Relationship Type="http://schemas.openxmlformats.org/officeDocument/2006/relationships/hyperlink" Target="https://www.ebay.com/itm/307194675494" TargetMode="External" Id="rId68" /><Relationship Type="http://schemas.openxmlformats.org/officeDocument/2006/relationships/hyperlink" Target="https://www.ebay.com/itm/366706722500" TargetMode="External" Id="rId69" /><Relationship Type="http://schemas.openxmlformats.org/officeDocument/2006/relationships/hyperlink" Target="https://www.ebay.com/itm/257573828939" TargetMode="External" Id="rId70" /><Relationship Type="http://schemas.openxmlformats.org/officeDocument/2006/relationships/hyperlink" Target="https://www.ebay.com/itm/257796156461" TargetMode="External" Id="rId71" /><Relationship Type="http://schemas.openxmlformats.org/officeDocument/2006/relationships/hyperlink" Target="https://www.ebay.com/itm/366720837166" TargetMode="External" Id="rId72" /><Relationship Type="http://schemas.openxmlformats.org/officeDocument/2006/relationships/hyperlink" Target="https://www.ebay.com/itm/267812335424" TargetMode="External" Id="rId73" /><Relationship Type="http://schemas.openxmlformats.org/officeDocument/2006/relationships/hyperlink" Target="https://www.ebay.com/itm/128130997262" TargetMode="External" Id="rId74" /><Relationship Type="http://schemas.openxmlformats.org/officeDocument/2006/relationships/hyperlink" Target="https://www.ebay.com/itm/960060856252" TargetMode="External" Id="rId75" /><Relationship Type="http://schemas.openxmlformats.org/officeDocument/2006/relationships/hyperlink" Target="https://www.ebay.com/itm/298605370806" TargetMode="External" Id="rId76" /><Relationship Type="http://schemas.openxmlformats.org/officeDocument/2006/relationships/hyperlink" Target="https://www.ebay.com/itm/860031852789" TargetMode="External" Id="rId77" /><Relationship Type="http://schemas.openxmlformats.org/officeDocument/2006/relationships/hyperlink" Target="https://www.ebay.com/itm/960058916251" TargetMode="External" Id="rId78" /><Relationship Type="http://schemas.openxmlformats.org/officeDocument/2006/relationships/hyperlink" Target="https://www.ebay.com/itm/940009062586" TargetMode="External" Id="rId79" /><Relationship Type="http://schemas.openxmlformats.org/officeDocument/2006/relationships/hyperlink" Target="https://www.ebay.com/itm/389732753480" TargetMode="External" Id="rId80" /><Relationship Type="http://schemas.openxmlformats.org/officeDocument/2006/relationships/hyperlink" Target="https://www.ebay.com/itm/158132772011" TargetMode="External" Id="rId81" /><Relationship Type="http://schemas.openxmlformats.org/officeDocument/2006/relationships/hyperlink" Target="https://www.ebay.com/itm/389401265654" TargetMode="External" Id="rId82" /><Relationship Type="http://schemas.openxmlformats.org/officeDocument/2006/relationships/hyperlink" Target="https://www.ebay.com/itm/267809260226" TargetMode="External" Id="rId83" /><Relationship Type="http://schemas.openxmlformats.org/officeDocument/2006/relationships/hyperlink" Target="https://www.ebay.com/itm/800773514419" TargetMode="External" Id="rId84" /><Relationship Type="http://schemas.openxmlformats.org/officeDocument/2006/relationships/hyperlink" Target="https://www.ebay.com/itm/389945918228" TargetMode="External" Id="rId85" /><Relationship Type="http://schemas.openxmlformats.org/officeDocument/2006/relationships/hyperlink" Target="https://www.ebay.com/itm/366718755179" TargetMode="External" Id="rId86" /><Relationship Type="http://schemas.openxmlformats.org/officeDocument/2006/relationships/hyperlink" Target="https://www.ebay.com/itm/128104115525" TargetMode="External" Id="rId87" /><Relationship Type="http://schemas.openxmlformats.org/officeDocument/2006/relationships/hyperlink" Target="https://www.ebay.com/itm/960033835048" TargetMode="External" Id="rId88" /><Relationship Type="http://schemas.openxmlformats.org/officeDocument/2006/relationships/hyperlink" Target="https://www.ebay.com/itm/377567672653" TargetMode="External" Id="rId89" /><Relationship Type="http://schemas.openxmlformats.org/officeDocument/2006/relationships/hyperlink" Target="https://www.ebay.com/itm/364224496605" TargetMode="External" Id="rId90" /><Relationship Type="http://schemas.openxmlformats.org/officeDocument/2006/relationships/hyperlink" Target="https://www.ebay.com/itm/227402767941" TargetMode="External" Id="rId91" /><Relationship Type="http://schemas.openxmlformats.org/officeDocument/2006/relationships/hyperlink" Target="https://www.ebay.com/itm/960062712395" TargetMode="External" Id="rId92" /><Relationship Type="http://schemas.openxmlformats.org/officeDocument/2006/relationships/hyperlink" Target="https://www.ebay.com/itm/307230030575" TargetMode="External" Id="rId93" /><Relationship Type="http://schemas.openxmlformats.org/officeDocument/2006/relationships/hyperlink" Target="https://www.ebay.com/itm/298629950161" TargetMode="External" Id="rId94" /><Relationship Type="http://schemas.openxmlformats.org/officeDocument/2006/relationships/hyperlink" Target="https://www.ebay.com/itm/298614937992" TargetMode="External" Id="rId95" /><Relationship Type="http://schemas.openxmlformats.org/officeDocument/2006/relationships/hyperlink" Target="https://www.ebay.com/itm/257573828939" TargetMode="External" Id="rId96" /><Relationship Type="http://schemas.openxmlformats.org/officeDocument/2006/relationships/hyperlink" Target="https://www.ebay.com/itm/840018075032" TargetMode="External" Id="rId97" /><Relationship Type="http://schemas.openxmlformats.org/officeDocument/2006/relationships/hyperlink" Target="https://www.ebay.com/itm/366720837166" TargetMode="External" Id="rId98" /><Relationship Type="http://schemas.openxmlformats.org/officeDocument/2006/relationships/hyperlink" Target="https://www.ebay.com/itm/267812335424" TargetMode="External" Id="rId99" /><Relationship Type="http://schemas.openxmlformats.org/officeDocument/2006/relationships/hyperlink" Target="https://www.ebay.com/itm/278426444361" TargetMode="External" Id="rId100" /><Relationship Type="http://schemas.openxmlformats.org/officeDocument/2006/relationships/hyperlink" Target="https://www.ebay.com/itm/117465237878" TargetMode="External" Id="rId101" /><Relationship Type="http://schemas.openxmlformats.org/officeDocument/2006/relationships/hyperlink" Target="https://www.ebay.com/itm/298605370806" TargetMode="External" Id="rId102" /><Relationship Type="http://schemas.openxmlformats.org/officeDocument/2006/relationships/hyperlink" Target="https://www.ebay.com/itm/117443360510" TargetMode="External" Id="rId103" /><Relationship Type="http://schemas.openxmlformats.org/officeDocument/2006/relationships/hyperlink" Target="https://www.ebay.com/itm/307229964788" TargetMode="External" Id="rId104" /><Relationship Type="http://schemas.openxmlformats.org/officeDocument/2006/relationships/hyperlink" Target="https://www.ebay.com/itm/318826733936" TargetMode="External" Id="rId105" /><Relationship Type="http://schemas.openxmlformats.org/officeDocument/2006/relationships/hyperlink" Target="https://www.ebay.com/itm/389732753480" TargetMode="External" Id="rId106" /><Relationship Type="http://schemas.openxmlformats.org/officeDocument/2006/relationships/hyperlink" Target="https://www.ebay.com/itm/158132772011" TargetMode="External" Id="rId107" /><Relationship Type="http://schemas.openxmlformats.org/officeDocument/2006/relationships/hyperlink" Target="https://www.ebay.com/itm/920041309011" TargetMode="External" Id="rId108" /><Relationship Type="http://schemas.openxmlformats.org/officeDocument/2006/relationships/hyperlink" Target="https://www.ebay.com/itm/335784468289" TargetMode="External" Id="rId109" /><Relationship Type="http://schemas.openxmlformats.org/officeDocument/2006/relationships/hyperlink" Target="https://www.ebay.com/itm/800773514419" TargetMode="External" Id="rId110" /><Relationship Type="http://schemas.openxmlformats.org/officeDocument/2006/relationships/hyperlink" Target="https://www.ebay.com/itm/389945918228" TargetMode="External" Id="rId111" /><Relationship Type="http://schemas.openxmlformats.org/officeDocument/2006/relationships/hyperlink" Target="https://www.ebay.com/itm/366718755179" TargetMode="External" Id="rId112" /><Relationship Type="http://schemas.openxmlformats.org/officeDocument/2006/relationships/hyperlink" Target="https://www.ebay.com/itm/128104115525" TargetMode="External" Id="rId113" /><Relationship Type="http://schemas.openxmlformats.org/officeDocument/2006/relationships/hyperlink" Target="https://www.ebay.com/itm/960033835048" TargetMode="External" Id="rId114" /><Relationship Type="http://schemas.openxmlformats.org/officeDocument/2006/relationships/hyperlink" Target="https://www.ebay.com/itm/198709471618" TargetMode="External" Id="rId115" /><Relationship Type="http://schemas.openxmlformats.org/officeDocument/2006/relationships/hyperlink" Target="https://www.ebay.com/itm/314675451357" TargetMode="External" Id="rId116" /><Relationship Type="http://schemas.openxmlformats.org/officeDocument/2006/relationships/hyperlink" Target="https://www.ebay.com/itm/227402767941" TargetMode="External" Id="rId117" /><Relationship Type="http://schemas.openxmlformats.org/officeDocument/2006/relationships/hyperlink" Target="https://www.ebay.com/itm/287620955096" TargetMode="External" Id="rId118" /><Relationship Type="http://schemas.openxmlformats.org/officeDocument/2006/relationships/hyperlink" Target="https://www.ebay.com/itm/307230030575" TargetMode="External" Id="rId119" /><Relationship Type="http://schemas.openxmlformats.org/officeDocument/2006/relationships/hyperlink" Target="https://www.ebay.com/itm/377526242250" TargetMode="External" Id="rId120" /><Relationship Type="http://schemas.openxmlformats.org/officeDocument/2006/relationships/hyperlink" Target="https://www.ebay.com/itm/407266245650" TargetMode="External" Id="rId121" /><Relationship Type="http://schemas.openxmlformats.org/officeDocument/2006/relationships/hyperlink" Target="https://www.ebay.com/itm/287649040444" TargetMode="External" Id="rId122" /><Relationship Type="http://schemas.openxmlformats.org/officeDocument/2006/relationships/hyperlink" Target="https://www.ebay.com/itm/257798619841" TargetMode="External" Id="rId123" /><Relationship Type="http://schemas.openxmlformats.org/officeDocument/2006/relationships/hyperlink" Target="https://www.ebay.com/itm/366720837166" TargetMode="External" Id="rId124" /><Relationship Type="http://schemas.openxmlformats.org/officeDocument/2006/relationships/hyperlink" Target="https://www.ebay.com/itm/960067352638" TargetMode="External" Id="rId125" /><Relationship Type="http://schemas.openxmlformats.org/officeDocument/2006/relationships/hyperlink" Target="https://www.ebay.com/itm/278426444361" TargetMode="External" Id="rId126" /><Relationship Type="http://schemas.openxmlformats.org/officeDocument/2006/relationships/hyperlink" Target="https://www.ebay.com/itm/117467045085" TargetMode="External" Id="rId127" /><Relationship Type="http://schemas.openxmlformats.org/officeDocument/2006/relationships/hyperlink" Target="https://www.ebay.com/itm/920034258776" TargetMode="External" Id="rId128" /><Relationship Type="http://schemas.openxmlformats.org/officeDocument/2006/relationships/hyperlink" Target="https://www.ebay.com/itm/178508431478" TargetMode="External" Id="rId129" /><Relationship Type="http://schemas.openxmlformats.org/officeDocument/2006/relationships/hyperlink" Target="https://www.ebay.com/itm/287648085856" TargetMode="External" Id="rId130" /><Relationship Type="http://schemas.openxmlformats.org/officeDocument/2006/relationships/hyperlink" Target="https://www.ebay.com/itm/327405616465" TargetMode="External" Id="rId131" /><Relationship Type="http://schemas.openxmlformats.org/officeDocument/2006/relationships/hyperlink" Target="https://msrcomputers.framer.website/" TargetMode="External" Id="rId132" /><Relationship Type="http://schemas.openxmlformats.org/officeDocument/2006/relationships/hyperlink" Target="https://msrcomputers.framer.website/" TargetMode="External" Id="rId133" /><Relationship Type="http://schemas.openxmlformats.org/officeDocument/2006/relationships/hyperlink" Target="https://msrcomputers.framer.website/" TargetMode="External" Id="rId134" /><Relationship Type="http://schemas.openxmlformats.org/officeDocument/2006/relationships/hyperlink" Target="https://www.facebook.com/marketplace/item/2555034215012611/" TargetMode="External" Id="rId135" /><Relationship Type="http://schemas.openxmlformats.org/officeDocument/2006/relationships/hyperlink" Target="https://www.facebook.com/marketplace/item/2669179450145313/" TargetMode="External" Id="rId136" /><Relationship Type="http://schemas.openxmlformats.org/officeDocument/2006/relationships/hyperlink" Target="https://www.facebook.com/marketplace/item/1361869715871206/" TargetMode="External" Id="rId137" /><Relationship Type="http://schemas.openxmlformats.org/officeDocument/2006/relationships/hyperlink" Target="https://www.facebook.com/marketplace/item/1582597166589691/" TargetMode="External" Id="rId138" /><Relationship Type="http://schemas.openxmlformats.org/officeDocument/2006/relationships/hyperlink" Target="https://www.facebook.com/marketplace/item/2167313420829167/" TargetMode="External" Id="rId139" /><Relationship Type="http://schemas.openxmlformats.org/officeDocument/2006/relationships/hyperlink" Target="https://www.facebook.com/marketplace/item/1796562071723775/" TargetMode="External" Id="rId140" /><Relationship Type="http://schemas.openxmlformats.org/officeDocument/2006/relationships/hyperlink" Target="https://www.facebook.com/marketplace/item/1414394683871926/" TargetMode="External" Id="rId141" /><Relationship Type="http://schemas.openxmlformats.org/officeDocument/2006/relationships/hyperlink" Target="https://www.facebook.com/marketplace/item/1074400352041144/" TargetMode="External" Id="rId142" /><Relationship Type="http://schemas.openxmlformats.org/officeDocument/2006/relationships/hyperlink" Target="https://www.facebook.com/marketplace/item/959874386670350/" TargetMode="External" Id="rId143" /><Relationship Type="http://schemas.openxmlformats.org/officeDocument/2006/relationships/hyperlink" Target="https://www.facebook.com/marketplace/item/2347323546077904/" TargetMode="External" Id="rId144" /><Relationship Type="http://schemas.openxmlformats.org/officeDocument/2006/relationships/hyperlink" Target="https://www.facebook.com/marketplace/item/2345958202816013/" TargetMode="External" Id="rId145" /><Relationship Type="http://schemas.openxmlformats.org/officeDocument/2006/relationships/hyperlink" Target="https://www.facebook.com/marketplace/item/1448988227128820/" TargetMode="External" Id="rId146" /><Relationship Type="http://schemas.openxmlformats.org/officeDocument/2006/relationships/hyperlink" Target="https://www.facebook.com/marketplace/item/2817371738643128/" TargetMode="External" Id="rId147" /><Relationship Type="http://schemas.openxmlformats.org/officeDocument/2006/relationships/hyperlink" Target="https://www.facebook.com/marketplace/item/2078197563584097/" TargetMode="External" Id="rId148" /><Relationship Type="http://schemas.openxmlformats.org/officeDocument/2006/relationships/hyperlink" Target="https://www.facebook.com/marketplace/item/1537210071754803/" TargetMode="External" Id="rId149" /><Relationship Type="http://schemas.openxmlformats.org/officeDocument/2006/relationships/hyperlink" Target="https://cyrexstore.com/" TargetMode="External" Id="rId150" /><Relationship Type="http://schemas.openxmlformats.org/officeDocument/2006/relationships/hyperlink" Target="https://cyrexstore.com/" TargetMode="External" Id="rId151" /><Relationship Type="http://schemas.openxmlformats.org/officeDocument/2006/relationships/hyperlink" Target="https://cyrexstore.com/" TargetMode="External" Id="rId152" /><Relationship Type="http://schemas.openxmlformats.org/officeDocument/2006/relationships/hyperlink" Target="https://compucenter.store/" TargetMode="External" Id="rId153" /><Relationship Type="http://schemas.openxmlformats.org/officeDocument/2006/relationships/hyperlink" Target="https://www.facebook.com/marketplace/item/1292124363069503/" TargetMode="External" Id="rId154" /><Relationship Type="http://schemas.openxmlformats.org/officeDocument/2006/relationships/hyperlink" Target="https://www.facebook.com/marketplace/item/1292124363069503/" TargetMode="External" Id="rId155" /><Relationship Type="http://schemas.openxmlformats.org/officeDocument/2006/relationships/hyperlink" Target="https://www.pccomponents-bo.com/" TargetMode="External" Id="rId156" /><Relationship Type="http://schemas.openxmlformats.org/officeDocument/2006/relationships/hyperlink" Target="https://www.pccomponents-bo.com/" TargetMode="External" Id="rId157" /><Relationship Type="http://schemas.openxmlformats.org/officeDocument/2006/relationships/hyperlink" Target="https://www.pccomponents-bo.com/" TargetMode="External" Id="rId158" /><Relationship Type="http://schemas.openxmlformats.org/officeDocument/2006/relationships/hyperlink" Target="https://www.facebook.com/marketplace/item/2840215069674304/" TargetMode="External" Id="rId159" /><Relationship Type="http://schemas.openxmlformats.org/officeDocument/2006/relationships/hyperlink" Target="https://www.pccomponents-bo.com/" TargetMode="External" Id="rId160" /><Relationship Type="http://schemas.openxmlformats.org/officeDocument/2006/relationships/hyperlink" Target="https://www.puntotecnologic.com/categories/procesadores" TargetMode="External" Id="rId161" /><Relationship Type="http://schemas.openxmlformats.org/officeDocument/2006/relationships/hyperlink" Target="https://www.puntotecnologic.com/categories/procesadores" TargetMode="External" Id="rId162" /><Relationship Type="http://schemas.openxmlformats.org/officeDocument/2006/relationships/hyperlink" Target="https://www.puntotecnologic.com/categories/procesadores" TargetMode="External" Id="rId163" /><Relationship Type="http://schemas.openxmlformats.org/officeDocument/2006/relationships/hyperlink" Target="https://www.puntotecnologic.com/categories/procesadores" TargetMode="External" Id="rId164" /><Relationship Type="http://schemas.openxmlformats.org/officeDocument/2006/relationships/hyperlink" Target="https://www.puntotecnologic.com/categories/procesadores" TargetMode="External" Id="rId165" /><Relationship Type="http://schemas.openxmlformats.org/officeDocument/2006/relationships/hyperlink" Target="https://www.puntotecnologic.com/categories/procesadores" TargetMode="External" Id="rId166" /><Relationship Type="http://schemas.openxmlformats.org/officeDocument/2006/relationships/hyperlink" Target="https://www.puntotecnologic.com/categories/procesadores" TargetMode="External" Id="rId167" /><Relationship Type="http://schemas.openxmlformats.org/officeDocument/2006/relationships/hyperlink" Target="https://www.puntotecnologic.com/categories/memoria-ram" TargetMode="External" Id="rId168" /><Relationship Type="http://schemas.openxmlformats.org/officeDocument/2006/relationships/hyperlink" Target="https://www.puntotecnologic.com/categories/memoria-ram" TargetMode="External" Id="rId169" /><Relationship Type="http://schemas.openxmlformats.org/officeDocument/2006/relationships/hyperlink" Target="https://www.puntotecnologic.com/categories/memoria-ram" TargetMode="External" Id="rId170" /><Relationship Type="http://schemas.openxmlformats.org/officeDocument/2006/relationships/hyperlink" Target="https://www.puntotecnologic.com/categories/memoria-ram" TargetMode="External" Id="rId171" /><Relationship Type="http://schemas.openxmlformats.org/officeDocument/2006/relationships/hyperlink" Target="https://www.puntotecnologic.com/categories/disco-solido" TargetMode="External" Id="rId172" /><Relationship Type="http://schemas.openxmlformats.org/officeDocument/2006/relationships/hyperlink" Target="https://www.puntotecnologic.com/categories/disco-solido" TargetMode="External" Id="rId173" /><Relationship Type="http://schemas.openxmlformats.org/officeDocument/2006/relationships/hyperlink" Target="https://www.puntotecnologic.com/categories/disco-solido" TargetMode="External" Id="rId174" /><Relationship Type="http://schemas.openxmlformats.org/officeDocument/2006/relationships/hyperlink" Target="https://www.puntotecnologic.com/categories/disco-solido" TargetMode="External" Id="rId175" /><Relationship Type="http://schemas.openxmlformats.org/officeDocument/2006/relationships/hyperlink" Target="https://www.puntotecnologic.com/categories/disco-solido" TargetMode="External" Id="rId176" /><Relationship Type="http://schemas.openxmlformats.org/officeDocument/2006/relationships/hyperlink" Target="https://www.facebook.com/computadorascochabamba/" TargetMode="External" Id="rId177" /><Relationship Type="http://schemas.openxmlformats.org/officeDocument/2006/relationships/hyperlink" Target="https://www.facebook.com/computadorascochabamba/" TargetMode="External" Id="rId178" /><Relationship Type="http://schemas.openxmlformats.org/officeDocument/2006/relationships/hyperlink" Target="https://www.facebook.com/computadorascochabamba/" TargetMode="External" Id="rId179" /><Relationship Type="http://schemas.openxmlformats.org/officeDocument/2006/relationships/hyperlink" Target="https://www.facebook.com/marketplace/item/2555034215012611/" TargetMode="External" Id="rId180" /><Relationship Type="http://schemas.openxmlformats.org/officeDocument/2006/relationships/hyperlink" Target="https://www.facebook.com/marketplace/item/1408789477863562/" TargetMode="External" Id="rId181" /><Relationship Type="http://schemas.openxmlformats.org/officeDocument/2006/relationships/hyperlink" Target="https://geek-store-bolivia.kyte.site/es/c/procesadores/1732582305626-dxXRD" TargetMode="External" Id="rId182" /><Relationship Type="http://schemas.openxmlformats.org/officeDocument/2006/relationships/table" Target="/xl/tables/table3.xml" Id="rId18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15/10/2026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175</v>
      </c>
      <c r="G5" s="2" t="n"/>
      <c r="H5" s="8" t="n">
        <v>4060</v>
      </c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Ryzen 5 7600</t>
        </is>
      </c>
      <c r="B6" s="5" t="inlineStr">
        <is>
          <t>CPU</t>
        </is>
      </c>
      <c r="C6" s="6" t="inlineStr">
        <is>
          <t>ver en eBay</t>
        </is>
      </c>
      <c r="D6" s="7" t="n">
        <v>142.24</v>
      </c>
      <c r="E6" s="7" t="n">
        <v>0</v>
      </c>
      <c r="F6" s="7" t="n">
        <v>120</v>
      </c>
      <c r="G6" s="2" t="n"/>
      <c r="H6" s="8" t="n">
        <v>2800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350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Ultra 7 265K</t>
        </is>
      </c>
      <c r="B7" s="5" t="inlineStr">
        <is>
          <t>CPU</t>
        </is>
      </c>
      <c r="C7" s="6" t="inlineStr">
        <is>
          <t>ver en eBay</t>
        </is>
      </c>
      <c r="D7" s="7" t="n">
        <v>234.99</v>
      </c>
      <c r="E7" s="7" t="n">
        <v>0</v>
      </c>
      <c r="F7" s="7" t="n">
        <v>229</v>
      </c>
      <c r="G7" s="2" t="n"/>
      <c r="H7" s="8" t="n">
        <v>3950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300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Ryzen 7 7800X3D</t>
        </is>
      </c>
      <c r="B8" s="5" t="inlineStr">
        <is>
          <t>CPU</t>
        </is>
      </c>
      <c r="C8" s="6" t="inlineStr">
        <is>
          <t>ver en eBay</t>
        </is>
      </c>
      <c r="D8" s="7" t="n">
        <v>320</v>
      </c>
      <c r="E8" s="7" t="n">
        <v>0</v>
      </c>
      <c r="F8" s="7" t="n">
        <v>279.99</v>
      </c>
      <c r="G8" s="8" t="n">
        <v>4800</v>
      </c>
      <c r="H8" s="8" t="n">
        <v>4760</v>
      </c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350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Intel Core i5-14400F</t>
        </is>
      </c>
      <c r="B9" s="5" t="inlineStr">
        <is>
          <t>CPU</t>
        </is>
      </c>
      <c r="C9" s="6" t="inlineStr">
        <is>
          <t>ver en eBay</t>
        </is>
      </c>
      <c r="D9" s="7" t="n">
        <v>164.49</v>
      </c>
      <c r="E9" s="7" t="n">
        <v>0</v>
      </c>
      <c r="F9" s="7" t="n">
        <v>134.99</v>
      </c>
      <c r="G9" s="2" t="n"/>
      <c r="H9" s="8" t="n">
        <v>2460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250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Intel Core i5-12400F</t>
        </is>
      </c>
      <c r="B10" s="5" t="inlineStr">
        <is>
          <t>CPU</t>
        </is>
      </c>
      <c r="C10" s="6" t="inlineStr">
        <is>
          <t>ver en eBay</t>
        </is>
      </c>
      <c r="D10" s="7" t="n">
        <v>150</v>
      </c>
      <c r="E10" s="7" t="n">
        <v>0</v>
      </c>
      <c r="F10" s="7" t="n">
        <v>114.99</v>
      </c>
      <c r="G10" s="2" t="n"/>
      <c r="H10" s="8" t="n">
        <v>2260</v>
      </c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250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Corsair Vengeance RGB DDR5 32GB (2x16) 6000</t>
        </is>
      </c>
      <c r="B11" s="5" t="inlineStr">
        <is>
          <t>RAM</t>
        </is>
      </c>
      <c r="C11" s="6" t="inlineStr">
        <is>
          <t>ver en eBay</t>
        </is>
      </c>
      <c r="D11" s="7" t="n">
        <v>425</v>
      </c>
      <c r="E11" s="7" t="n">
        <v>10.99</v>
      </c>
      <c r="F11" s="7" t="n">
        <v>394.99</v>
      </c>
      <c r="G11" s="8" t="n">
        <v>6200</v>
      </c>
      <c r="H11" s="2" t="n"/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150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SSD NVMe 1TB</t>
        </is>
      </c>
      <c r="B12" s="5" t="inlineStr">
        <is>
          <t>SSD</t>
        </is>
      </c>
      <c r="C12" s="6" t="inlineStr">
        <is>
          <t>ver en eBay</t>
        </is>
      </c>
      <c r="D12" s="7" t="n">
        <v>128.99</v>
      </c>
      <c r="E12" s="7" t="n">
        <v>0</v>
      </c>
      <c r="F12" s="7" t="n">
        <v>80</v>
      </c>
      <c r="G12" s="8" t="n">
        <v>1800</v>
      </c>
      <c r="H12" s="8" t="n">
        <v>1754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80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Corsair Vengeance RGB DDR5 32GB (2x16) 5600</t>
        </is>
      </c>
      <c r="B13" s="5" t="inlineStr">
        <is>
          <t>RAM</t>
        </is>
      </c>
      <c r="C13" s="6" t="inlineStr">
        <is>
          <t>ver en eBay</t>
        </is>
      </c>
      <c r="D13" s="7" t="n">
        <v>429.97</v>
      </c>
      <c r="E13" s="7" t="n">
        <v>0</v>
      </c>
      <c r="F13" s="7" t="n">
        <v>375</v>
      </c>
      <c r="G13" s="8" t="n">
        <v>4500</v>
      </c>
      <c r="H13" s="2" t="n"/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RAM DDR4 16GB (2x8) 3200</t>
        </is>
      </c>
      <c r="B14" s="5" t="inlineStr">
        <is>
          <t>RAM</t>
        </is>
      </c>
      <c r="C14" s="6" t="inlineStr">
        <is>
          <t>ver en eBay</t>
        </is>
      </c>
      <c r="D14" s="7" t="n">
        <v>75</v>
      </c>
      <c r="E14" s="7" t="n">
        <v>0</v>
      </c>
      <c r="F14" s="7" t="n">
        <v>73.95</v>
      </c>
      <c r="G14" s="8" t="n">
        <v>900</v>
      </c>
      <c r="H14" s="8" t="n">
        <v>2150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120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Intel Core i5-13400</t>
        </is>
      </c>
      <c r="B15" s="5" t="inlineStr">
        <is>
          <t>CPU</t>
        </is>
      </c>
      <c r="C15" s="6" t="inlineStr">
        <is>
          <t>ver en eBay</t>
        </is>
      </c>
      <c r="D15" s="7" t="n">
        <v>259.78</v>
      </c>
      <c r="E15" s="7" t="n">
        <v>0</v>
      </c>
      <c r="F15" s="7" t="n">
        <v>149.99</v>
      </c>
      <c r="G15" s="2" t="n"/>
      <c r="H15" s="8" t="n">
        <v>2300</v>
      </c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300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Ryzen 9 9950X</t>
        </is>
      </c>
      <c r="B16" s="5" t="inlineStr">
        <is>
          <t>CPU</t>
        </is>
      </c>
      <c r="C16" s="6" t="inlineStr">
        <is>
          <t>ver en eBay</t>
        </is>
      </c>
      <c r="D16" s="7" t="n">
        <v>689.34</v>
      </c>
      <c r="E16" s="7" t="n">
        <v>0</v>
      </c>
      <c r="F16" s="7" t="n">
        <v>375</v>
      </c>
      <c r="G16" s="2" t="n"/>
      <c r="H16" s="8" t="n">
        <v>5580</v>
      </c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350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5600</t>
        </is>
      </c>
      <c r="B17" s="5" t="inlineStr">
        <is>
          <t>CPU</t>
        </is>
      </c>
      <c r="C17" s="6" t="inlineStr">
        <is>
          <t>ver en eBay</t>
        </is>
      </c>
      <c r="D17" s="7" t="n">
        <v>138.9</v>
      </c>
      <c r="E17" s="7" t="n">
        <v>0</v>
      </c>
      <c r="F17" s="7" t="n">
        <v>135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Ryzen 7 5700X3D</t>
        </is>
      </c>
      <c r="B18" s="5" t="inlineStr">
        <is>
          <t>CPU</t>
        </is>
      </c>
      <c r="C18" s="6" t="inlineStr">
        <is>
          <t>ver en eBay</t>
        </is>
      </c>
      <c r="D18" s="2" t="n"/>
      <c r="E18" s="2" t="n"/>
      <c r="F18" s="7" t="n">
        <v>295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350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46310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175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46309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46310</v>
      </c>
      <c r="B3" s="5" t="inlineStr">
        <is>
          <t>SSD NVMe 1TB</t>
        </is>
      </c>
      <c r="C3" s="5" t="inlineStr">
        <is>
          <t>SSD</t>
        </is>
      </c>
      <c r="D3" s="7" t="n">
        <v>128.99</v>
      </c>
      <c r="E3" s="7" t="n">
        <v>80</v>
      </c>
      <c r="F3" s="2" t="n"/>
      <c r="G3" s="8" t="n">
        <v>1754</v>
      </c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46309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46310</v>
      </c>
      <c r="B4" s="5" t="inlineStr">
        <is>
          <t>Ryzen 9 9950X</t>
        </is>
      </c>
      <c r="C4" s="5" t="inlineStr">
        <is>
          <t>CPU</t>
        </is>
      </c>
      <c r="D4" s="7" t="n">
        <v>689.34</v>
      </c>
      <c r="E4" s="7" t="n">
        <v>375</v>
      </c>
      <c r="F4" s="2" t="n"/>
      <c r="G4" s="2" t="n"/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46309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46310</v>
      </c>
      <c r="B5" s="5" t="inlineStr">
        <is>
          <t>Ryzen 7 7800X3D</t>
        </is>
      </c>
      <c r="C5" s="5" t="inlineStr">
        <is>
          <t>CPU</t>
        </is>
      </c>
      <c r="D5" s="7" t="n">
        <v>320</v>
      </c>
      <c r="E5" s="7" t="n">
        <v>279.99</v>
      </c>
      <c r="F5" s="2" t="n"/>
      <c r="G5" s="8" t="n">
        <v>5890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46309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46310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295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15" t="n">
        <v>46309</v>
      </c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46310</v>
      </c>
      <c r="B7" s="5" t="inlineStr">
        <is>
          <t>Ryzen 5 7600</t>
        </is>
      </c>
      <c r="C7" s="5" t="inlineStr">
        <is>
          <t>CPU</t>
        </is>
      </c>
      <c r="D7" s="7" t="n">
        <v>142.24</v>
      </c>
      <c r="E7" s="7" t="n">
        <v>120</v>
      </c>
      <c r="F7" s="2" t="n"/>
      <c r="G7" s="8" t="n">
        <v>2800</v>
      </c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46309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46310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15" t="n">
        <v>46309</v>
      </c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46310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73.95</v>
      </c>
      <c r="F9" s="2" t="n"/>
      <c r="G9" s="2" t="n"/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46309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46310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134.99</v>
      </c>
      <c r="F10" s="2" t="n"/>
      <c r="G10" s="8" t="n">
        <v>2750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46309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46310</v>
      </c>
      <c r="B11" s="5" t="inlineStr">
        <is>
          <t>Intel Core i5-13400</t>
        </is>
      </c>
      <c r="C11" s="5" t="inlineStr">
        <is>
          <t>CPU</t>
        </is>
      </c>
      <c r="D11" s="2" t="n"/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46309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46310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114.99</v>
      </c>
      <c r="F12" s="2" t="n"/>
      <c r="G12" s="8" t="n">
        <v>2260</v>
      </c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15" t="n">
        <v>46309</v>
      </c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46310</v>
      </c>
      <c r="B13" s="5" t="inlineStr">
        <is>
          <t>Intel Core Ultra 7 265K</t>
        </is>
      </c>
      <c r="C13" s="5" t="inlineStr">
        <is>
          <t>CPU</t>
        </is>
      </c>
      <c r="D13" s="7" t="n">
        <v>234.99</v>
      </c>
      <c r="E13" s="7" t="n">
        <v>229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46309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46310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394.99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46309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46310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429.97</v>
      </c>
      <c r="E15" s="7" t="n">
        <v>375</v>
      </c>
      <c r="F15" s="2" t="n"/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15" t="n">
        <v>46309</v>
      </c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46309</v>
      </c>
      <c r="B16" s="5" t="inlineStr">
        <is>
          <t>SSD NVMe 2TB</t>
        </is>
      </c>
      <c r="C16" s="5" t="inlineStr">
        <is>
          <t>SSD</t>
        </is>
      </c>
      <c r="D16" s="7" t="n">
        <v>209.99</v>
      </c>
      <c r="E16" s="7" t="n">
        <v>164.99</v>
      </c>
      <c r="F16" s="2" t="n"/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15" t="n">
        <v>46308</v>
      </c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46309</v>
      </c>
      <c r="B17" s="5" t="inlineStr">
        <is>
          <t>SSD NVMe 1TB</t>
        </is>
      </c>
      <c r="C17" s="5" t="inlineStr">
        <is>
          <t>SSD</t>
        </is>
      </c>
      <c r="D17" s="7" t="n">
        <v>117.99</v>
      </c>
      <c r="E17" s="7" t="n">
        <v>92.98999999999999</v>
      </c>
      <c r="F17" s="2" t="n"/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15" t="n">
        <v>46308</v>
      </c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46309</v>
      </c>
      <c r="B18" s="5" t="inlineStr">
        <is>
          <t>Ryzen 9 9950X</t>
        </is>
      </c>
      <c r="C18" s="5" t="inlineStr">
        <is>
          <t>CPU</t>
        </is>
      </c>
      <c r="D18" s="7" t="n">
        <v>499.99</v>
      </c>
      <c r="E18" s="7" t="n">
        <v>454.99</v>
      </c>
      <c r="F18" s="2" t="n"/>
      <c r="G18" s="2" t="n"/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15" t="n">
        <v>46308</v>
      </c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46309</v>
      </c>
      <c r="B19" s="5" t="inlineStr">
        <is>
          <t>Ryzen 7 7800X3D</t>
        </is>
      </c>
      <c r="C19" s="5" t="inlineStr">
        <is>
          <t>CPU</t>
        </is>
      </c>
      <c r="D19" s="7" t="n">
        <v>329</v>
      </c>
      <c r="E19" s="7" t="n">
        <v>275.99</v>
      </c>
      <c r="F19" s="2" t="n"/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15" t="n">
        <v>46308</v>
      </c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46309</v>
      </c>
      <c r="B20" s="5" t="inlineStr">
        <is>
          <t>Ryzen 7 5700X3D</t>
        </is>
      </c>
      <c r="C20" s="5" t="inlineStr">
        <is>
          <t>CPU</t>
        </is>
      </c>
      <c r="D20" s="2" t="n"/>
      <c r="E20" s="7" t="n">
        <v>295</v>
      </c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6" t="inlineStr">
        <is>
          <t>ver anuncio</t>
        </is>
      </c>
      <c r="K20" s="15" t="n">
        <v>46308</v>
      </c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46309</v>
      </c>
      <c r="B21" s="5" t="inlineStr">
        <is>
          <t>Ryzen 5 7600</t>
        </is>
      </c>
      <c r="C21" s="5" t="inlineStr">
        <is>
          <t>CPU</t>
        </is>
      </c>
      <c r="D21" s="7" t="n">
        <v>142.24</v>
      </c>
      <c r="E21" s="7" t="n">
        <v>121.99</v>
      </c>
      <c r="F21" s="2" t="n"/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15" t="n">
        <v>46308</v>
      </c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46309</v>
      </c>
      <c r="B22" s="5" t="inlineStr">
        <is>
          <t>Ryzen 5 5600</t>
        </is>
      </c>
      <c r="C22" s="5" t="inlineStr">
        <is>
          <t>CPU</t>
        </is>
      </c>
      <c r="D22" s="7" t="n">
        <v>138.9</v>
      </c>
      <c r="E22" s="7" t="n">
        <v>129.99</v>
      </c>
      <c r="F22" s="2" t="n"/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15" t="n">
        <v>46308</v>
      </c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46309</v>
      </c>
      <c r="B23" s="5" t="inlineStr">
        <is>
          <t>RAM DDR4 16GB (2x8) 3200</t>
        </is>
      </c>
      <c r="C23" s="5" t="inlineStr">
        <is>
          <t>RAM</t>
        </is>
      </c>
      <c r="D23" s="7" t="n">
        <v>72.98999999999999</v>
      </c>
      <c r="E23" s="7" t="n">
        <v>65</v>
      </c>
      <c r="F23" s="2" t="n"/>
      <c r="G23" s="2" t="n"/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15" t="n">
        <v>46308</v>
      </c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46309</v>
      </c>
      <c r="B24" s="5" t="inlineStr">
        <is>
          <t>Intel Core i5-14400F</t>
        </is>
      </c>
      <c r="C24" s="5" t="inlineStr">
        <is>
          <t>CPU</t>
        </is>
      </c>
      <c r="D24" s="7" t="n">
        <v>164.49</v>
      </c>
      <c r="E24" s="7" t="n">
        <v>134</v>
      </c>
      <c r="F24" s="2" t="n"/>
      <c r="G24" s="2" t="n"/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15" t="n">
        <v>46308</v>
      </c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46309</v>
      </c>
      <c r="B25" s="5" t="inlineStr">
        <is>
          <t>Intel Core i5-13400</t>
        </is>
      </c>
      <c r="C25" s="5" t="inlineStr">
        <is>
          <t>CPU</t>
        </is>
      </c>
      <c r="D25" s="2" t="n"/>
      <c r="E25" s="7" t="n">
        <v>149.99</v>
      </c>
      <c r="F25" s="2" t="n"/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15" t="n">
        <v>46308</v>
      </c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  <row r="26">
      <c r="A26" s="15" t="n">
        <v>46309</v>
      </c>
      <c r="B26" s="5" t="inlineStr">
        <is>
          <t>Intel Core i5-12400F</t>
        </is>
      </c>
      <c r="C26" s="5" t="inlineStr">
        <is>
          <t>CPU</t>
        </is>
      </c>
      <c r="D26" s="7" t="n">
        <v>150</v>
      </c>
      <c r="E26" s="7" t="n">
        <v>120.99</v>
      </c>
      <c r="F26" s="2" t="n"/>
      <c r="G26" s="2" t="n"/>
      <c r="H26" s="9">
        <f>IFERROR(IF(INDEX(Dólar!$B:$B,MATCH(A26,Dólar!$A:$A,0))="","",INDEX(Dólar!$B:$B,MATCH(A26,Dólar!$A:$A,0))),"")</f>
        <v/>
      </c>
      <c r="I26" s="10">
        <f>IFERROR(INDEX(Dólar!$E:$E,MATCH(A26,Dólar!$A:$A,0)),"")</f>
        <v/>
      </c>
      <c r="J26" s="6" t="inlineStr">
        <is>
          <t>ver anuncio</t>
        </is>
      </c>
      <c r="K26" s="15" t="n">
        <v>46308</v>
      </c>
      <c r="L26" s="16">
        <f>IF(OR($K26="",D26=""),"",IF(COUNTIFS($B:$B,$B26,$A:$A,$K26,D:D,"&gt;=0")=0,"",D26-SUMIFS(D:D,$B:$B,$B26,$A:$A,$K26)))</f>
        <v/>
      </c>
      <c r="M26" s="16">
        <f>IF(OR($K26="",E26=""),"",IF(COUNTIFS($B:$B,$B26,$A:$A,$K26,E:E,"&gt;=0")=0,"",E26-SUMIFS(E:E,$B:$B,$B26,$A:$A,$K26)))</f>
        <v/>
      </c>
      <c r="N26" s="16">
        <f>IF(OR($K26="",F26=""),"",IF(COUNTIFS($B:$B,$B26,$A:$A,$K26,F:F,"&gt;=0")=0,"",F26-SUMIFS(F:F,$B:$B,$B26,$A:$A,$K26)))</f>
        <v/>
      </c>
      <c r="O26" s="16">
        <f>IF(OR($K26="",G26=""),"",IF(COUNTIFS($B:$B,$B26,$A:$A,$K26,G:G,"&gt;=0")=0,"",G26-SUMIFS(G:G,$B:$B,$B26,$A:$A,$K26)))</f>
        <v/>
      </c>
    </row>
    <row r="27">
      <c r="A27" s="15" t="n">
        <v>46309</v>
      </c>
      <c r="B27" s="5" t="inlineStr">
        <is>
          <t>Intel Core Ultra 7 265K</t>
        </is>
      </c>
      <c r="C27" s="5" t="inlineStr">
        <is>
          <t>CPU</t>
        </is>
      </c>
      <c r="D27" s="7" t="n">
        <v>234.99</v>
      </c>
      <c r="E27" s="7" t="n">
        <v>229</v>
      </c>
      <c r="F27" s="2" t="n"/>
      <c r="G27" s="2" t="n"/>
      <c r="H27" s="9">
        <f>IFERROR(IF(INDEX(Dólar!$B:$B,MATCH(A27,Dólar!$A:$A,0))="","",INDEX(Dólar!$B:$B,MATCH(A27,Dólar!$A:$A,0))),"")</f>
        <v/>
      </c>
      <c r="I27" s="10">
        <f>IFERROR(INDEX(Dólar!$E:$E,MATCH(A27,Dólar!$A:$A,0)),"")</f>
        <v/>
      </c>
      <c r="J27" s="6" t="inlineStr">
        <is>
          <t>ver anuncio</t>
        </is>
      </c>
      <c r="K27" s="15" t="n">
        <v>46308</v>
      </c>
      <c r="L27" s="16">
        <f>IF(OR($K27="",D27=""),"",IF(COUNTIFS($B:$B,$B27,$A:$A,$K27,D:D,"&gt;=0")=0,"",D27-SUMIFS(D:D,$B:$B,$B27,$A:$A,$K27)))</f>
        <v/>
      </c>
      <c r="M27" s="16">
        <f>IF(OR($K27="",E27=""),"",IF(COUNTIFS($B:$B,$B27,$A:$A,$K27,E:E,"&gt;=0")=0,"",E27-SUMIFS(E:E,$B:$B,$B27,$A:$A,$K27)))</f>
        <v/>
      </c>
      <c r="N27" s="16">
        <f>IF(OR($K27="",F27=""),"",IF(COUNTIFS($B:$B,$B27,$A:$A,$K27,F:F,"&gt;=0")=0,"",F27-SUMIFS(F:F,$B:$B,$B27,$A:$A,$K27)))</f>
        <v/>
      </c>
      <c r="O27" s="16">
        <f>IF(OR($K27="",G27=""),"",IF(COUNTIFS($B:$B,$B27,$A:$A,$K27,G:G,"&gt;=0")=0,"",G27-SUMIFS(G:G,$B:$B,$B27,$A:$A,$K27)))</f>
        <v/>
      </c>
    </row>
    <row r="28">
      <c r="A28" s="15" t="n">
        <v>46309</v>
      </c>
      <c r="B28" s="5" t="inlineStr">
        <is>
          <t>Corsair Vengeance RGB DDR5 32GB (2x16) 6000</t>
        </is>
      </c>
      <c r="C28" s="5" t="inlineStr">
        <is>
          <t>RAM</t>
        </is>
      </c>
      <c r="D28" s="7" t="n">
        <v>435.99</v>
      </c>
      <c r="E28" s="7" t="n">
        <v>399.9</v>
      </c>
      <c r="F28" s="2" t="n"/>
      <c r="G28" s="2" t="n"/>
      <c r="H28" s="9">
        <f>IFERROR(IF(INDEX(Dólar!$B:$B,MATCH(A28,Dólar!$A:$A,0))="","",INDEX(Dólar!$B:$B,MATCH(A28,Dólar!$A:$A,0))),"")</f>
        <v/>
      </c>
      <c r="I28" s="10">
        <f>IFERROR(INDEX(Dólar!$E:$E,MATCH(A28,Dólar!$A:$A,0)),"")</f>
        <v/>
      </c>
      <c r="J28" s="6" t="inlineStr">
        <is>
          <t>ver anuncio</t>
        </is>
      </c>
      <c r="K28" s="15" t="n">
        <v>46308</v>
      </c>
      <c r="L28" s="16">
        <f>IF(OR($K28="",D28=""),"",IF(COUNTIFS($B:$B,$B28,$A:$A,$K28,D:D,"&gt;=0")=0,"",D28-SUMIFS(D:D,$B:$B,$B28,$A:$A,$K28)))</f>
        <v/>
      </c>
      <c r="M28" s="16">
        <f>IF(OR($K28="",E28=""),"",IF(COUNTIFS($B:$B,$B28,$A:$A,$K28,E:E,"&gt;=0")=0,"",E28-SUMIFS(E:E,$B:$B,$B28,$A:$A,$K28)))</f>
        <v/>
      </c>
      <c r="N28" s="16">
        <f>IF(OR($K28="",F28=""),"",IF(COUNTIFS($B:$B,$B28,$A:$A,$K28,F:F,"&gt;=0")=0,"",F28-SUMIFS(F:F,$B:$B,$B28,$A:$A,$K28)))</f>
        <v/>
      </c>
      <c r="O28" s="16">
        <f>IF(OR($K28="",G28=""),"",IF(COUNTIFS($B:$B,$B28,$A:$A,$K28,G:G,"&gt;=0")=0,"",G28-SUMIFS(G:G,$B:$B,$B28,$A:$A,$K28)))</f>
        <v/>
      </c>
    </row>
    <row r="29">
      <c r="A29" s="15" t="n">
        <v>46309</v>
      </c>
      <c r="B29" s="5" t="inlineStr">
        <is>
          <t>Corsair Vengeance RGB DDR5 32GB (2x16) 5600</t>
        </is>
      </c>
      <c r="C29" s="5" t="inlineStr">
        <is>
          <t>RAM</t>
        </is>
      </c>
      <c r="D29" s="7" t="n">
        <v>429.97</v>
      </c>
      <c r="E29" s="7" t="n">
        <v>379.99</v>
      </c>
      <c r="F29" s="2" t="n"/>
      <c r="G29" s="2" t="n"/>
      <c r="H29" s="9">
        <f>IFERROR(IF(INDEX(Dólar!$B:$B,MATCH(A29,Dólar!$A:$A,0))="","",INDEX(Dólar!$B:$B,MATCH(A29,Dólar!$A:$A,0))),"")</f>
        <v/>
      </c>
      <c r="I29" s="10">
        <f>IFERROR(INDEX(Dólar!$E:$E,MATCH(A29,Dólar!$A:$A,0)),"")</f>
        <v/>
      </c>
      <c r="J29" s="6" t="inlineStr">
        <is>
          <t>ver anuncio</t>
        </is>
      </c>
      <c r="K29" s="15" t="n">
        <v>46308</v>
      </c>
      <c r="L29" s="16">
        <f>IF(OR($K29="",D29=""),"",IF(COUNTIFS($B:$B,$B29,$A:$A,$K29,D:D,"&gt;=0")=0,"",D29-SUMIFS(D:D,$B:$B,$B29,$A:$A,$K29)))</f>
        <v/>
      </c>
      <c r="M29" s="16">
        <f>IF(OR($K29="",E29=""),"",IF(COUNTIFS($B:$B,$B29,$A:$A,$K29,E:E,"&gt;=0")=0,"",E29-SUMIFS(E:E,$B:$B,$B29,$A:$A,$K29)))</f>
        <v/>
      </c>
      <c r="N29" s="16">
        <f>IF(OR($K29="",F29=""),"",IF(COUNTIFS($B:$B,$B29,$A:$A,$K29,F:F,"&gt;=0")=0,"",F29-SUMIFS(F:F,$B:$B,$B29,$A:$A,$K29)))</f>
        <v/>
      </c>
      <c r="O29" s="16">
        <f>IF(OR($K29="",G29=""),"",IF(COUNTIFS($B:$B,$B29,$A:$A,$K29,G:G,"&gt;=0")=0,"",G29-SUMIFS(G:G,$B:$B,$B29,$A:$A,$K29)))</f>
        <v/>
      </c>
    </row>
    <row r="30">
      <c r="A30" s="15" t="n">
        <v>46308</v>
      </c>
      <c r="B30" s="5" t="inlineStr">
        <is>
          <t>SSD NVMe 2TB</t>
        </is>
      </c>
      <c r="C30" s="5" t="inlineStr">
        <is>
          <t>SSD</t>
        </is>
      </c>
      <c r="D30" s="7" t="n">
        <v>209.99</v>
      </c>
      <c r="E30" s="7" t="n">
        <v>170</v>
      </c>
      <c r="F30" s="2" t="n"/>
      <c r="G30" s="2" t="n"/>
      <c r="H30" s="9">
        <f>IFERROR(IF(INDEX(Dólar!$B:$B,MATCH(A30,Dólar!$A:$A,0))="","",INDEX(Dólar!$B:$B,MATCH(A30,Dólar!$A:$A,0))),"")</f>
        <v/>
      </c>
      <c r="I30" s="10">
        <f>IFERROR(INDEX(Dólar!$E:$E,MATCH(A30,Dólar!$A:$A,0)),"")</f>
        <v/>
      </c>
      <c r="J30" s="6" t="inlineStr">
        <is>
          <t>ver anuncio</t>
        </is>
      </c>
      <c r="K30" s="15" t="n">
        <v>46307</v>
      </c>
      <c r="L30" s="16">
        <f>IF(OR($K30="",D30=""),"",IF(COUNTIFS($B:$B,$B30,$A:$A,$K30,D:D,"&gt;=0")=0,"",D30-SUMIFS(D:D,$B:$B,$B30,$A:$A,$K30)))</f>
        <v/>
      </c>
      <c r="M30" s="16">
        <f>IF(OR($K30="",E30=""),"",IF(COUNTIFS($B:$B,$B30,$A:$A,$K30,E:E,"&gt;=0")=0,"",E30-SUMIFS(E:E,$B:$B,$B30,$A:$A,$K30)))</f>
        <v/>
      </c>
      <c r="N30" s="16">
        <f>IF(OR($K30="",F30=""),"",IF(COUNTIFS($B:$B,$B30,$A:$A,$K30,F:F,"&gt;=0")=0,"",F30-SUMIFS(F:F,$B:$B,$B30,$A:$A,$K30)))</f>
        <v/>
      </c>
      <c r="O30" s="16">
        <f>IF(OR($K30="",G30=""),"",IF(COUNTIFS($B:$B,$B30,$A:$A,$K30,G:G,"&gt;=0")=0,"",G30-SUMIFS(G:G,$B:$B,$B30,$A:$A,$K30)))</f>
        <v/>
      </c>
    </row>
    <row r="31">
      <c r="A31" s="15" t="n">
        <v>46308</v>
      </c>
      <c r="B31" s="5" t="inlineStr">
        <is>
          <t>SSD NVMe 1TB</t>
        </is>
      </c>
      <c r="C31" s="5" t="inlineStr">
        <is>
          <t>SSD</t>
        </is>
      </c>
      <c r="D31" s="7" t="n">
        <v>114.99</v>
      </c>
      <c r="E31" s="7" t="n">
        <v>99.98999999999999</v>
      </c>
      <c r="F31" s="2" t="n"/>
      <c r="G31" s="2" t="n"/>
      <c r="H31" s="9">
        <f>IFERROR(IF(INDEX(Dólar!$B:$B,MATCH(A31,Dólar!$A:$A,0))="","",INDEX(Dólar!$B:$B,MATCH(A31,Dólar!$A:$A,0))),"")</f>
        <v/>
      </c>
      <c r="I31" s="10">
        <f>IFERROR(INDEX(Dólar!$E:$E,MATCH(A31,Dólar!$A:$A,0)),"")</f>
        <v/>
      </c>
      <c r="J31" s="6" t="inlineStr">
        <is>
          <t>ver anuncio</t>
        </is>
      </c>
      <c r="K31" s="15" t="n">
        <v>46307</v>
      </c>
      <c r="L31" s="16">
        <f>IF(OR($K31="",D31=""),"",IF(COUNTIFS($B:$B,$B31,$A:$A,$K31,D:D,"&gt;=0")=0,"",D31-SUMIFS(D:D,$B:$B,$B31,$A:$A,$K31)))</f>
        <v/>
      </c>
      <c r="M31" s="16">
        <f>IF(OR($K31="",E31=""),"",IF(COUNTIFS($B:$B,$B31,$A:$A,$K31,E:E,"&gt;=0")=0,"",E31-SUMIFS(E:E,$B:$B,$B31,$A:$A,$K31)))</f>
        <v/>
      </c>
      <c r="N31" s="16">
        <f>IF(OR($K31="",F31=""),"",IF(COUNTIFS($B:$B,$B31,$A:$A,$K31,F:F,"&gt;=0")=0,"",F31-SUMIFS(F:F,$B:$B,$B31,$A:$A,$K31)))</f>
        <v/>
      </c>
      <c r="O31" s="16">
        <f>IF(OR($K31="",G31=""),"",IF(COUNTIFS($B:$B,$B31,$A:$A,$K31,G:G,"&gt;=0")=0,"",G31-SUMIFS(G:G,$B:$B,$B31,$A:$A,$K31)))</f>
        <v/>
      </c>
    </row>
    <row r="32">
      <c r="A32" s="15" t="n">
        <v>46308</v>
      </c>
      <c r="B32" s="5" t="inlineStr">
        <is>
          <t>Ryzen 9 9950X</t>
        </is>
      </c>
      <c r="C32" s="5" t="inlineStr">
        <is>
          <t>CPU</t>
        </is>
      </c>
      <c r="D32" s="7" t="n">
        <v>499.99</v>
      </c>
      <c r="E32" s="7" t="n">
        <v>454.99</v>
      </c>
      <c r="F32" s="2" t="n"/>
      <c r="G32" s="2" t="n"/>
      <c r="H32" s="9">
        <f>IFERROR(IF(INDEX(Dólar!$B:$B,MATCH(A32,Dólar!$A:$A,0))="","",INDEX(Dólar!$B:$B,MATCH(A32,Dólar!$A:$A,0))),"")</f>
        <v/>
      </c>
      <c r="I32" s="10">
        <f>IFERROR(INDEX(Dólar!$E:$E,MATCH(A32,Dólar!$A:$A,0)),"")</f>
        <v/>
      </c>
      <c r="J32" s="6" t="inlineStr">
        <is>
          <t>ver anuncio</t>
        </is>
      </c>
      <c r="K32" s="15" t="n">
        <v>46307</v>
      </c>
      <c r="L32" s="16">
        <f>IF(OR($K32="",D32=""),"",IF(COUNTIFS($B:$B,$B32,$A:$A,$K32,D:D,"&gt;=0")=0,"",D32-SUMIFS(D:D,$B:$B,$B32,$A:$A,$K32)))</f>
        <v/>
      </c>
      <c r="M32" s="16">
        <f>IF(OR($K32="",E32=""),"",IF(COUNTIFS($B:$B,$B32,$A:$A,$K32,E:E,"&gt;=0")=0,"",E32-SUMIFS(E:E,$B:$B,$B32,$A:$A,$K32)))</f>
        <v/>
      </c>
      <c r="N32" s="16">
        <f>IF(OR($K32="",F32=""),"",IF(COUNTIFS($B:$B,$B32,$A:$A,$K32,F:F,"&gt;=0")=0,"",F32-SUMIFS(F:F,$B:$B,$B32,$A:$A,$K32)))</f>
        <v/>
      </c>
      <c r="O32" s="16">
        <f>IF(OR($K32="",G32=""),"",IF(COUNTIFS($B:$B,$B32,$A:$A,$K32,G:G,"&gt;=0")=0,"",G32-SUMIFS(G:G,$B:$B,$B32,$A:$A,$K32)))</f>
        <v/>
      </c>
    </row>
    <row r="33">
      <c r="A33" s="15" t="n">
        <v>46308</v>
      </c>
      <c r="B33" s="5" t="inlineStr">
        <is>
          <t>Ryzen 7 7800X3D</t>
        </is>
      </c>
      <c r="C33" s="5" t="inlineStr">
        <is>
          <t>CPU</t>
        </is>
      </c>
      <c r="D33" s="7" t="n">
        <v>329</v>
      </c>
      <c r="E33" s="7" t="n">
        <v>283.99</v>
      </c>
      <c r="F33" s="8" t="n">
        <v>4800</v>
      </c>
      <c r="G33" s="8" t="n">
        <v>5350</v>
      </c>
      <c r="H33" s="9">
        <f>IFERROR(IF(INDEX(Dólar!$B:$B,MATCH(A33,Dólar!$A:$A,0))="","",INDEX(Dólar!$B:$B,MATCH(A33,Dólar!$A:$A,0))),"")</f>
        <v/>
      </c>
      <c r="I33" s="10">
        <f>IFERROR(INDEX(Dólar!$E:$E,MATCH(A33,Dólar!$A:$A,0)),"")</f>
        <v/>
      </c>
      <c r="J33" s="6" t="inlineStr">
        <is>
          <t>ver anuncio</t>
        </is>
      </c>
      <c r="K33" s="15" t="n">
        <v>46307</v>
      </c>
      <c r="L33" s="16">
        <f>IF(OR($K33="",D33=""),"",IF(COUNTIFS($B:$B,$B33,$A:$A,$K33,D:D,"&gt;=0")=0,"",D33-SUMIFS(D:D,$B:$B,$B33,$A:$A,$K33)))</f>
        <v/>
      </c>
      <c r="M33" s="16">
        <f>IF(OR($K33="",E33=""),"",IF(COUNTIFS($B:$B,$B33,$A:$A,$K33,E:E,"&gt;=0")=0,"",E33-SUMIFS(E:E,$B:$B,$B33,$A:$A,$K33)))</f>
        <v/>
      </c>
      <c r="N33" s="16">
        <f>IF(OR($K33="",F33=""),"",IF(COUNTIFS($B:$B,$B33,$A:$A,$K33,F:F,"&gt;=0")=0,"",F33-SUMIFS(F:F,$B:$B,$B33,$A:$A,$K33)))</f>
        <v/>
      </c>
      <c r="O33" s="16">
        <f>IF(OR($K33="",G33=""),"",IF(COUNTIFS($B:$B,$B33,$A:$A,$K33,G:G,"&gt;=0")=0,"",G33-SUMIFS(G:G,$B:$B,$B33,$A:$A,$K33)))</f>
        <v/>
      </c>
    </row>
    <row r="34">
      <c r="A34" s="15" t="n">
        <v>46308</v>
      </c>
      <c r="B34" s="5" t="inlineStr">
        <is>
          <t>Ryzen 7 5700X3D</t>
        </is>
      </c>
      <c r="C34" s="5" t="inlineStr">
        <is>
          <t>CPU</t>
        </is>
      </c>
      <c r="D34" s="2" t="n"/>
      <c r="E34" s="7" t="n">
        <v>299.99</v>
      </c>
      <c r="F34" s="2" t="n"/>
      <c r="G34" s="2" t="n"/>
      <c r="H34" s="9">
        <f>IFERROR(IF(INDEX(Dólar!$B:$B,MATCH(A34,Dólar!$A:$A,0))="","",INDEX(Dólar!$B:$B,MATCH(A34,Dólar!$A:$A,0))),"")</f>
        <v/>
      </c>
      <c r="I34" s="10">
        <f>IFERROR(INDEX(Dólar!$E:$E,MATCH(A34,Dólar!$A:$A,0)),"")</f>
        <v/>
      </c>
      <c r="J34" s="6" t="inlineStr">
        <is>
          <t>ver anuncio</t>
        </is>
      </c>
      <c r="K34" s="15" t="n">
        <v>46307</v>
      </c>
      <c r="L34" s="16">
        <f>IF(OR($K34="",D34=""),"",IF(COUNTIFS($B:$B,$B34,$A:$A,$K34,D:D,"&gt;=0")=0,"",D34-SUMIFS(D:D,$B:$B,$B34,$A:$A,$K34)))</f>
        <v/>
      </c>
      <c r="M34" s="16">
        <f>IF(OR($K34="",E34=""),"",IF(COUNTIFS($B:$B,$B34,$A:$A,$K34,E:E,"&gt;=0")=0,"",E34-SUMIFS(E:E,$B:$B,$B34,$A:$A,$K34)))</f>
        <v/>
      </c>
      <c r="N34" s="16">
        <f>IF(OR($K34="",F34=""),"",IF(COUNTIFS($B:$B,$B34,$A:$A,$K34,F:F,"&gt;=0")=0,"",F34-SUMIFS(F:F,$B:$B,$B34,$A:$A,$K34)))</f>
        <v/>
      </c>
      <c r="O34" s="16">
        <f>IF(OR($K34="",G34=""),"",IF(COUNTIFS($B:$B,$B34,$A:$A,$K34,G:G,"&gt;=0")=0,"",G34-SUMIFS(G:G,$B:$B,$B34,$A:$A,$K34)))</f>
        <v/>
      </c>
    </row>
    <row r="35">
      <c r="A35" s="15" t="n">
        <v>46308</v>
      </c>
      <c r="B35" s="5" t="inlineStr">
        <is>
          <t>Ryzen 5 7600</t>
        </is>
      </c>
      <c r="C35" s="5" t="inlineStr">
        <is>
          <t>CPU</t>
        </is>
      </c>
      <c r="D35" s="7" t="n">
        <v>143.24</v>
      </c>
      <c r="E35" s="7" t="n">
        <v>122.99</v>
      </c>
      <c r="F35" s="2" t="n"/>
      <c r="G35" s="2" t="n"/>
      <c r="H35" s="9">
        <f>IFERROR(IF(INDEX(Dólar!$B:$B,MATCH(A35,Dólar!$A:$A,0))="","",INDEX(Dólar!$B:$B,MATCH(A35,Dólar!$A:$A,0))),"")</f>
        <v/>
      </c>
      <c r="I35" s="10">
        <f>IFERROR(INDEX(Dólar!$E:$E,MATCH(A35,Dólar!$A:$A,0)),"")</f>
        <v/>
      </c>
      <c r="J35" s="6" t="inlineStr">
        <is>
          <t>ver anuncio</t>
        </is>
      </c>
      <c r="K35" s="15" t="n">
        <v>46307</v>
      </c>
      <c r="L35" s="16">
        <f>IF(OR($K35="",D35=""),"",IF(COUNTIFS($B:$B,$B35,$A:$A,$K35,D:D,"&gt;=0")=0,"",D35-SUMIFS(D:D,$B:$B,$B35,$A:$A,$K35)))</f>
        <v/>
      </c>
      <c r="M35" s="16">
        <f>IF(OR($K35="",E35=""),"",IF(COUNTIFS($B:$B,$B35,$A:$A,$K35,E:E,"&gt;=0")=0,"",E35-SUMIFS(E:E,$B:$B,$B35,$A:$A,$K35)))</f>
        <v/>
      </c>
      <c r="N35" s="16">
        <f>IF(OR($K35="",F35=""),"",IF(COUNTIFS($B:$B,$B35,$A:$A,$K35,F:F,"&gt;=0")=0,"",F35-SUMIFS(F:F,$B:$B,$B35,$A:$A,$K35)))</f>
        <v/>
      </c>
      <c r="O35" s="16">
        <f>IF(OR($K35="",G35=""),"",IF(COUNTIFS($B:$B,$B35,$A:$A,$K35,G:G,"&gt;=0")=0,"",G35-SUMIFS(G:G,$B:$B,$B35,$A:$A,$K35)))</f>
        <v/>
      </c>
    </row>
    <row r="36">
      <c r="A36" s="15" t="n">
        <v>46308</v>
      </c>
      <c r="B36" s="5" t="inlineStr">
        <is>
          <t>Ryzen 5 5600</t>
        </is>
      </c>
      <c r="C36" s="5" t="inlineStr">
        <is>
          <t>CPU</t>
        </is>
      </c>
      <c r="D36" s="7" t="n">
        <v>138.9</v>
      </c>
      <c r="E36" s="7" t="n">
        <v>135</v>
      </c>
      <c r="F36" s="2" t="n"/>
      <c r="G36" s="2" t="n"/>
      <c r="H36" s="9">
        <f>IFERROR(IF(INDEX(Dólar!$B:$B,MATCH(A36,Dólar!$A:$A,0))="","",INDEX(Dólar!$B:$B,MATCH(A36,Dólar!$A:$A,0))),"")</f>
        <v/>
      </c>
      <c r="I36" s="10">
        <f>IFERROR(INDEX(Dólar!$E:$E,MATCH(A36,Dólar!$A:$A,0)),"")</f>
        <v/>
      </c>
      <c r="J36" s="6" t="inlineStr">
        <is>
          <t>ver anuncio</t>
        </is>
      </c>
      <c r="K36" s="15" t="n">
        <v>46307</v>
      </c>
      <c r="L36" s="16">
        <f>IF(OR($K36="",D36=""),"",IF(COUNTIFS($B:$B,$B36,$A:$A,$K36,D:D,"&gt;=0")=0,"",D36-SUMIFS(D:D,$B:$B,$B36,$A:$A,$K36)))</f>
        <v/>
      </c>
      <c r="M36" s="16">
        <f>IF(OR($K36="",E36=""),"",IF(COUNTIFS($B:$B,$B36,$A:$A,$K36,E:E,"&gt;=0")=0,"",E36-SUMIFS(E:E,$B:$B,$B36,$A:$A,$K36)))</f>
        <v/>
      </c>
      <c r="N36" s="16">
        <f>IF(OR($K36="",F36=""),"",IF(COUNTIFS($B:$B,$B36,$A:$A,$K36,F:F,"&gt;=0")=0,"",F36-SUMIFS(F:F,$B:$B,$B36,$A:$A,$K36)))</f>
        <v/>
      </c>
      <c r="O36" s="16">
        <f>IF(OR($K36="",G36=""),"",IF(COUNTIFS($B:$B,$B36,$A:$A,$K36,G:G,"&gt;=0")=0,"",G36-SUMIFS(G:G,$B:$B,$B36,$A:$A,$K36)))</f>
        <v/>
      </c>
    </row>
    <row r="37">
      <c r="A37" s="15" t="n">
        <v>46308</v>
      </c>
      <c r="B37" s="5" t="inlineStr">
        <is>
          <t>RAM DDR4 16GB (2x8) 3200</t>
        </is>
      </c>
      <c r="C37" s="5" t="inlineStr">
        <is>
          <t>RAM</t>
        </is>
      </c>
      <c r="D37" s="7" t="n">
        <v>92.98999999999999</v>
      </c>
      <c r="E37" s="7" t="n">
        <v>64.98999999999999</v>
      </c>
      <c r="F37" s="2" t="n"/>
      <c r="G37" s="2" t="n"/>
      <c r="H37" s="9">
        <f>IFERROR(IF(INDEX(Dólar!$B:$B,MATCH(A37,Dólar!$A:$A,0))="","",INDEX(Dólar!$B:$B,MATCH(A37,Dólar!$A:$A,0))),"")</f>
        <v/>
      </c>
      <c r="I37" s="10">
        <f>IFERROR(INDEX(Dólar!$E:$E,MATCH(A37,Dólar!$A:$A,0)),"")</f>
        <v/>
      </c>
      <c r="J37" s="6" t="inlineStr">
        <is>
          <t>ver anuncio</t>
        </is>
      </c>
      <c r="K37" s="15" t="n">
        <v>46307</v>
      </c>
      <c r="L37" s="16">
        <f>IF(OR($K37="",D37=""),"",IF(COUNTIFS($B:$B,$B37,$A:$A,$K37,D:D,"&gt;=0")=0,"",D37-SUMIFS(D:D,$B:$B,$B37,$A:$A,$K37)))</f>
        <v/>
      </c>
      <c r="M37" s="16">
        <f>IF(OR($K37="",E37=""),"",IF(COUNTIFS($B:$B,$B37,$A:$A,$K37,E:E,"&gt;=0")=0,"",E37-SUMIFS(E:E,$B:$B,$B37,$A:$A,$K37)))</f>
        <v/>
      </c>
      <c r="N37" s="16">
        <f>IF(OR($K37="",F37=""),"",IF(COUNTIFS($B:$B,$B37,$A:$A,$K37,F:F,"&gt;=0")=0,"",F37-SUMIFS(F:F,$B:$B,$B37,$A:$A,$K37)))</f>
        <v/>
      </c>
      <c r="O37" s="16">
        <f>IF(OR($K37="",G37=""),"",IF(COUNTIFS($B:$B,$B37,$A:$A,$K37,G:G,"&gt;=0")=0,"",G37-SUMIFS(G:G,$B:$B,$B37,$A:$A,$K37)))</f>
        <v/>
      </c>
    </row>
    <row r="38">
      <c r="A38" s="15" t="n">
        <v>46308</v>
      </c>
      <c r="B38" s="5" t="inlineStr">
        <is>
          <t>Intel Core i5-14400F</t>
        </is>
      </c>
      <c r="C38" s="5" t="inlineStr">
        <is>
          <t>CPU</t>
        </is>
      </c>
      <c r="D38" s="7" t="n">
        <v>164.49</v>
      </c>
      <c r="E38" s="7" t="n">
        <v>134</v>
      </c>
      <c r="F38" s="2" t="n"/>
      <c r="G38" s="8" t="n">
        <v>2460</v>
      </c>
      <c r="H38" s="9">
        <f>IFERROR(IF(INDEX(Dólar!$B:$B,MATCH(A38,Dólar!$A:$A,0))="","",INDEX(Dólar!$B:$B,MATCH(A38,Dólar!$A:$A,0))),"")</f>
        <v/>
      </c>
      <c r="I38" s="10">
        <f>IFERROR(INDEX(Dólar!$E:$E,MATCH(A38,Dólar!$A:$A,0)),"")</f>
        <v/>
      </c>
      <c r="J38" s="6" t="inlineStr">
        <is>
          <t>ver anuncio</t>
        </is>
      </c>
      <c r="K38" s="15" t="n">
        <v>46307</v>
      </c>
      <c r="L38" s="16">
        <f>IF(OR($K38="",D38=""),"",IF(COUNTIFS($B:$B,$B38,$A:$A,$K38,D:D,"&gt;=0")=0,"",D38-SUMIFS(D:D,$B:$B,$B38,$A:$A,$K38)))</f>
        <v/>
      </c>
      <c r="M38" s="16">
        <f>IF(OR($K38="",E38=""),"",IF(COUNTIFS($B:$B,$B38,$A:$A,$K38,E:E,"&gt;=0")=0,"",E38-SUMIFS(E:E,$B:$B,$B38,$A:$A,$K38)))</f>
        <v/>
      </c>
      <c r="N38" s="16">
        <f>IF(OR($K38="",F38=""),"",IF(COUNTIFS($B:$B,$B38,$A:$A,$K38,F:F,"&gt;=0")=0,"",F38-SUMIFS(F:F,$B:$B,$B38,$A:$A,$K38)))</f>
        <v/>
      </c>
      <c r="O38" s="16">
        <f>IF(OR($K38="",G38=""),"",IF(COUNTIFS($B:$B,$B38,$A:$A,$K38,G:G,"&gt;=0")=0,"",G38-SUMIFS(G:G,$B:$B,$B38,$A:$A,$K38)))</f>
        <v/>
      </c>
    </row>
    <row r="39">
      <c r="A39" s="15" t="n">
        <v>46308</v>
      </c>
      <c r="B39" s="5" t="inlineStr">
        <is>
          <t>Intel Core i5-13400</t>
        </is>
      </c>
      <c r="C39" s="5" t="inlineStr">
        <is>
          <t>CPU</t>
        </is>
      </c>
      <c r="D39" s="2" t="n"/>
      <c r="E39" s="7" t="n">
        <v>149.99</v>
      </c>
      <c r="F39" s="2" t="n"/>
      <c r="G39" s="2" t="n"/>
      <c r="H39" s="9">
        <f>IFERROR(IF(INDEX(Dólar!$B:$B,MATCH(A39,Dólar!$A:$A,0))="","",INDEX(Dólar!$B:$B,MATCH(A39,Dólar!$A:$A,0))),"")</f>
        <v/>
      </c>
      <c r="I39" s="10">
        <f>IFERROR(INDEX(Dólar!$E:$E,MATCH(A39,Dólar!$A:$A,0)),"")</f>
        <v/>
      </c>
      <c r="J39" s="6" t="inlineStr">
        <is>
          <t>ver anuncio</t>
        </is>
      </c>
      <c r="K39" s="15" t="n">
        <v>46307</v>
      </c>
      <c r="L39" s="16">
        <f>IF(OR($K39="",D39=""),"",IF(COUNTIFS($B:$B,$B39,$A:$A,$K39,D:D,"&gt;=0")=0,"",D39-SUMIFS(D:D,$B:$B,$B39,$A:$A,$K39)))</f>
        <v/>
      </c>
      <c r="M39" s="16">
        <f>IF(OR($K39="",E39=""),"",IF(COUNTIFS($B:$B,$B39,$A:$A,$K39,E:E,"&gt;=0")=0,"",E39-SUMIFS(E:E,$B:$B,$B39,$A:$A,$K39)))</f>
        <v/>
      </c>
      <c r="N39" s="16">
        <f>IF(OR($K39="",F39=""),"",IF(COUNTIFS($B:$B,$B39,$A:$A,$K39,F:F,"&gt;=0")=0,"",F39-SUMIFS(F:F,$B:$B,$B39,$A:$A,$K39)))</f>
        <v/>
      </c>
      <c r="O39" s="16">
        <f>IF(OR($K39="",G39=""),"",IF(COUNTIFS($B:$B,$B39,$A:$A,$K39,G:G,"&gt;=0")=0,"",G39-SUMIFS(G:G,$B:$B,$B39,$A:$A,$K39)))</f>
        <v/>
      </c>
    </row>
    <row r="40">
      <c r="A40" s="15" t="n">
        <v>46308</v>
      </c>
      <c r="B40" s="5" t="inlineStr">
        <is>
          <t>Intel Core i5-12400F</t>
        </is>
      </c>
      <c r="C40" s="5" t="inlineStr">
        <is>
          <t>CPU</t>
        </is>
      </c>
      <c r="D40" s="7" t="n">
        <v>150</v>
      </c>
      <c r="E40" s="7" t="n">
        <v>99</v>
      </c>
      <c r="F40" s="2" t="n"/>
      <c r="G40" s="2" t="n"/>
      <c r="H40" s="9">
        <f>IFERROR(IF(INDEX(Dólar!$B:$B,MATCH(A40,Dólar!$A:$A,0))="","",INDEX(Dólar!$B:$B,MATCH(A40,Dólar!$A:$A,0))),"")</f>
        <v/>
      </c>
      <c r="I40" s="10">
        <f>IFERROR(INDEX(Dólar!$E:$E,MATCH(A40,Dólar!$A:$A,0)),"")</f>
        <v/>
      </c>
      <c r="J40" s="6" t="inlineStr">
        <is>
          <t>ver anuncio</t>
        </is>
      </c>
      <c r="K40" s="15" t="n">
        <v>46307</v>
      </c>
      <c r="L40" s="16">
        <f>IF(OR($K40="",D40=""),"",IF(COUNTIFS($B:$B,$B40,$A:$A,$K40,D:D,"&gt;=0")=0,"",D40-SUMIFS(D:D,$B:$B,$B40,$A:$A,$K40)))</f>
        <v/>
      </c>
      <c r="M40" s="16">
        <f>IF(OR($K40="",E40=""),"",IF(COUNTIFS($B:$B,$B40,$A:$A,$K40,E:E,"&gt;=0")=0,"",E40-SUMIFS(E:E,$B:$B,$B40,$A:$A,$K40)))</f>
        <v/>
      </c>
      <c r="N40" s="16">
        <f>IF(OR($K40="",F40=""),"",IF(COUNTIFS($B:$B,$B40,$A:$A,$K40,F:F,"&gt;=0")=0,"",F40-SUMIFS(F:F,$B:$B,$B40,$A:$A,$K40)))</f>
        <v/>
      </c>
      <c r="O40" s="16">
        <f>IF(OR($K40="",G40=""),"",IF(COUNTIFS($B:$B,$B40,$A:$A,$K40,G:G,"&gt;=0")=0,"",G40-SUMIFS(G:G,$B:$B,$B40,$A:$A,$K40)))</f>
        <v/>
      </c>
    </row>
    <row r="41">
      <c r="A41" s="15" t="n">
        <v>46308</v>
      </c>
      <c r="B41" s="5" t="inlineStr">
        <is>
          <t>Intel Core Ultra 7 265K</t>
        </is>
      </c>
      <c r="C41" s="5" t="inlineStr">
        <is>
          <t>CPU</t>
        </is>
      </c>
      <c r="D41" s="7" t="n">
        <v>234.99</v>
      </c>
      <c r="E41" s="7" t="n">
        <v>209.99</v>
      </c>
      <c r="F41" s="2" t="n"/>
      <c r="G41" s="2" t="n"/>
      <c r="H41" s="9">
        <f>IFERROR(IF(INDEX(Dólar!$B:$B,MATCH(A41,Dólar!$A:$A,0))="","",INDEX(Dólar!$B:$B,MATCH(A41,Dólar!$A:$A,0))),"")</f>
        <v/>
      </c>
      <c r="I41" s="10">
        <f>IFERROR(INDEX(Dólar!$E:$E,MATCH(A41,Dólar!$A:$A,0)),"")</f>
        <v/>
      </c>
      <c r="J41" s="6" t="inlineStr">
        <is>
          <t>ver anuncio</t>
        </is>
      </c>
      <c r="K41" s="15" t="n">
        <v>46307</v>
      </c>
      <c r="L41" s="16">
        <f>IF(OR($K41="",D41=""),"",IF(COUNTIFS($B:$B,$B41,$A:$A,$K41,D:D,"&gt;=0")=0,"",D41-SUMIFS(D:D,$B:$B,$B41,$A:$A,$K41)))</f>
        <v/>
      </c>
      <c r="M41" s="16">
        <f>IF(OR($K41="",E41=""),"",IF(COUNTIFS($B:$B,$B41,$A:$A,$K41,E:E,"&gt;=0")=0,"",E41-SUMIFS(E:E,$B:$B,$B41,$A:$A,$K41)))</f>
        <v/>
      </c>
      <c r="N41" s="16">
        <f>IF(OR($K41="",F41=""),"",IF(COUNTIFS($B:$B,$B41,$A:$A,$K41,F:F,"&gt;=0")=0,"",F41-SUMIFS(F:F,$B:$B,$B41,$A:$A,$K41)))</f>
        <v/>
      </c>
      <c r="O41" s="16">
        <f>IF(OR($K41="",G41=""),"",IF(COUNTIFS($B:$B,$B41,$A:$A,$K41,G:G,"&gt;=0")=0,"",G41-SUMIFS(G:G,$B:$B,$B41,$A:$A,$K41)))</f>
        <v/>
      </c>
    </row>
    <row r="42">
      <c r="A42" s="15" t="n">
        <v>46308</v>
      </c>
      <c r="B42" s="5" t="inlineStr">
        <is>
          <t>Corsair Vengeance RGB DDR5 32GB (2x16) 6000</t>
        </is>
      </c>
      <c r="C42" s="5" t="inlineStr">
        <is>
          <t>RAM</t>
        </is>
      </c>
      <c r="D42" s="7" t="n">
        <v>435.99</v>
      </c>
      <c r="E42" s="7" t="n">
        <v>399.9</v>
      </c>
      <c r="F42" s="2" t="n"/>
      <c r="G42" s="2" t="n"/>
      <c r="H42" s="9">
        <f>IFERROR(IF(INDEX(Dólar!$B:$B,MATCH(A42,Dólar!$A:$A,0))="","",INDEX(Dólar!$B:$B,MATCH(A42,Dólar!$A:$A,0))),"")</f>
        <v/>
      </c>
      <c r="I42" s="10">
        <f>IFERROR(INDEX(Dólar!$E:$E,MATCH(A42,Dólar!$A:$A,0)),"")</f>
        <v/>
      </c>
      <c r="J42" s="6" t="inlineStr">
        <is>
          <t>ver anuncio</t>
        </is>
      </c>
      <c r="K42" s="15" t="n">
        <v>46307</v>
      </c>
      <c r="L42" s="16">
        <f>IF(OR($K42="",D42=""),"",IF(COUNTIFS($B:$B,$B42,$A:$A,$K42,D:D,"&gt;=0")=0,"",D42-SUMIFS(D:D,$B:$B,$B42,$A:$A,$K42)))</f>
        <v/>
      </c>
      <c r="M42" s="16">
        <f>IF(OR($K42="",E42=""),"",IF(COUNTIFS($B:$B,$B42,$A:$A,$K42,E:E,"&gt;=0")=0,"",E42-SUMIFS(E:E,$B:$B,$B42,$A:$A,$K42)))</f>
        <v/>
      </c>
      <c r="N42" s="16">
        <f>IF(OR($K42="",F42=""),"",IF(COUNTIFS($B:$B,$B42,$A:$A,$K42,F:F,"&gt;=0")=0,"",F42-SUMIFS(F:F,$B:$B,$B42,$A:$A,$K42)))</f>
        <v/>
      </c>
      <c r="O42" s="16">
        <f>IF(OR($K42="",G42=""),"",IF(COUNTIFS($B:$B,$B42,$A:$A,$K42,G:G,"&gt;=0")=0,"",G42-SUMIFS(G:G,$B:$B,$B42,$A:$A,$K42)))</f>
        <v/>
      </c>
    </row>
    <row r="43">
      <c r="A43" s="15" t="n">
        <v>46308</v>
      </c>
      <c r="B43" s="5" t="inlineStr">
        <is>
          <t>Corsair Vengeance RGB DDR5 32GB (2x16) 5600</t>
        </is>
      </c>
      <c r="C43" s="5" t="inlineStr">
        <is>
          <t>RAM</t>
        </is>
      </c>
      <c r="D43" s="7" t="n">
        <v>493</v>
      </c>
      <c r="E43" s="7" t="n">
        <v>383.99</v>
      </c>
      <c r="F43" s="2" t="n"/>
      <c r="G43" s="2" t="n"/>
      <c r="H43" s="9">
        <f>IFERROR(IF(INDEX(Dólar!$B:$B,MATCH(A43,Dólar!$A:$A,0))="","",INDEX(Dólar!$B:$B,MATCH(A43,Dólar!$A:$A,0))),"")</f>
        <v/>
      </c>
      <c r="I43" s="10">
        <f>IFERROR(INDEX(Dólar!$E:$E,MATCH(A43,Dólar!$A:$A,0)),"")</f>
        <v/>
      </c>
      <c r="J43" s="6" t="inlineStr">
        <is>
          <t>ver anuncio</t>
        </is>
      </c>
      <c r="K43" s="15" t="n">
        <v>46307</v>
      </c>
      <c r="L43" s="16">
        <f>IF(OR($K43="",D43=""),"",IF(COUNTIFS($B:$B,$B43,$A:$A,$K43,D:D,"&gt;=0")=0,"",D43-SUMIFS(D:D,$B:$B,$B43,$A:$A,$K43)))</f>
        <v/>
      </c>
      <c r="M43" s="16">
        <f>IF(OR($K43="",E43=""),"",IF(COUNTIFS($B:$B,$B43,$A:$A,$K43,E:E,"&gt;=0")=0,"",E43-SUMIFS(E:E,$B:$B,$B43,$A:$A,$K43)))</f>
        <v/>
      </c>
      <c r="N43" s="16">
        <f>IF(OR($K43="",F43=""),"",IF(COUNTIFS($B:$B,$B43,$A:$A,$K43,F:F,"&gt;=0")=0,"",F43-SUMIFS(F:F,$B:$B,$B43,$A:$A,$K43)))</f>
        <v/>
      </c>
      <c r="O43" s="16">
        <f>IF(OR($K43="",G43=""),"",IF(COUNTIFS($B:$B,$B43,$A:$A,$K43,G:G,"&gt;=0")=0,"",G43-SUMIFS(G:G,$B:$B,$B43,$A:$A,$K43)))</f>
        <v/>
      </c>
    </row>
    <row r="44">
      <c r="A44" s="15" t="n">
        <v>46307</v>
      </c>
      <c r="B44" s="5" t="inlineStr">
        <is>
          <t>SSD NVMe 2TB</t>
        </is>
      </c>
      <c r="C44" s="5" t="inlineStr">
        <is>
          <t>SSD</t>
        </is>
      </c>
      <c r="D44" s="7" t="n">
        <v>209.99</v>
      </c>
      <c r="E44" s="7" t="n">
        <v>179.99</v>
      </c>
      <c r="F44" s="2" t="n"/>
      <c r="G44" s="8" t="n">
        <v>4060</v>
      </c>
      <c r="H44" s="9">
        <f>IFERROR(IF(INDEX(Dólar!$B:$B,MATCH(A44,Dólar!$A:$A,0))="","",INDEX(Dólar!$B:$B,MATCH(A44,Dólar!$A:$A,0))),"")</f>
        <v/>
      </c>
      <c r="I44" s="10">
        <f>IFERROR(INDEX(Dólar!$E:$E,MATCH(A44,Dólar!$A:$A,0)),"")</f>
        <v/>
      </c>
      <c r="J44" s="6" t="inlineStr">
        <is>
          <t>ver anuncio</t>
        </is>
      </c>
      <c r="K44" s="15" t="n">
        <v>46306</v>
      </c>
      <c r="L44" s="16">
        <f>IF(OR($K44="",D44=""),"",IF(COUNTIFS($B:$B,$B44,$A:$A,$K44,D:D,"&gt;=0")=0,"",D44-SUMIFS(D:D,$B:$B,$B44,$A:$A,$K44)))</f>
        <v/>
      </c>
      <c r="M44" s="16">
        <f>IF(OR($K44="",E44=""),"",IF(COUNTIFS($B:$B,$B44,$A:$A,$K44,E:E,"&gt;=0")=0,"",E44-SUMIFS(E:E,$B:$B,$B44,$A:$A,$K44)))</f>
        <v/>
      </c>
      <c r="N44" s="16">
        <f>IF(OR($K44="",F44=""),"",IF(COUNTIFS($B:$B,$B44,$A:$A,$K44,F:F,"&gt;=0")=0,"",F44-SUMIFS(F:F,$B:$B,$B44,$A:$A,$K44)))</f>
        <v/>
      </c>
      <c r="O44" s="16">
        <f>IF(OR($K44="",G44=""),"",IF(COUNTIFS($B:$B,$B44,$A:$A,$K44,G:G,"&gt;=0")=0,"",G44-SUMIFS(G:G,$B:$B,$B44,$A:$A,$K44)))</f>
        <v/>
      </c>
    </row>
    <row r="45">
      <c r="A45" s="15" t="n">
        <v>46307</v>
      </c>
      <c r="B45" s="5" t="inlineStr">
        <is>
          <t>SSD NVMe 1TB</t>
        </is>
      </c>
      <c r="C45" s="5" t="inlineStr">
        <is>
          <t>SSD</t>
        </is>
      </c>
      <c r="D45" s="7" t="n">
        <v>114.99</v>
      </c>
      <c r="E45" s="7" t="n">
        <v>99.98999999999999</v>
      </c>
      <c r="F45" s="2" t="n"/>
      <c r="G45" s="8" t="n">
        <v>1860</v>
      </c>
      <c r="H45" s="9">
        <f>IFERROR(IF(INDEX(Dólar!$B:$B,MATCH(A45,Dólar!$A:$A,0))="","",INDEX(Dólar!$B:$B,MATCH(A45,Dólar!$A:$A,0))),"")</f>
        <v/>
      </c>
      <c r="I45" s="10">
        <f>IFERROR(INDEX(Dólar!$E:$E,MATCH(A45,Dólar!$A:$A,0)),"")</f>
        <v/>
      </c>
      <c r="J45" s="6" t="inlineStr">
        <is>
          <t>ver anuncio</t>
        </is>
      </c>
      <c r="K45" s="15" t="n">
        <v>46306</v>
      </c>
      <c r="L45" s="16">
        <f>IF(OR($K45="",D45=""),"",IF(COUNTIFS($B:$B,$B45,$A:$A,$K45,D:D,"&gt;=0")=0,"",D45-SUMIFS(D:D,$B:$B,$B45,$A:$A,$K45)))</f>
        <v/>
      </c>
      <c r="M45" s="16">
        <f>IF(OR($K45="",E45=""),"",IF(COUNTIFS($B:$B,$B45,$A:$A,$K45,E:E,"&gt;=0")=0,"",E45-SUMIFS(E:E,$B:$B,$B45,$A:$A,$K45)))</f>
        <v/>
      </c>
      <c r="N45" s="16">
        <f>IF(OR($K45="",F45=""),"",IF(COUNTIFS($B:$B,$B45,$A:$A,$K45,F:F,"&gt;=0")=0,"",F45-SUMIFS(F:F,$B:$B,$B45,$A:$A,$K45)))</f>
        <v/>
      </c>
      <c r="O45" s="16">
        <f>IF(OR($K45="",G45=""),"",IF(COUNTIFS($B:$B,$B45,$A:$A,$K45,G:G,"&gt;=0")=0,"",G45-SUMIFS(G:G,$B:$B,$B45,$A:$A,$K45)))</f>
        <v/>
      </c>
    </row>
    <row r="46">
      <c r="A46" s="15" t="n">
        <v>46307</v>
      </c>
      <c r="B46" s="5" t="inlineStr">
        <is>
          <t>Ryzen 9 9950X</t>
        </is>
      </c>
      <c r="C46" s="5" t="inlineStr">
        <is>
          <t>CPU</t>
        </is>
      </c>
      <c r="D46" s="7" t="n">
        <v>499.99</v>
      </c>
      <c r="E46" s="7" t="n">
        <v>454.99</v>
      </c>
      <c r="F46" s="2" t="n"/>
      <c r="G46" s="8" t="n">
        <v>6140</v>
      </c>
      <c r="H46" s="9">
        <f>IFERROR(IF(INDEX(Dólar!$B:$B,MATCH(A46,Dólar!$A:$A,0))="","",INDEX(Dólar!$B:$B,MATCH(A46,Dólar!$A:$A,0))),"")</f>
        <v/>
      </c>
      <c r="I46" s="10">
        <f>IFERROR(INDEX(Dólar!$E:$E,MATCH(A46,Dólar!$A:$A,0)),"")</f>
        <v/>
      </c>
      <c r="J46" s="6" t="inlineStr">
        <is>
          <t>ver anuncio</t>
        </is>
      </c>
      <c r="K46" s="15" t="n">
        <v>46306</v>
      </c>
      <c r="L46" s="16">
        <f>IF(OR($K46="",D46=""),"",IF(COUNTIFS($B:$B,$B46,$A:$A,$K46,D:D,"&gt;=0")=0,"",D46-SUMIFS(D:D,$B:$B,$B46,$A:$A,$K46)))</f>
        <v/>
      </c>
      <c r="M46" s="16">
        <f>IF(OR($K46="",E46=""),"",IF(COUNTIFS($B:$B,$B46,$A:$A,$K46,E:E,"&gt;=0")=0,"",E46-SUMIFS(E:E,$B:$B,$B46,$A:$A,$K46)))</f>
        <v/>
      </c>
      <c r="N46" s="16">
        <f>IF(OR($K46="",F46=""),"",IF(COUNTIFS($B:$B,$B46,$A:$A,$K46,F:F,"&gt;=0")=0,"",F46-SUMIFS(F:F,$B:$B,$B46,$A:$A,$K46)))</f>
        <v/>
      </c>
      <c r="O46" s="16">
        <f>IF(OR($K46="",G46=""),"",IF(COUNTIFS($B:$B,$B46,$A:$A,$K46,G:G,"&gt;=0")=0,"",G46-SUMIFS(G:G,$B:$B,$B46,$A:$A,$K46)))</f>
        <v/>
      </c>
    </row>
    <row r="47">
      <c r="A47" s="15" t="n">
        <v>46307</v>
      </c>
      <c r="B47" s="5" t="inlineStr">
        <is>
          <t>Ryzen 7 7800X3D</t>
        </is>
      </c>
      <c r="C47" s="5" t="inlineStr">
        <is>
          <t>CPU</t>
        </is>
      </c>
      <c r="D47" s="7" t="n">
        <v>329</v>
      </c>
      <c r="E47" s="7" t="n">
        <v>283.99</v>
      </c>
      <c r="F47" s="2" t="n"/>
      <c r="G47" s="8" t="n">
        <v>4760</v>
      </c>
      <c r="H47" s="9">
        <f>IFERROR(IF(INDEX(Dólar!$B:$B,MATCH(A47,Dólar!$A:$A,0))="","",INDEX(Dólar!$B:$B,MATCH(A47,Dólar!$A:$A,0))),"")</f>
        <v/>
      </c>
      <c r="I47" s="10">
        <f>IFERROR(INDEX(Dólar!$E:$E,MATCH(A47,Dólar!$A:$A,0)),"")</f>
        <v/>
      </c>
      <c r="J47" s="6" t="inlineStr">
        <is>
          <t>ver anuncio</t>
        </is>
      </c>
      <c r="K47" s="15" t="n">
        <v>46306</v>
      </c>
      <c r="L47" s="16">
        <f>IF(OR($K47="",D47=""),"",IF(COUNTIFS($B:$B,$B47,$A:$A,$K47,D:D,"&gt;=0")=0,"",D47-SUMIFS(D:D,$B:$B,$B47,$A:$A,$K47)))</f>
        <v/>
      </c>
      <c r="M47" s="16">
        <f>IF(OR($K47="",E47=""),"",IF(COUNTIFS($B:$B,$B47,$A:$A,$K47,E:E,"&gt;=0")=0,"",E47-SUMIFS(E:E,$B:$B,$B47,$A:$A,$K47)))</f>
        <v/>
      </c>
      <c r="N47" s="16">
        <f>IF(OR($K47="",F47=""),"",IF(COUNTIFS($B:$B,$B47,$A:$A,$K47,F:F,"&gt;=0")=0,"",F47-SUMIFS(F:F,$B:$B,$B47,$A:$A,$K47)))</f>
        <v/>
      </c>
      <c r="O47" s="16">
        <f>IF(OR($K47="",G47=""),"",IF(COUNTIFS($B:$B,$B47,$A:$A,$K47,G:G,"&gt;=0")=0,"",G47-SUMIFS(G:G,$B:$B,$B47,$A:$A,$K47)))</f>
        <v/>
      </c>
    </row>
    <row r="48">
      <c r="A48" s="15" t="n">
        <v>46307</v>
      </c>
      <c r="B48" s="5" t="inlineStr">
        <is>
          <t>Ryzen 7 5700X3D</t>
        </is>
      </c>
      <c r="C48" s="5" t="inlineStr">
        <is>
          <t>CPU</t>
        </is>
      </c>
      <c r="D48" s="2" t="n"/>
      <c r="E48" s="7" t="n">
        <v>305</v>
      </c>
      <c r="F48" s="2" t="n"/>
      <c r="G48" s="2" t="n"/>
      <c r="H48" s="9">
        <f>IFERROR(IF(INDEX(Dólar!$B:$B,MATCH(A48,Dólar!$A:$A,0))="","",INDEX(Dólar!$B:$B,MATCH(A48,Dólar!$A:$A,0))),"")</f>
        <v/>
      </c>
      <c r="I48" s="10">
        <f>IFERROR(INDEX(Dólar!$E:$E,MATCH(A48,Dólar!$A:$A,0)),"")</f>
        <v/>
      </c>
      <c r="J48" s="6" t="inlineStr">
        <is>
          <t>ver anuncio</t>
        </is>
      </c>
      <c r="K48" s="5" t="n"/>
      <c r="L48" s="16">
        <f>IF(OR($K48="",D48=""),"",IF(COUNTIFS($B:$B,$B48,$A:$A,$K48,D:D,"&gt;=0")=0,"",D48-SUMIFS(D:D,$B:$B,$B48,$A:$A,$K48)))</f>
        <v/>
      </c>
      <c r="M48" s="16">
        <f>IF(OR($K48="",E48=""),"",IF(COUNTIFS($B:$B,$B48,$A:$A,$K48,E:E,"&gt;=0")=0,"",E48-SUMIFS(E:E,$B:$B,$B48,$A:$A,$K48)))</f>
        <v/>
      </c>
      <c r="N48" s="16">
        <f>IF(OR($K48="",F48=""),"",IF(COUNTIFS($B:$B,$B48,$A:$A,$K48,F:F,"&gt;=0")=0,"",F48-SUMIFS(F:F,$B:$B,$B48,$A:$A,$K48)))</f>
        <v/>
      </c>
      <c r="O48" s="16">
        <f>IF(OR($K48="",G48=""),"",IF(COUNTIFS($B:$B,$B48,$A:$A,$K48,G:G,"&gt;=0")=0,"",G48-SUMIFS(G:G,$B:$B,$B48,$A:$A,$K48)))</f>
        <v/>
      </c>
    </row>
    <row r="49">
      <c r="A49" s="15" t="n">
        <v>46307</v>
      </c>
      <c r="B49" s="5" t="inlineStr">
        <is>
          <t>Ryzen 5 7600</t>
        </is>
      </c>
      <c r="C49" s="5" t="inlineStr">
        <is>
          <t>CPU</t>
        </is>
      </c>
      <c r="D49" s="7" t="n">
        <v>144.25</v>
      </c>
      <c r="E49" s="7" t="n">
        <v>122.99</v>
      </c>
      <c r="F49" s="2" t="n"/>
      <c r="G49" s="8" t="n">
        <v>2860</v>
      </c>
      <c r="H49" s="9">
        <f>IFERROR(IF(INDEX(Dólar!$B:$B,MATCH(A49,Dólar!$A:$A,0))="","",INDEX(Dólar!$B:$B,MATCH(A49,Dólar!$A:$A,0))),"")</f>
        <v/>
      </c>
      <c r="I49" s="10">
        <f>IFERROR(INDEX(Dólar!$E:$E,MATCH(A49,Dólar!$A:$A,0)),"")</f>
        <v/>
      </c>
      <c r="J49" s="6" t="inlineStr">
        <is>
          <t>ver anuncio</t>
        </is>
      </c>
      <c r="K49" s="15" t="n">
        <v>46306</v>
      </c>
      <c r="L49" s="16">
        <f>IF(OR($K49="",D49=""),"",IF(COUNTIFS($B:$B,$B49,$A:$A,$K49,D:D,"&gt;=0")=0,"",D49-SUMIFS(D:D,$B:$B,$B49,$A:$A,$K49)))</f>
        <v/>
      </c>
      <c r="M49" s="16">
        <f>IF(OR($K49="",E49=""),"",IF(COUNTIFS($B:$B,$B49,$A:$A,$K49,E:E,"&gt;=0")=0,"",E49-SUMIFS(E:E,$B:$B,$B49,$A:$A,$K49)))</f>
        <v/>
      </c>
      <c r="N49" s="16">
        <f>IF(OR($K49="",F49=""),"",IF(COUNTIFS($B:$B,$B49,$A:$A,$K49,F:F,"&gt;=0")=0,"",F49-SUMIFS(F:F,$B:$B,$B49,$A:$A,$K49)))</f>
        <v/>
      </c>
      <c r="O49" s="16">
        <f>IF(OR($K49="",G49=""),"",IF(COUNTIFS($B:$B,$B49,$A:$A,$K49,G:G,"&gt;=0")=0,"",G49-SUMIFS(G:G,$B:$B,$B49,$A:$A,$K49)))</f>
        <v/>
      </c>
    </row>
    <row r="50">
      <c r="A50" s="15" t="n">
        <v>46307</v>
      </c>
      <c r="B50" s="5" t="inlineStr">
        <is>
          <t>Ryzen 5 5600</t>
        </is>
      </c>
      <c r="C50" s="5" t="inlineStr">
        <is>
          <t>CPU</t>
        </is>
      </c>
      <c r="D50" s="7" t="n">
        <v>138.9</v>
      </c>
      <c r="E50" s="7" t="n">
        <v>135</v>
      </c>
      <c r="F50" s="2" t="n"/>
      <c r="G50" s="2" t="n"/>
      <c r="H50" s="9">
        <f>IFERROR(IF(INDEX(Dólar!$B:$B,MATCH(A50,Dólar!$A:$A,0))="","",INDEX(Dólar!$B:$B,MATCH(A50,Dólar!$A:$A,0))),"")</f>
        <v/>
      </c>
      <c r="I50" s="10">
        <f>IFERROR(INDEX(Dólar!$E:$E,MATCH(A50,Dólar!$A:$A,0)),"")</f>
        <v/>
      </c>
      <c r="J50" s="6" t="inlineStr">
        <is>
          <t>ver anuncio</t>
        </is>
      </c>
      <c r="K50" s="5" t="n"/>
      <c r="L50" s="16">
        <f>IF(OR($K50="",D50=""),"",IF(COUNTIFS($B:$B,$B50,$A:$A,$K50,D:D,"&gt;=0")=0,"",D50-SUMIFS(D:D,$B:$B,$B50,$A:$A,$K50)))</f>
        <v/>
      </c>
      <c r="M50" s="16">
        <f>IF(OR($K50="",E50=""),"",IF(COUNTIFS($B:$B,$B50,$A:$A,$K50,E:E,"&gt;=0")=0,"",E50-SUMIFS(E:E,$B:$B,$B50,$A:$A,$K50)))</f>
        <v/>
      </c>
      <c r="N50" s="16">
        <f>IF(OR($K50="",F50=""),"",IF(COUNTIFS($B:$B,$B50,$A:$A,$K50,F:F,"&gt;=0")=0,"",F50-SUMIFS(F:F,$B:$B,$B50,$A:$A,$K50)))</f>
        <v/>
      </c>
      <c r="O50" s="16">
        <f>IF(OR($K50="",G50=""),"",IF(COUNTIFS($B:$B,$B50,$A:$A,$K50,G:G,"&gt;=0")=0,"",G50-SUMIFS(G:G,$B:$B,$B50,$A:$A,$K50)))</f>
        <v/>
      </c>
    </row>
    <row r="51">
      <c r="A51" s="15" t="n">
        <v>46307</v>
      </c>
      <c r="B51" s="5" t="inlineStr">
        <is>
          <t>RAM DDR4 16GB (2x8) 3200</t>
        </is>
      </c>
      <c r="C51" s="5" t="inlineStr">
        <is>
          <t>RAM</t>
        </is>
      </c>
      <c r="D51" s="7" t="n">
        <v>75</v>
      </c>
      <c r="E51" s="7" t="n">
        <v>59.99</v>
      </c>
      <c r="F51" s="2" t="n"/>
      <c r="G51" s="8" t="n">
        <v>2150</v>
      </c>
      <c r="H51" s="9">
        <f>IFERROR(IF(INDEX(Dólar!$B:$B,MATCH(A51,Dólar!$A:$A,0))="","",INDEX(Dólar!$B:$B,MATCH(A51,Dólar!$A:$A,0))),"")</f>
        <v/>
      </c>
      <c r="I51" s="10">
        <f>IFERROR(INDEX(Dólar!$E:$E,MATCH(A51,Dólar!$A:$A,0)),"")</f>
        <v/>
      </c>
      <c r="J51" s="6" t="inlineStr">
        <is>
          <t>ver anuncio</t>
        </is>
      </c>
      <c r="K51" s="15" t="n">
        <v>46306</v>
      </c>
      <c r="L51" s="16">
        <f>IF(OR($K51="",D51=""),"",IF(COUNTIFS($B:$B,$B51,$A:$A,$K51,D:D,"&gt;=0")=0,"",D51-SUMIFS(D:D,$B:$B,$B51,$A:$A,$K51)))</f>
        <v/>
      </c>
      <c r="M51" s="16">
        <f>IF(OR($K51="",E51=""),"",IF(COUNTIFS($B:$B,$B51,$A:$A,$K51,E:E,"&gt;=0")=0,"",E51-SUMIFS(E:E,$B:$B,$B51,$A:$A,$K51)))</f>
        <v/>
      </c>
      <c r="N51" s="16">
        <f>IF(OR($K51="",F51=""),"",IF(COUNTIFS($B:$B,$B51,$A:$A,$K51,F:F,"&gt;=0")=0,"",F51-SUMIFS(F:F,$B:$B,$B51,$A:$A,$K51)))</f>
        <v/>
      </c>
      <c r="O51" s="16">
        <f>IF(OR($K51="",G51=""),"",IF(COUNTIFS($B:$B,$B51,$A:$A,$K51,G:G,"&gt;=0")=0,"",G51-SUMIFS(G:G,$B:$B,$B51,$A:$A,$K51)))</f>
        <v/>
      </c>
    </row>
    <row r="52">
      <c r="A52" s="15" t="n">
        <v>46307</v>
      </c>
      <c r="B52" s="5" t="inlineStr">
        <is>
          <t>Intel Core i5-14400F</t>
        </is>
      </c>
      <c r="C52" s="5" t="inlineStr">
        <is>
          <t>CPU</t>
        </is>
      </c>
      <c r="D52" s="7" t="n">
        <v>164.49</v>
      </c>
      <c r="E52" s="7" t="n">
        <v>136.99</v>
      </c>
      <c r="F52" s="2" t="n"/>
      <c r="G52" s="8" t="n">
        <v>2520</v>
      </c>
      <c r="H52" s="9">
        <f>IFERROR(IF(INDEX(Dólar!$B:$B,MATCH(A52,Dólar!$A:$A,0))="","",INDEX(Dólar!$B:$B,MATCH(A52,Dólar!$A:$A,0))),"")</f>
        <v/>
      </c>
      <c r="I52" s="10">
        <f>IFERROR(INDEX(Dólar!$E:$E,MATCH(A52,Dólar!$A:$A,0)),"")</f>
        <v/>
      </c>
      <c r="J52" s="6" t="inlineStr">
        <is>
          <t>ver anuncio</t>
        </is>
      </c>
      <c r="K52" s="15" t="n">
        <v>46306</v>
      </c>
      <c r="L52" s="16">
        <f>IF(OR($K52="",D52=""),"",IF(COUNTIFS($B:$B,$B52,$A:$A,$K52,D:D,"&gt;=0")=0,"",D52-SUMIFS(D:D,$B:$B,$B52,$A:$A,$K52)))</f>
        <v/>
      </c>
      <c r="M52" s="16">
        <f>IF(OR($K52="",E52=""),"",IF(COUNTIFS($B:$B,$B52,$A:$A,$K52,E:E,"&gt;=0")=0,"",E52-SUMIFS(E:E,$B:$B,$B52,$A:$A,$K52)))</f>
        <v/>
      </c>
      <c r="N52" s="16">
        <f>IF(OR($K52="",F52=""),"",IF(COUNTIFS($B:$B,$B52,$A:$A,$K52,F:F,"&gt;=0")=0,"",F52-SUMIFS(F:F,$B:$B,$B52,$A:$A,$K52)))</f>
        <v/>
      </c>
      <c r="O52" s="16">
        <f>IF(OR($K52="",G52=""),"",IF(COUNTIFS($B:$B,$B52,$A:$A,$K52,G:G,"&gt;=0")=0,"",G52-SUMIFS(G:G,$B:$B,$B52,$A:$A,$K52)))</f>
        <v/>
      </c>
    </row>
    <row r="53">
      <c r="A53" s="15" t="n">
        <v>46307</v>
      </c>
      <c r="B53" s="5" t="inlineStr">
        <is>
          <t>Intel Core i5-13400</t>
        </is>
      </c>
      <c r="C53" s="5" t="inlineStr">
        <is>
          <t>CPU</t>
        </is>
      </c>
      <c r="D53" s="7" t="n">
        <v>259.78</v>
      </c>
      <c r="E53" s="7" t="n">
        <v>149.99</v>
      </c>
      <c r="F53" s="2" t="n"/>
      <c r="G53" s="2" t="n"/>
      <c r="H53" s="9">
        <f>IFERROR(IF(INDEX(Dólar!$B:$B,MATCH(A53,Dólar!$A:$A,0))="","",INDEX(Dólar!$B:$B,MATCH(A53,Dólar!$A:$A,0))),"")</f>
        <v/>
      </c>
      <c r="I53" s="10">
        <f>IFERROR(INDEX(Dólar!$E:$E,MATCH(A53,Dólar!$A:$A,0)),"")</f>
        <v/>
      </c>
      <c r="J53" s="6" t="inlineStr">
        <is>
          <t>ver anuncio</t>
        </is>
      </c>
      <c r="K53" s="15" t="n">
        <v>46306</v>
      </c>
      <c r="L53" s="16">
        <f>IF(OR($K53="",D53=""),"",IF(COUNTIFS($B:$B,$B53,$A:$A,$K53,D:D,"&gt;=0")=0,"",D53-SUMIFS(D:D,$B:$B,$B53,$A:$A,$K53)))</f>
        <v/>
      </c>
      <c r="M53" s="16">
        <f>IF(OR($K53="",E53=""),"",IF(COUNTIFS($B:$B,$B53,$A:$A,$K53,E:E,"&gt;=0")=0,"",E53-SUMIFS(E:E,$B:$B,$B53,$A:$A,$K53)))</f>
        <v/>
      </c>
      <c r="N53" s="16">
        <f>IF(OR($K53="",F53=""),"",IF(COUNTIFS($B:$B,$B53,$A:$A,$K53,F:F,"&gt;=0")=0,"",F53-SUMIFS(F:F,$B:$B,$B53,$A:$A,$K53)))</f>
        <v/>
      </c>
      <c r="O53" s="16">
        <f>IF(OR($K53="",G53=""),"",IF(COUNTIFS($B:$B,$B53,$A:$A,$K53,G:G,"&gt;=0")=0,"",G53-SUMIFS(G:G,$B:$B,$B53,$A:$A,$K53)))</f>
        <v/>
      </c>
    </row>
    <row r="54">
      <c r="A54" s="15" t="n">
        <v>46307</v>
      </c>
      <c r="B54" s="5" t="inlineStr">
        <is>
          <t>Intel Core i5-12400F</t>
        </is>
      </c>
      <c r="C54" s="5" t="inlineStr">
        <is>
          <t>CPU</t>
        </is>
      </c>
      <c r="D54" s="7" t="n">
        <v>150</v>
      </c>
      <c r="E54" s="7" t="n">
        <v>119.95</v>
      </c>
      <c r="F54" s="2" t="n"/>
      <c r="G54" s="8" t="n">
        <v>2460</v>
      </c>
      <c r="H54" s="9">
        <f>IFERROR(IF(INDEX(Dólar!$B:$B,MATCH(A54,Dólar!$A:$A,0))="","",INDEX(Dólar!$B:$B,MATCH(A54,Dólar!$A:$A,0))),"")</f>
        <v/>
      </c>
      <c r="I54" s="10">
        <f>IFERROR(INDEX(Dólar!$E:$E,MATCH(A54,Dólar!$A:$A,0)),"")</f>
        <v/>
      </c>
      <c r="J54" s="6" t="inlineStr">
        <is>
          <t>ver anuncio</t>
        </is>
      </c>
      <c r="K54" s="5" t="n"/>
      <c r="L54" s="16">
        <f>IF(OR($K54="",D54=""),"",IF(COUNTIFS($B:$B,$B54,$A:$A,$K54,D:D,"&gt;=0")=0,"",D54-SUMIFS(D:D,$B:$B,$B54,$A:$A,$K54)))</f>
        <v/>
      </c>
      <c r="M54" s="16">
        <f>IF(OR($K54="",E54=""),"",IF(COUNTIFS($B:$B,$B54,$A:$A,$K54,E:E,"&gt;=0")=0,"",E54-SUMIFS(E:E,$B:$B,$B54,$A:$A,$K54)))</f>
        <v/>
      </c>
      <c r="N54" s="16">
        <f>IF(OR($K54="",F54=""),"",IF(COUNTIFS($B:$B,$B54,$A:$A,$K54,F:F,"&gt;=0")=0,"",F54-SUMIFS(F:F,$B:$B,$B54,$A:$A,$K54)))</f>
        <v/>
      </c>
      <c r="O54" s="16">
        <f>IF(OR($K54="",G54=""),"",IF(COUNTIFS($B:$B,$B54,$A:$A,$K54,G:G,"&gt;=0")=0,"",G54-SUMIFS(G:G,$B:$B,$B54,$A:$A,$K54)))</f>
        <v/>
      </c>
    </row>
    <row r="55">
      <c r="A55" s="15" t="n">
        <v>46307</v>
      </c>
      <c r="B55" s="5" t="inlineStr">
        <is>
          <t>Intel Core Ultra 7 265K</t>
        </is>
      </c>
      <c r="C55" s="5" t="inlineStr">
        <is>
          <t>CPU</t>
        </is>
      </c>
      <c r="D55" s="7" t="n">
        <v>244.87</v>
      </c>
      <c r="E55" s="7" t="n">
        <v>209.99</v>
      </c>
      <c r="F55" s="2" t="n"/>
      <c r="G55" s="8" t="n">
        <v>4290</v>
      </c>
      <c r="H55" s="9">
        <f>IFERROR(IF(INDEX(Dólar!$B:$B,MATCH(A55,Dólar!$A:$A,0))="","",INDEX(Dólar!$B:$B,MATCH(A55,Dólar!$A:$A,0))),"")</f>
        <v/>
      </c>
      <c r="I55" s="10">
        <f>IFERROR(INDEX(Dólar!$E:$E,MATCH(A55,Dólar!$A:$A,0)),"")</f>
        <v/>
      </c>
      <c r="J55" s="6" t="inlineStr">
        <is>
          <t>ver anuncio</t>
        </is>
      </c>
      <c r="K55" s="15" t="n">
        <v>46306</v>
      </c>
      <c r="L55" s="16">
        <f>IF(OR($K55="",D55=""),"",IF(COUNTIFS($B:$B,$B55,$A:$A,$K55,D:D,"&gt;=0")=0,"",D55-SUMIFS(D:D,$B:$B,$B55,$A:$A,$K55)))</f>
        <v/>
      </c>
      <c r="M55" s="16">
        <f>IF(OR($K55="",E55=""),"",IF(COUNTIFS($B:$B,$B55,$A:$A,$K55,E:E,"&gt;=0")=0,"",E55-SUMIFS(E:E,$B:$B,$B55,$A:$A,$K55)))</f>
        <v/>
      </c>
      <c r="N55" s="16">
        <f>IF(OR($K55="",F55=""),"",IF(COUNTIFS($B:$B,$B55,$A:$A,$K55,F:F,"&gt;=0")=0,"",F55-SUMIFS(F:F,$B:$B,$B55,$A:$A,$K55)))</f>
        <v/>
      </c>
      <c r="O55" s="16">
        <f>IF(OR($K55="",G55=""),"",IF(COUNTIFS($B:$B,$B55,$A:$A,$K55,G:G,"&gt;=0")=0,"",G55-SUMIFS(G:G,$B:$B,$B55,$A:$A,$K55)))</f>
        <v/>
      </c>
    </row>
    <row r="56">
      <c r="A56" s="15" t="n">
        <v>46307</v>
      </c>
      <c r="B56" s="5" t="inlineStr">
        <is>
          <t>Corsair Vengeance RGB DDR5 32GB (2x16) 6000</t>
        </is>
      </c>
      <c r="C56" s="5" t="inlineStr">
        <is>
          <t>RAM</t>
        </is>
      </c>
      <c r="D56" s="7" t="n">
        <v>435.99</v>
      </c>
      <c r="E56" s="7" t="n">
        <v>399.9</v>
      </c>
      <c r="F56" s="2" t="n"/>
      <c r="G56" s="2" t="n"/>
      <c r="H56" s="9">
        <f>IFERROR(IF(INDEX(Dólar!$B:$B,MATCH(A56,Dólar!$A:$A,0))="","",INDEX(Dólar!$B:$B,MATCH(A56,Dólar!$A:$A,0))),"")</f>
        <v/>
      </c>
      <c r="I56" s="10">
        <f>IFERROR(INDEX(Dólar!$E:$E,MATCH(A56,Dólar!$A:$A,0)),"")</f>
        <v/>
      </c>
      <c r="J56" s="6" t="inlineStr">
        <is>
          <t>ver anuncio</t>
        </is>
      </c>
      <c r="K56" s="15" t="n">
        <v>46306</v>
      </c>
      <c r="L56" s="16">
        <f>IF(OR($K56="",D56=""),"",IF(COUNTIFS($B:$B,$B56,$A:$A,$K56,D:D,"&gt;=0")=0,"",D56-SUMIFS(D:D,$B:$B,$B56,$A:$A,$K56)))</f>
        <v/>
      </c>
      <c r="M56" s="16">
        <f>IF(OR($K56="",E56=""),"",IF(COUNTIFS($B:$B,$B56,$A:$A,$K56,E:E,"&gt;=0")=0,"",E56-SUMIFS(E:E,$B:$B,$B56,$A:$A,$K56)))</f>
        <v/>
      </c>
      <c r="N56" s="16">
        <f>IF(OR($K56="",F56=""),"",IF(COUNTIFS($B:$B,$B56,$A:$A,$K56,F:F,"&gt;=0")=0,"",F56-SUMIFS(F:F,$B:$B,$B56,$A:$A,$K56)))</f>
        <v/>
      </c>
      <c r="O56" s="16">
        <f>IF(OR($K56="",G56=""),"",IF(COUNTIFS($B:$B,$B56,$A:$A,$K56,G:G,"&gt;=0")=0,"",G56-SUMIFS(G:G,$B:$B,$B56,$A:$A,$K56)))</f>
        <v/>
      </c>
    </row>
    <row r="57">
      <c r="A57" s="15" t="n">
        <v>46307</v>
      </c>
      <c r="B57" s="5" t="inlineStr">
        <is>
          <t>Corsair Vengeance RGB DDR5 32GB (2x16) 5600</t>
        </is>
      </c>
      <c r="C57" s="5" t="inlineStr">
        <is>
          <t>RAM</t>
        </is>
      </c>
      <c r="D57" s="7" t="n">
        <v>493</v>
      </c>
      <c r="E57" s="7" t="n">
        <v>399.99</v>
      </c>
      <c r="F57" s="8" t="n">
        <v>4500</v>
      </c>
      <c r="G57" s="2" t="n"/>
      <c r="H57" s="9">
        <f>IFERROR(IF(INDEX(Dólar!$B:$B,MATCH(A57,Dólar!$A:$A,0))="","",INDEX(Dólar!$B:$B,MATCH(A57,Dólar!$A:$A,0))),"")</f>
        <v/>
      </c>
      <c r="I57" s="10">
        <f>IFERROR(INDEX(Dólar!$E:$E,MATCH(A57,Dólar!$A:$A,0)),"")</f>
        <v/>
      </c>
      <c r="J57" s="6" t="inlineStr">
        <is>
          <t>ver anuncio</t>
        </is>
      </c>
      <c r="K57" s="5" t="n"/>
      <c r="L57" s="16">
        <f>IF(OR($K57="",D57=""),"",IF(COUNTIFS($B:$B,$B57,$A:$A,$K57,D:D,"&gt;=0")=0,"",D57-SUMIFS(D:D,$B:$B,$B57,$A:$A,$K57)))</f>
        <v/>
      </c>
      <c r="M57" s="16">
        <f>IF(OR($K57="",E57=""),"",IF(COUNTIFS($B:$B,$B57,$A:$A,$K57,E:E,"&gt;=0")=0,"",E57-SUMIFS(E:E,$B:$B,$B57,$A:$A,$K57)))</f>
        <v/>
      </c>
      <c r="N57" s="16">
        <f>IF(OR($K57="",F57=""),"",IF(COUNTIFS($B:$B,$B57,$A:$A,$K57,F:F,"&gt;=0")=0,"",F57-SUMIFS(F:F,$B:$B,$B57,$A:$A,$K57)))</f>
        <v/>
      </c>
      <c r="O57" s="16">
        <f>IF(OR($K57="",G57=""),"",IF(COUNTIFS($B:$B,$B57,$A:$A,$K57,G:G,"&gt;=0")=0,"",G57-SUMIFS(G:G,$B:$B,$B57,$A:$A,$K57)))</f>
        <v/>
      </c>
    </row>
    <row r="58">
      <c r="A58" s="15" t="n">
        <v>46306</v>
      </c>
      <c r="B58" s="5" t="inlineStr">
        <is>
          <t>SSD NVMe 2TB</t>
        </is>
      </c>
      <c r="C58" s="5" t="inlineStr">
        <is>
          <t>SSD</t>
        </is>
      </c>
      <c r="D58" s="2" t="n"/>
      <c r="E58" s="2" t="n"/>
      <c r="F58" s="2" t="n"/>
      <c r="G58" s="2" t="n"/>
      <c r="H58" s="9">
        <f>IFERROR(IF(INDEX(Dólar!$B:$B,MATCH(A58,Dólar!$A:$A,0))="","",INDEX(Dólar!$B:$B,MATCH(A58,Dólar!$A:$A,0))),"")</f>
        <v/>
      </c>
      <c r="I58" s="10">
        <f>IFERROR(INDEX(Dólar!$E:$E,MATCH(A58,Dólar!$A:$A,0)),"")</f>
        <v/>
      </c>
      <c r="J58" s="2" t="n"/>
      <c r="K58" s="5" t="n"/>
      <c r="L58" s="16">
        <f>IF(OR($K58="",D58=""),"",IF(COUNTIFS($B:$B,$B58,$A:$A,$K58,D:D,"&gt;=0")=0,"",D58-SUMIFS(D:D,$B:$B,$B58,$A:$A,$K58)))</f>
        <v/>
      </c>
      <c r="M58" s="16">
        <f>IF(OR($K58="",E58=""),"",IF(COUNTIFS($B:$B,$B58,$A:$A,$K58,E:E,"&gt;=0")=0,"",E58-SUMIFS(E:E,$B:$B,$B58,$A:$A,$K58)))</f>
        <v/>
      </c>
      <c r="N58" s="16">
        <f>IF(OR($K58="",F58=""),"",IF(COUNTIFS($B:$B,$B58,$A:$A,$K58,F:F,"&gt;=0")=0,"",F58-SUMIFS(F:F,$B:$B,$B58,$A:$A,$K58)))</f>
        <v/>
      </c>
      <c r="O58" s="16">
        <f>IF(OR($K58="",G58=""),"",IF(COUNTIFS($B:$B,$B58,$A:$A,$K58,G:G,"&gt;=0")=0,"",G58-SUMIFS(G:G,$B:$B,$B58,$A:$A,$K58)))</f>
        <v/>
      </c>
    </row>
    <row r="59">
      <c r="A59" s="15" t="n">
        <v>46306</v>
      </c>
      <c r="B59" s="5" t="inlineStr">
        <is>
          <t>SSD NVMe 1TB</t>
        </is>
      </c>
      <c r="C59" s="5" t="inlineStr">
        <is>
          <t>SSD</t>
        </is>
      </c>
      <c r="D59" s="2" t="n"/>
      <c r="E59" s="2" t="n"/>
      <c r="F59" s="8" t="n">
        <v>1800</v>
      </c>
      <c r="G59" s="2" t="n"/>
      <c r="H59" s="9">
        <f>IFERROR(IF(INDEX(Dólar!$B:$B,MATCH(A59,Dólar!$A:$A,0))="","",INDEX(Dólar!$B:$B,MATCH(A59,Dólar!$A:$A,0))),"")</f>
        <v/>
      </c>
      <c r="I59" s="10">
        <f>IFERROR(INDEX(Dólar!$E:$E,MATCH(A59,Dólar!$A:$A,0)),"")</f>
        <v/>
      </c>
      <c r="J59" s="6" t="inlineStr">
        <is>
          <t>ver anuncio</t>
        </is>
      </c>
      <c r="K59" s="5" t="n"/>
      <c r="L59" s="16">
        <f>IF(OR($K59="",D59=""),"",IF(COUNTIFS($B:$B,$B59,$A:$A,$K59,D:D,"&gt;=0")=0,"",D59-SUMIFS(D:D,$B:$B,$B59,$A:$A,$K59)))</f>
        <v/>
      </c>
      <c r="M59" s="16">
        <f>IF(OR($K59="",E59=""),"",IF(COUNTIFS($B:$B,$B59,$A:$A,$K59,E:E,"&gt;=0")=0,"",E59-SUMIFS(E:E,$B:$B,$B59,$A:$A,$K59)))</f>
        <v/>
      </c>
      <c r="N59" s="16">
        <f>IF(OR($K59="",F59=""),"",IF(COUNTIFS($B:$B,$B59,$A:$A,$K59,F:F,"&gt;=0")=0,"",F59-SUMIFS(F:F,$B:$B,$B59,$A:$A,$K59)))</f>
        <v/>
      </c>
      <c r="O59" s="16">
        <f>IF(OR($K59="",G59=""),"",IF(COUNTIFS($B:$B,$B59,$A:$A,$K59,G:G,"&gt;=0")=0,"",G59-SUMIFS(G:G,$B:$B,$B59,$A:$A,$K59)))</f>
        <v/>
      </c>
    </row>
    <row r="60">
      <c r="A60" s="15" t="n">
        <v>46306</v>
      </c>
      <c r="B60" s="5" t="inlineStr">
        <is>
          <t>Ryzen 9 9950X</t>
        </is>
      </c>
      <c r="C60" s="5" t="inlineStr">
        <is>
          <t>CPU</t>
        </is>
      </c>
      <c r="D60" s="2" t="n"/>
      <c r="E60" s="2" t="n"/>
      <c r="F60" s="2" t="n"/>
      <c r="G60" s="8" t="n">
        <v>5580</v>
      </c>
      <c r="H60" s="9">
        <f>IFERROR(IF(INDEX(Dólar!$B:$B,MATCH(A60,Dólar!$A:$A,0))="","",INDEX(Dólar!$B:$B,MATCH(A60,Dólar!$A:$A,0))),"")</f>
        <v/>
      </c>
      <c r="I60" s="10">
        <f>IFERROR(INDEX(Dólar!$E:$E,MATCH(A60,Dólar!$A:$A,0)),"")</f>
        <v/>
      </c>
      <c r="J60" s="6" t="inlineStr">
        <is>
          <t>ver anuncio</t>
        </is>
      </c>
      <c r="K60" s="5" t="n"/>
      <c r="L60" s="16">
        <f>IF(OR($K60="",D60=""),"",IF(COUNTIFS($B:$B,$B60,$A:$A,$K60,D:D,"&gt;=0")=0,"",D60-SUMIFS(D:D,$B:$B,$B60,$A:$A,$K60)))</f>
        <v/>
      </c>
      <c r="M60" s="16">
        <f>IF(OR($K60="",E60=""),"",IF(COUNTIFS($B:$B,$B60,$A:$A,$K60,E:E,"&gt;=0")=0,"",E60-SUMIFS(E:E,$B:$B,$B60,$A:$A,$K60)))</f>
        <v/>
      </c>
      <c r="N60" s="16">
        <f>IF(OR($K60="",F60=""),"",IF(COUNTIFS($B:$B,$B60,$A:$A,$K60,F:F,"&gt;=0")=0,"",F60-SUMIFS(F:F,$B:$B,$B60,$A:$A,$K60)))</f>
        <v/>
      </c>
      <c r="O60" s="16">
        <f>IF(OR($K60="",G60=""),"",IF(COUNTIFS($B:$B,$B60,$A:$A,$K60,G:G,"&gt;=0")=0,"",G60-SUMIFS(G:G,$B:$B,$B60,$A:$A,$K60)))</f>
        <v/>
      </c>
    </row>
    <row r="61">
      <c r="A61" s="15" t="n">
        <v>46306</v>
      </c>
      <c r="B61" s="5" t="inlineStr">
        <is>
          <t>Ryzen 7 7800X3D</t>
        </is>
      </c>
      <c r="C61" s="5" t="inlineStr">
        <is>
          <t>CPU</t>
        </is>
      </c>
      <c r="D61" s="2" t="n"/>
      <c r="E61" s="2" t="n"/>
      <c r="F61" s="8" t="n">
        <v>4800</v>
      </c>
      <c r="G61" s="2" t="n"/>
      <c r="H61" s="9">
        <f>IFERROR(IF(INDEX(Dólar!$B:$B,MATCH(A61,Dólar!$A:$A,0))="","",INDEX(Dólar!$B:$B,MATCH(A61,Dólar!$A:$A,0))),"")</f>
        <v/>
      </c>
      <c r="I61" s="10">
        <f>IFERROR(INDEX(Dólar!$E:$E,MATCH(A61,Dólar!$A:$A,0)),"")</f>
        <v/>
      </c>
      <c r="J61" s="6" t="inlineStr">
        <is>
          <t>ver anuncio</t>
        </is>
      </c>
      <c r="K61" s="5" t="n"/>
      <c r="L61" s="16">
        <f>IF(OR($K61="",D61=""),"",IF(COUNTIFS($B:$B,$B61,$A:$A,$K61,D:D,"&gt;=0")=0,"",D61-SUMIFS(D:D,$B:$B,$B61,$A:$A,$K61)))</f>
        <v/>
      </c>
      <c r="M61" s="16">
        <f>IF(OR($K61="",E61=""),"",IF(COUNTIFS($B:$B,$B61,$A:$A,$K61,E:E,"&gt;=0")=0,"",E61-SUMIFS(E:E,$B:$B,$B61,$A:$A,$K61)))</f>
        <v/>
      </c>
      <c r="N61" s="16">
        <f>IF(OR($K61="",F61=""),"",IF(COUNTIFS($B:$B,$B61,$A:$A,$K61,F:F,"&gt;=0")=0,"",F61-SUMIFS(F:F,$B:$B,$B61,$A:$A,$K61)))</f>
        <v/>
      </c>
      <c r="O61" s="16">
        <f>IF(OR($K61="",G61=""),"",IF(COUNTIFS($B:$B,$B61,$A:$A,$K61,G:G,"&gt;=0")=0,"",G61-SUMIFS(G:G,$B:$B,$B61,$A:$A,$K61)))</f>
        <v/>
      </c>
    </row>
    <row r="62">
      <c r="A62" s="15" t="n">
        <v>46306</v>
      </c>
      <c r="B62" s="5" t="inlineStr">
        <is>
          <t>Ryzen 5 7600</t>
        </is>
      </c>
      <c r="C62" s="5" t="inlineStr">
        <is>
          <t>CPU</t>
        </is>
      </c>
      <c r="D62" s="2" t="n"/>
      <c r="E62" s="2" t="n"/>
      <c r="F62" s="2" t="n"/>
      <c r="G62" s="2" t="n"/>
      <c r="H62" s="9">
        <f>IFERROR(IF(INDEX(Dólar!$B:$B,MATCH(A62,Dólar!$A:$A,0))="","",INDEX(Dólar!$B:$B,MATCH(A62,Dólar!$A:$A,0))),"")</f>
        <v/>
      </c>
      <c r="I62" s="10">
        <f>IFERROR(INDEX(Dólar!$E:$E,MATCH(A62,Dólar!$A:$A,0)),"")</f>
        <v/>
      </c>
      <c r="J62" s="2" t="n"/>
      <c r="K62" s="5" t="n"/>
      <c r="L62" s="16">
        <f>IF(OR($K62="",D62=""),"",IF(COUNTIFS($B:$B,$B62,$A:$A,$K62,D:D,"&gt;=0")=0,"",D62-SUMIFS(D:D,$B:$B,$B62,$A:$A,$K62)))</f>
        <v/>
      </c>
      <c r="M62" s="16">
        <f>IF(OR($K62="",E62=""),"",IF(COUNTIFS($B:$B,$B62,$A:$A,$K62,E:E,"&gt;=0")=0,"",E62-SUMIFS(E:E,$B:$B,$B62,$A:$A,$K62)))</f>
        <v/>
      </c>
      <c r="N62" s="16">
        <f>IF(OR($K62="",F62=""),"",IF(COUNTIFS($B:$B,$B62,$A:$A,$K62,F:F,"&gt;=0")=0,"",F62-SUMIFS(F:F,$B:$B,$B62,$A:$A,$K62)))</f>
        <v/>
      </c>
      <c r="O62" s="16">
        <f>IF(OR($K62="",G62=""),"",IF(COUNTIFS($B:$B,$B62,$A:$A,$K62,G:G,"&gt;=0")=0,"",G62-SUMIFS(G:G,$B:$B,$B62,$A:$A,$K62)))</f>
        <v/>
      </c>
    </row>
    <row r="63">
      <c r="A63" s="15" t="n">
        <v>46306</v>
      </c>
      <c r="B63" s="5" t="inlineStr">
        <is>
          <t>RAM DDR4 16GB (2x8) 3200</t>
        </is>
      </c>
      <c r="C63" s="5" t="inlineStr">
        <is>
          <t>RAM</t>
        </is>
      </c>
      <c r="D63" s="2" t="n"/>
      <c r="E63" s="2" t="n"/>
      <c r="F63" s="8" t="n">
        <v>900</v>
      </c>
      <c r="G63" s="2" t="n"/>
      <c r="H63" s="9">
        <f>IFERROR(IF(INDEX(Dólar!$B:$B,MATCH(A63,Dólar!$A:$A,0))="","",INDEX(Dólar!$B:$B,MATCH(A63,Dólar!$A:$A,0))),"")</f>
        <v/>
      </c>
      <c r="I63" s="10">
        <f>IFERROR(INDEX(Dólar!$E:$E,MATCH(A63,Dólar!$A:$A,0)),"")</f>
        <v/>
      </c>
      <c r="J63" s="6" t="inlineStr">
        <is>
          <t>ver anuncio</t>
        </is>
      </c>
      <c r="K63" s="5" t="n"/>
      <c r="L63" s="16">
        <f>IF(OR($K63="",D63=""),"",IF(COUNTIFS($B:$B,$B63,$A:$A,$K63,D:D,"&gt;=0")=0,"",D63-SUMIFS(D:D,$B:$B,$B63,$A:$A,$K63)))</f>
        <v/>
      </c>
      <c r="M63" s="16">
        <f>IF(OR($K63="",E63=""),"",IF(COUNTIFS($B:$B,$B63,$A:$A,$K63,E:E,"&gt;=0")=0,"",E63-SUMIFS(E:E,$B:$B,$B63,$A:$A,$K63)))</f>
        <v/>
      </c>
      <c r="N63" s="16">
        <f>IF(OR($K63="",F63=""),"",IF(COUNTIFS($B:$B,$B63,$A:$A,$K63,F:F,"&gt;=0")=0,"",F63-SUMIFS(F:F,$B:$B,$B63,$A:$A,$K63)))</f>
        <v/>
      </c>
      <c r="O63" s="16">
        <f>IF(OR($K63="",G63=""),"",IF(COUNTIFS($B:$B,$B63,$A:$A,$K63,G:G,"&gt;=0")=0,"",G63-SUMIFS(G:G,$B:$B,$B63,$A:$A,$K63)))</f>
        <v/>
      </c>
    </row>
    <row r="64">
      <c r="A64" s="15" t="n">
        <v>46306</v>
      </c>
      <c r="B64" s="5" t="inlineStr">
        <is>
          <t>Intel Core i5-14400F</t>
        </is>
      </c>
      <c r="C64" s="5" t="inlineStr">
        <is>
          <t>CPU</t>
        </is>
      </c>
      <c r="D64" s="2" t="n"/>
      <c r="E64" s="2" t="n"/>
      <c r="F64" s="2" t="n"/>
      <c r="G64" s="2" t="n"/>
      <c r="H64" s="9">
        <f>IFERROR(IF(INDEX(Dólar!$B:$B,MATCH(A64,Dólar!$A:$A,0))="","",INDEX(Dólar!$B:$B,MATCH(A64,Dólar!$A:$A,0))),"")</f>
        <v/>
      </c>
      <c r="I64" s="10">
        <f>IFERROR(INDEX(Dólar!$E:$E,MATCH(A64,Dólar!$A:$A,0)),"")</f>
        <v/>
      </c>
      <c r="J64" s="2" t="n"/>
      <c r="K64" s="5" t="n"/>
      <c r="L64" s="16">
        <f>IF(OR($K64="",D64=""),"",IF(COUNTIFS($B:$B,$B64,$A:$A,$K64,D:D,"&gt;=0")=0,"",D64-SUMIFS(D:D,$B:$B,$B64,$A:$A,$K64)))</f>
        <v/>
      </c>
      <c r="M64" s="16">
        <f>IF(OR($K64="",E64=""),"",IF(COUNTIFS($B:$B,$B64,$A:$A,$K64,E:E,"&gt;=0")=0,"",E64-SUMIFS(E:E,$B:$B,$B64,$A:$A,$K64)))</f>
        <v/>
      </c>
      <c r="N64" s="16">
        <f>IF(OR($K64="",F64=""),"",IF(COUNTIFS($B:$B,$B64,$A:$A,$K64,F:F,"&gt;=0")=0,"",F64-SUMIFS(F:F,$B:$B,$B64,$A:$A,$K64)))</f>
        <v/>
      </c>
      <c r="O64" s="16">
        <f>IF(OR($K64="",G64=""),"",IF(COUNTIFS($B:$B,$B64,$A:$A,$K64,G:G,"&gt;=0")=0,"",G64-SUMIFS(G:G,$B:$B,$B64,$A:$A,$K64)))</f>
        <v/>
      </c>
    </row>
    <row r="65">
      <c r="A65" s="15" t="n">
        <v>46306</v>
      </c>
      <c r="B65" s="5" t="inlineStr">
        <is>
          <t>Intel Core i5-13400</t>
        </is>
      </c>
      <c r="C65" s="5" t="inlineStr">
        <is>
          <t>CPU</t>
        </is>
      </c>
      <c r="D65" s="2" t="n"/>
      <c r="E65" s="2" t="n"/>
      <c r="F65" s="2" t="n"/>
      <c r="G65" s="8" t="n">
        <v>2300</v>
      </c>
      <c r="H65" s="9">
        <f>IFERROR(IF(INDEX(Dólar!$B:$B,MATCH(A65,Dólar!$A:$A,0))="","",INDEX(Dólar!$B:$B,MATCH(A65,Dólar!$A:$A,0))),"")</f>
        <v/>
      </c>
      <c r="I65" s="10">
        <f>IFERROR(INDEX(Dólar!$E:$E,MATCH(A65,Dólar!$A:$A,0)),"")</f>
        <v/>
      </c>
      <c r="J65" s="6" t="inlineStr">
        <is>
          <t>ver anuncio</t>
        </is>
      </c>
      <c r="K65" s="5" t="n"/>
      <c r="L65" s="16">
        <f>IF(OR($K65="",D65=""),"",IF(COUNTIFS($B:$B,$B65,$A:$A,$K65,D:D,"&gt;=0")=0,"",D65-SUMIFS(D:D,$B:$B,$B65,$A:$A,$K65)))</f>
        <v/>
      </c>
      <c r="M65" s="16">
        <f>IF(OR($K65="",E65=""),"",IF(COUNTIFS($B:$B,$B65,$A:$A,$K65,E:E,"&gt;=0")=0,"",E65-SUMIFS(E:E,$B:$B,$B65,$A:$A,$K65)))</f>
        <v/>
      </c>
      <c r="N65" s="16">
        <f>IF(OR($K65="",F65=""),"",IF(COUNTIFS($B:$B,$B65,$A:$A,$K65,F:F,"&gt;=0")=0,"",F65-SUMIFS(F:F,$B:$B,$B65,$A:$A,$K65)))</f>
        <v/>
      </c>
      <c r="O65" s="16">
        <f>IF(OR($K65="",G65=""),"",IF(COUNTIFS($B:$B,$B65,$A:$A,$K65,G:G,"&gt;=0")=0,"",G65-SUMIFS(G:G,$B:$B,$B65,$A:$A,$K65)))</f>
        <v/>
      </c>
    </row>
    <row r="66">
      <c r="A66" s="15" t="n">
        <v>46306</v>
      </c>
      <c r="B66" s="5" t="inlineStr">
        <is>
          <t>Intel Core Ultra 7 265K</t>
        </is>
      </c>
      <c r="C66" s="5" t="inlineStr">
        <is>
          <t>CPU</t>
        </is>
      </c>
      <c r="D66" s="2" t="n"/>
      <c r="E66" s="2" t="n"/>
      <c r="F66" s="2" t="n"/>
      <c r="G66" s="8" t="n">
        <v>3950</v>
      </c>
      <c r="H66" s="9">
        <f>IFERROR(IF(INDEX(Dólar!$B:$B,MATCH(A66,Dólar!$A:$A,0))="","",INDEX(Dólar!$B:$B,MATCH(A66,Dólar!$A:$A,0))),"")</f>
        <v/>
      </c>
      <c r="I66" s="10">
        <f>IFERROR(INDEX(Dólar!$E:$E,MATCH(A66,Dólar!$A:$A,0)),"")</f>
        <v/>
      </c>
      <c r="J66" s="6" t="inlineStr">
        <is>
          <t>ver anuncio</t>
        </is>
      </c>
      <c r="K66" s="5" t="n"/>
      <c r="L66" s="16">
        <f>IF(OR($K66="",D66=""),"",IF(COUNTIFS($B:$B,$B66,$A:$A,$K66,D:D,"&gt;=0")=0,"",D66-SUMIFS(D:D,$B:$B,$B66,$A:$A,$K66)))</f>
        <v/>
      </c>
      <c r="M66" s="16">
        <f>IF(OR($K66="",E66=""),"",IF(COUNTIFS($B:$B,$B66,$A:$A,$K66,E:E,"&gt;=0")=0,"",E66-SUMIFS(E:E,$B:$B,$B66,$A:$A,$K66)))</f>
        <v/>
      </c>
      <c r="N66" s="16">
        <f>IF(OR($K66="",F66=""),"",IF(COUNTIFS($B:$B,$B66,$A:$A,$K66,F:F,"&gt;=0")=0,"",F66-SUMIFS(F:F,$B:$B,$B66,$A:$A,$K66)))</f>
        <v/>
      </c>
      <c r="O66" s="16">
        <f>IF(OR($K66="",G66=""),"",IF(COUNTIFS($B:$B,$B66,$A:$A,$K66,G:G,"&gt;=0")=0,"",G66-SUMIFS(G:G,$B:$B,$B66,$A:$A,$K66)))</f>
        <v/>
      </c>
    </row>
    <row r="67">
      <c r="A67" s="15" t="n">
        <v>46306</v>
      </c>
      <c r="B67" s="5" t="inlineStr">
        <is>
          <t>Corsair Vengeance RGB DDR5 32GB (2x16) 6000</t>
        </is>
      </c>
      <c r="C67" s="5" t="inlineStr">
        <is>
          <t>RAM</t>
        </is>
      </c>
      <c r="D67" s="2" t="n"/>
      <c r="E67" s="2" t="n"/>
      <c r="F67" s="8" t="n">
        <v>6200</v>
      </c>
      <c r="G67" s="2" t="n"/>
      <c r="H67" s="9">
        <f>IFERROR(IF(INDEX(Dólar!$B:$B,MATCH(A67,Dólar!$A:$A,0))="","",INDEX(Dólar!$B:$B,MATCH(A67,Dólar!$A:$A,0))),"")</f>
        <v/>
      </c>
      <c r="I67" s="10">
        <f>IFERROR(INDEX(Dólar!$E:$E,MATCH(A67,Dólar!$A:$A,0)),"")</f>
        <v/>
      </c>
      <c r="J67" s="6" t="inlineStr">
        <is>
          <t>ver anuncio</t>
        </is>
      </c>
      <c r="K67" s="5" t="n"/>
      <c r="L67" s="16">
        <f>IF(OR($K67="",D67=""),"",IF(COUNTIFS($B:$B,$B67,$A:$A,$K67,D:D,"&gt;=0")=0,"",D67-SUMIFS(D:D,$B:$B,$B67,$A:$A,$K67)))</f>
        <v/>
      </c>
      <c r="M67" s="16">
        <f>IF(OR($K67="",E67=""),"",IF(COUNTIFS($B:$B,$B67,$A:$A,$K67,E:E,"&gt;=0")=0,"",E67-SUMIFS(E:E,$B:$B,$B67,$A:$A,$K67)))</f>
        <v/>
      </c>
      <c r="N67" s="16">
        <f>IF(OR($K67="",F67=""),"",IF(COUNTIFS($B:$B,$B67,$A:$A,$K67,F:F,"&gt;=0")=0,"",F67-SUMIFS(F:F,$B:$B,$B67,$A:$A,$K67)))</f>
        <v/>
      </c>
      <c r="O67" s="16">
        <f>IF(OR($K67="",G67=""),"",IF(COUNTIFS($B:$B,$B67,$A:$A,$K67,G:G,"&gt;=0")=0,"",G67-SUMIFS(G:G,$B:$B,$B67,$A:$A,$K67)))</f>
        <v/>
      </c>
    </row>
  </sheetData>
  <conditionalFormatting sqref="L2:M67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67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9" r:id="rId57"/>
    <hyperlink xmlns:r="http://schemas.openxmlformats.org/officeDocument/2006/relationships" ref="J60" r:id="rId58"/>
    <hyperlink xmlns:r="http://schemas.openxmlformats.org/officeDocument/2006/relationships" ref="J61" r:id="rId59"/>
    <hyperlink xmlns:r="http://schemas.openxmlformats.org/officeDocument/2006/relationships" ref="J63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</hyperlinks>
  <pageMargins left="0.75" right="0.75" top="1" bottom="1" header="0.5" footer="0.5"/>
  <tableParts count="1">
    <tablePart xmlns:r="http://schemas.openxmlformats.org/officeDocument/2006/relationships" r:id="rId6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extra (incluida en los couriers)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  <row r="5">
      <c r="A5" s="24" t="n">
        <v>46308</v>
      </c>
      <c r="B5" s="19" t="n">
        <v>11.73</v>
      </c>
      <c r="C5" s="19" t="n">
        <v>11.85</v>
      </c>
      <c r="D5" s="19" t="n">
        <v>11.88</v>
      </c>
      <c r="E5" s="10">
        <f>IF(COUNT(C5:D5)=2,AVERAGE(C5:D5),"")</f>
        <v/>
      </c>
      <c r="F5" s="19" t="n">
        <v>11.87</v>
      </c>
      <c r="G5" s="5" t="inlineStr">
        <is>
          <t>BCB oficial 11.73; paralelo dolarbolivia.net 13/10 (compra 11.85 / venta 11.88); usado = promedio del paralelo</t>
        </is>
      </c>
    </row>
    <row r="6">
      <c r="A6" s="24" t="n">
        <v>46309</v>
      </c>
      <c r="B6" s="19" t="n">
        <v>11.7</v>
      </c>
      <c r="C6" s="19" t="n">
        <v>11.84</v>
      </c>
      <c r="D6" s="19" t="n">
        <v>11.88</v>
      </c>
      <c r="E6" s="10">
        <f>IF(COUNT(C6:D6)=2,AVERAGE(C6:D6),"")</f>
        <v/>
      </c>
      <c r="F6" s="19" t="n">
        <v>11.86</v>
      </c>
      <c r="G6" s="5" t="inlineStr">
        <is>
          <t>BCB oficial 11.70; paralelo dolarbolivia.net 14/10 (compra 11.84 / venta 11.88; la página es inconsistente entre compra y venta); usado = promedio del paralelo</t>
        </is>
      </c>
    </row>
    <row r="7">
      <c r="A7" s="24" t="n">
        <v>46310</v>
      </c>
      <c r="B7" s="19" t="n">
        <v>11.7</v>
      </c>
      <c r="C7" s="19" t="n">
        <v>11.86</v>
      </c>
      <c r="D7" s="19" t="n">
        <v>11.83</v>
      </c>
      <c r="E7" s="10">
        <f>IF(COUNT(C7:D7)=2,AVERAGE(C7:D7),"")</f>
        <v/>
      </c>
      <c r="F7" s="19" t="n">
        <v>11.85</v>
      </c>
      <c r="G7" s="5" t="inlineStr">
        <is>
          <t>BCB oficial 11.70; paralelo dolarbolivia.net 15/10 (compra 11.86 / venta 11.83; la página es inconsistente entre compra y venta);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46308</v>
      </c>
      <c r="B55" s="5" t="inlineStr">
        <is>
          <t>eBay</t>
        </is>
      </c>
      <c r="C55" s="5" t="inlineStr">
        <is>
          <t>Ryzen 5 5600</t>
        </is>
      </c>
      <c r="D55" s="5" t="inlineStr">
        <is>
          <t>nuevo</t>
        </is>
      </c>
      <c r="E55" s="11" t="n">
        <v>138.9</v>
      </c>
      <c r="F55" s="5" t="inlineStr">
        <is>
          <t>USD</t>
        </is>
      </c>
      <c r="G55" s="5" t="inlineStr">
        <is>
          <t>eBay API; vendedor 3c_wholesaler 99.1%; (New) AMD Ryzen 5 5600 Vermeer Zen3 6-Core 12-Thread AM4 CPU</t>
        </is>
      </c>
      <c r="H55" s="6" t="inlineStr">
        <is>
          <t>ver</t>
        </is>
      </c>
    </row>
    <row r="56">
      <c r="A56" s="15" t="n">
        <v>46308</v>
      </c>
      <c r="B56" s="5" t="inlineStr">
        <is>
          <t>eBay</t>
        </is>
      </c>
      <c r="C56" s="5" t="inlineStr">
        <is>
          <t>Ryzen 5 7600</t>
        </is>
      </c>
      <c r="D56" s="5" t="inlineStr">
        <is>
          <t>nuevo</t>
        </is>
      </c>
      <c r="E56" s="11" t="n">
        <v>143.24</v>
      </c>
      <c r="F56" s="5" t="inlineStr">
        <is>
          <t>USD</t>
        </is>
      </c>
      <c r="G56" s="5" t="inlineStr">
        <is>
          <t>eBay API; vendedor silaxon 99.6%; AMD Ryzen 5 7600 3.80GHz 6 Core 12 Thread AM5 100-000001015</t>
        </is>
      </c>
      <c r="H56" s="6" t="inlineStr">
        <is>
          <t>ver</t>
        </is>
      </c>
    </row>
    <row r="57">
      <c r="A57" s="15" t="n">
        <v>46308</v>
      </c>
      <c r="B57" s="5" t="inlineStr">
        <is>
          <t>eBay</t>
        </is>
      </c>
      <c r="C57" s="5" t="inlineStr">
        <is>
          <t>Ryzen 7 7800X3D</t>
        </is>
      </c>
      <c r="D57" s="5" t="inlineStr">
        <is>
          <t>nuevo</t>
        </is>
      </c>
      <c r="E57" s="11" t="n">
        <v>329</v>
      </c>
      <c r="F57" s="5" t="inlineStr">
        <is>
          <t>USD</t>
        </is>
      </c>
      <c r="G57" s="5" t="inlineStr">
        <is>
          <t>eBay API; vendedor aaawavecom 99.8%; AMD Ryzen 7 7800X3D Processor Zen 4 8-Core 4.2GHz AM5 CPU (N</t>
        </is>
      </c>
      <c r="H57" s="6" t="inlineStr">
        <is>
          <t>ver</t>
        </is>
      </c>
    </row>
    <row r="58">
      <c r="A58" s="15" t="n">
        <v>46308</v>
      </c>
      <c r="B58" s="5" t="inlineStr">
        <is>
          <t>eBay</t>
        </is>
      </c>
      <c r="C58" s="5" t="inlineStr">
        <is>
          <t>Ryzen 9 9950X</t>
        </is>
      </c>
      <c r="D58" s="5" t="inlineStr">
        <is>
          <t>nuevo</t>
        </is>
      </c>
      <c r="E58" s="11" t="n">
        <v>499.99</v>
      </c>
      <c r="F58" s="5" t="inlineStr">
        <is>
          <t>USD</t>
        </is>
      </c>
      <c r="G58" s="5" t="inlineStr">
        <is>
          <t>eBay API; vendedor saguarowholesalesupply 100.0%; AMD Ryzen 9 9950X Desktop Processor AM5 New Sealed; envío no indicado</t>
        </is>
      </c>
      <c r="H58" s="6" t="inlineStr">
        <is>
          <t>ver</t>
        </is>
      </c>
    </row>
    <row r="59">
      <c r="A59" s="15" t="n">
        <v>46308</v>
      </c>
      <c r="B59" s="5" t="inlineStr">
        <is>
          <t>eBay</t>
        </is>
      </c>
      <c r="C59" s="5" t="inlineStr">
        <is>
          <t>Intel Core i5-12400F</t>
        </is>
      </c>
      <c r="D59" s="5" t="inlineStr">
        <is>
          <t>nuevo</t>
        </is>
      </c>
      <c r="E59" s="11" t="n">
        <v>150</v>
      </c>
      <c r="F59" s="5" t="inlineStr">
        <is>
          <t>USD</t>
        </is>
      </c>
      <c r="G59" s="5" t="inlineStr">
        <is>
          <t>eBay API; vendedor algonz1137 100.0%; INTEL CPU Core i5-12400F / 6/12 / 2.5GHz / 6xxChipset / BX80; envío no indicado</t>
        </is>
      </c>
      <c r="H59" s="6" t="inlineStr">
        <is>
          <t>ver</t>
        </is>
      </c>
    </row>
    <row r="60">
      <c r="A60" s="15" t="n">
        <v>46308</v>
      </c>
      <c r="B60" s="5" t="inlineStr">
        <is>
          <t>eBay</t>
        </is>
      </c>
      <c r="C60" s="5" t="inlineStr">
        <is>
          <t>Intel Core i5-14400F</t>
        </is>
      </c>
      <c r="D60" s="5" t="inlineStr">
        <is>
          <t>nuevo</t>
        </is>
      </c>
      <c r="E60" s="11" t="n">
        <v>164.49</v>
      </c>
      <c r="F60" s="5" t="inlineStr">
        <is>
          <t>USD</t>
        </is>
      </c>
      <c r="G60" s="5" t="inlineStr">
        <is>
          <t xml:space="preserve">eBay API; vendedor newegg 99.6%; Intel Core i5-14400F - Core i5 14th Gen Raptor Lake 10-Core </t>
        </is>
      </c>
      <c r="H60" s="6" t="inlineStr">
        <is>
          <t>ver</t>
        </is>
      </c>
    </row>
    <row r="61">
      <c r="A61" s="15" t="n">
        <v>46308</v>
      </c>
      <c r="B61" s="5" t="inlineStr">
        <is>
          <t>eBay</t>
        </is>
      </c>
      <c r="C61" s="5" t="inlineStr">
        <is>
          <t>Intel Core Ultra 7 265K</t>
        </is>
      </c>
      <c r="D61" s="5" t="inlineStr">
        <is>
          <t>nuevo</t>
        </is>
      </c>
      <c r="E61" s="11" t="n">
        <v>234.99</v>
      </c>
      <c r="F61" s="5" t="inlineStr">
        <is>
          <t>USD</t>
        </is>
      </c>
      <c r="G61" s="5" t="inlineStr">
        <is>
          <t>eBay API; vendedor good_neighbor_mercantile 99.4%; Intel Core Ultra 7 265K CPU Desktop Processor LGA 1851 20-Co</t>
        </is>
      </c>
      <c r="H61" s="6" t="inlineStr">
        <is>
          <t>ver</t>
        </is>
      </c>
    </row>
    <row r="62">
      <c r="A62" s="15" t="n">
        <v>46308</v>
      </c>
      <c r="B62" s="5" t="inlineStr">
        <is>
          <t>eBay</t>
        </is>
      </c>
      <c r="C62" s="5" t="inlineStr">
        <is>
          <t>Corsair Vengeance RGB DDR5 32GB (2x16) 5600</t>
        </is>
      </c>
      <c r="D62" s="5" t="inlineStr">
        <is>
          <t>nuevo</t>
        </is>
      </c>
      <c r="E62" s="11" t="n">
        <v>493</v>
      </c>
      <c r="F62" s="5" t="inlineStr">
        <is>
          <t>USD</t>
        </is>
      </c>
      <c r="G62" s="5" t="inlineStr">
        <is>
          <t xml:space="preserve">eBay API; vendedor blessshoppingshangrila 100.0%; New Corsair VENGEANCE 32GB (2x16GB) Memory DDR5-5600MHz RAM </t>
        </is>
      </c>
      <c r="H62" s="6" t="inlineStr">
        <is>
          <t>ver</t>
        </is>
      </c>
    </row>
    <row r="63">
      <c r="A63" s="15" t="n">
        <v>46308</v>
      </c>
      <c r="B63" s="5" t="inlineStr">
        <is>
          <t>eBay</t>
        </is>
      </c>
      <c r="C63" s="5" t="inlineStr">
        <is>
          <t>Corsair Vengeance RGB DDR5 32GB (2x16) 6000</t>
        </is>
      </c>
      <c r="D63" s="5" t="inlineStr">
        <is>
          <t>nuevo</t>
        </is>
      </c>
      <c r="E63" s="11" t="n">
        <v>435.99</v>
      </c>
      <c r="F63" s="5" t="inlineStr">
        <is>
          <t>USD</t>
        </is>
      </c>
      <c r="G63" s="5" t="inlineStr">
        <is>
          <t>eBay API; vendedor wojiapanpan_4 100.0%; Corsair Vengeance RGB RS 32GB 2x16GB DDR5 6000 CL38 AMD EXPO</t>
        </is>
      </c>
      <c r="H63" s="6" t="inlineStr">
        <is>
          <t>ver</t>
        </is>
      </c>
    </row>
    <row r="64">
      <c r="A64" s="15" t="n">
        <v>46308</v>
      </c>
      <c r="B64" s="5" t="inlineStr">
        <is>
          <t>eBay</t>
        </is>
      </c>
      <c r="C64" s="5" t="inlineStr">
        <is>
          <t>RAM DDR4 16GB (2x8) 3200</t>
        </is>
      </c>
      <c r="D64" s="5" t="inlineStr">
        <is>
          <t>nuevo</t>
        </is>
      </c>
      <c r="E64" s="11" t="n">
        <v>92.98999999999999</v>
      </c>
      <c r="F64" s="5" t="inlineStr">
        <is>
          <t>USD</t>
        </is>
      </c>
      <c r="G64" s="5" t="inlineStr">
        <is>
          <t>eBay API; vendedor klolot3 100.0%; TeamGroup Vulcan Z 16GB (2x8GB) DDR4 3200 Desktop Gaming RAM; envío no indicado</t>
        </is>
      </c>
      <c r="H64" s="6" t="inlineStr">
        <is>
          <t>ver</t>
        </is>
      </c>
    </row>
    <row r="65">
      <c r="A65" s="15" t="n">
        <v>46308</v>
      </c>
      <c r="B65" s="5" t="inlineStr">
        <is>
          <t>eBay</t>
        </is>
      </c>
      <c r="C65" s="5" t="inlineStr">
        <is>
          <t>SSD NVMe 1TB</t>
        </is>
      </c>
      <c r="D65" s="5" t="inlineStr">
        <is>
          <t>nuevo</t>
        </is>
      </c>
      <c r="E65" s="11" t="n">
        <v>114.99</v>
      </c>
      <c r="F65" s="5" t="inlineStr">
        <is>
          <t>USD</t>
        </is>
      </c>
      <c r="G65" s="5" t="inlineStr">
        <is>
          <t>eBay API; vendedor gadgetworld03 99.0%; Derlar DN-850Q 1TB M.2 NVME PCIe 4.0 SSD - New</t>
        </is>
      </c>
      <c r="H65" s="6" t="inlineStr">
        <is>
          <t>ver</t>
        </is>
      </c>
    </row>
    <row r="66">
      <c r="A66" s="15" t="n">
        <v>46308</v>
      </c>
      <c r="B66" s="5" t="inlineStr">
        <is>
          <t>eBay</t>
        </is>
      </c>
      <c r="C66" s="5" t="inlineStr">
        <is>
          <t>SSD NVMe 2TB</t>
        </is>
      </c>
      <c r="D66" s="5" t="inlineStr">
        <is>
          <t>nuevo</t>
        </is>
      </c>
      <c r="E66" s="11" t="n">
        <v>209.99</v>
      </c>
      <c r="F66" s="5" t="inlineStr">
        <is>
          <t>USD</t>
        </is>
      </c>
      <c r="G66" s="5" t="inlineStr">
        <is>
          <t>eBay API; vendedor ram_technologies 100.0%; RAM Tech 2TB NVMe SSD Gen4 M.2 2280 | 5000MB/s Read 4500MB/s</t>
        </is>
      </c>
      <c r="H66" s="6" t="inlineStr">
        <is>
          <t>ver</t>
        </is>
      </c>
    </row>
    <row r="67">
      <c r="A67" s="15" t="n">
        <v>46308</v>
      </c>
      <c r="B67" s="5" t="inlineStr">
        <is>
          <t>eBay</t>
        </is>
      </c>
      <c r="C67" s="5" t="inlineStr">
        <is>
          <t>Ryzen 5 5600</t>
        </is>
      </c>
      <c r="D67" s="5" t="inlineStr">
        <is>
          <t>usado</t>
        </is>
      </c>
      <c r="E67" s="11" t="n">
        <v>135</v>
      </c>
      <c r="F67" s="5" t="inlineStr">
        <is>
          <t>USD</t>
        </is>
      </c>
      <c r="G67" s="5" t="inlineStr">
        <is>
          <t>eBay API; vendedor btlsln 100.0%; AMD Ryzen 5 5600 Desktop Processor (6 Cores, Socket AM4); envío no indicado</t>
        </is>
      </c>
      <c r="H67" s="6" t="inlineStr">
        <is>
          <t>ver</t>
        </is>
      </c>
    </row>
    <row r="68">
      <c r="A68" s="15" t="n">
        <v>46308</v>
      </c>
      <c r="B68" s="5" t="inlineStr">
        <is>
          <t>eBay</t>
        </is>
      </c>
      <c r="C68" s="5" t="inlineStr">
        <is>
          <t>Ryzen 7 5700X3D</t>
        </is>
      </c>
      <c r="D68" s="5" t="inlineStr">
        <is>
          <t>usado</t>
        </is>
      </c>
      <c r="E68" s="11" t="n">
        <v>299.99</v>
      </c>
      <c r="F68" s="5" t="inlineStr">
        <is>
          <t>USD</t>
        </is>
      </c>
      <c r="G68" s="5" t="inlineStr">
        <is>
          <t>eBay API; vendedor paymore_fontana 99.3%; AMD Ryzen 7 5700X3D 3.00GHz 8 Core 100-000001503 16 Thread A</t>
        </is>
      </c>
      <c r="H68" s="6" t="inlineStr">
        <is>
          <t>ver</t>
        </is>
      </c>
    </row>
    <row r="69">
      <c r="A69" s="15" t="n">
        <v>46308</v>
      </c>
      <c r="B69" s="5" t="inlineStr">
        <is>
          <t>eBay</t>
        </is>
      </c>
      <c r="C69" s="5" t="inlineStr">
        <is>
          <t>Ryzen 5 7600</t>
        </is>
      </c>
      <c r="D69" s="5" t="inlineStr">
        <is>
          <t>usado</t>
        </is>
      </c>
      <c r="E69" s="11" t="n">
        <v>122.99</v>
      </c>
      <c r="F69" s="5" t="inlineStr">
        <is>
          <t>USD</t>
        </is>
      </c>
      <c r="G69" s="5" t="inlineStr">
        <is>
          <t>eBay API; vendedor paymore_cumberland 98.6%; AMD Ryzen 5 7600 3.80GHz 6 Core 100-000001015 12 Thread AM5</t>
        </is>
      </c>
      <c r="H69" s="6" t="inlineStr">
        <is>
          <t>ver</t>
        </is>
      </c>
    </row>
    <row r="70">
      <c r="A70" s="15" t="n">
        <v>46308</v>
      </c>
      <c r="B70" s="5" t="inlineStr">
        <is>
          <t>eBay</t>
        </is>
      </c>
      <c r="C70" s="5" t="inlineStr">
        <is>
          <t>Ryzen 7 7800X3D</t>
        </is>
      </c>
      <c r="D70" s="5" t="inlineStr">
        <is>
          <t>usado</t>
        </is>
      </c>
      <c r="E70" s="11" t="n">
        <v>283.99</v>
      </c>
      <c r="F70" s="5" t="inlineStr">
        <is>
          <t>USD</t>
        </is>
      </c>
      <c r="G70" s="5" t="inlineStr">
        <is>
          <t>eBay API; vendedor paymore_pooler 99.7%; AMD Ryzen 7 7800X3D 4.20GHz 8 Core 100-000000910 16 Thread A</t>
        </is>
      </c>
      <c r="H70" s="6" t="inlineStr">
        <is>
          <t>ver</t>
        </is>
      </c>
    </row>
    <row r="71">
      <c r="A71" s="15" t="n">
        <v>46308</v>
      </c>
      <c r="B71" s="5" t="inlineStr">
        <is>
          <t>eBay</t>
        </is>
      </c>
      <c r="C71" s="5" t="inlineStr">
        <is>
          <t>Ryzen 9 9950X</t>
        </is>
      </c>
      <c r="D71" s="5" t="inlineStr">
        <is>
          <t>usado</t>
        </is>
      </c>
      <c r="E71" s="11" t="n">
        <v>454.99</v>
      </c>
      <c r="F71" s="5" t="inlineStr">
        <is>
          <t>USD</t>
        </is>
      </c>
      <c r="G71" s="5" t="inlineStr">
        <is>
          <t>eBay API; vendedor goodios_direct 99.6%; **  AMD Ryzen 9 9950X Processor - USED  **</t>
        </is>
      </c>
      <c r="H71" s="6" t="inlineStr">
        <is>
          <t>ver</t>
        </is>
      </c>
    </row>
    <row r="72">
      <c r="A72" s="15" t="n">
        <v>46308</v>
      </c>
      <c r="B72" s="5" t="inlineStr">
        <is>
          <t>eBay</t>
        </is>
      </c>
      <c r="C72" s="5" t="inlineStr">
        <is>
          <t>Intel Core i5-12400F</t>
        </is>
      </c>
      <c r="D72" s="5" t="inlineStr">
        <is>
          <t>usado</t>
        </is>
      </c>
      <c r="E72" s="11" t="n">
        <v>99</v>
      </c>
      <c r="F72" s="5" t="inlineStr">
        <is>
          <t>USD</t>
        </is>
      </c>
      <c r="G72" s="5" t="inlineStr">
        <is>
          <t>eBay API; vendedor sale_of_the_day 100.0%; Intel Core i5-12400F; envío no indicado</t>
        </is>
      </c>
      <c r="H72" s="6" t="inlineStr">
        <is>
          <t>ver</t>
        </is>
      </c>
    </row>
    <row r="73">
      <c r="A73" s="15" t="n">
        <v>46308</v>
      </c>
      <c r="B73" s="5" t="inlineStr">
        <is>
          <t>eBay</t>
        </is>
      </c>
      <c r="C73" s="5" t="inlineStr">
        <is>
          <t>Intel Core i5-13400</t>
        </is>
      </c>
      <c r="D73" s="5" t="inlineStr">
        <is>
          <t>usado</t>
        </is>
      </c>
      <c r="E73" s="11" t="n">
        <v>149.99</v>
      </c>
      <c r="F73" s="5" t="inlineStr">
        <is>
          <t>USD</t>
        </is>
      </c>
      <c r="G73" s="5" t="inlineStr">
        <is>
          <t>eBay API; vendedor techrec-recycling 99.6%; Intel Core i5-13400 2.50GHz 10-Core LGA1700 20MB Desktop Pro</t>
        </is>
      </c>
      <c r="H73" s="6" t="inlineStr">
        <is>
          <t>ver</t>
        </is>
      </c>
    </row>
    <row r="74">
      <c r="A74" s="15" t="n">
        <v>46308</v>
      </c>
      <c r="B74" s="5" t="inlineStr">
        <is>
          <t>eBay</t>
        </is>
      </c>
      <c r="C74" s="5" t="inlineStr">
        <is>
          <t>Intel Core i5-14400F</t>
        </is>
      </c>
      <c r="D74" s="5" t="inlineStr">
        <is>
          <t>usado</t>
        </is>
      </c>
      <c r="E74" s="11" t="n">
        <v>134</v>
      </c>
      <c r="F74" s="5" t="inlineStr">
        <is>
          <t>USD</t>
        </is>
      </c>
      <c r="G74" s="5" t="inlineStr">
        <is>
          <t>eBay API; vendedor htam86 99.7%; Intel Core i5-14400F 10-Core 16-Thread 4.7GHz LGA 1700 CPU S</t>
        </is>
      </c>
      <c r="H74" s="6" t="inlineStr">
        <is>
          <t>ver</t>
        </is>
      </c>
    </row>
    <row r="75">
      <c r="A75" s="15" t="n">
        <v>46308</v>
      </c>
      <c r="B75" s="5" t="inlineStr">
        <is>
          <t>eBay</t>
        </is>
      </c>
      <c r="C75" s="5" t="inlineStr">
        <is>
          <t>Intel Core Ultra 7 265K</t>
        </is>
      </c>
      <c r="D75" s="5" t="inlineStr">
        <is>
          <t>usado</t>
        </is>
      </c>
      <c r="E75" s="11" t="n">
        <v>209.99</v>
      </c>
      <c r="F75" s="5" t="inlineStr">
        <is>
          <t>USD</t>
        </is>
      </c>
      <c r="G75" s="5" t="inlineStr">
        <is>
          <t xml:space="preserve">eBay API; vendedor paymore_bustleton 99.4%; Intel Core Ultra 7 265K 3.90GHz 20 Core SRQCW 20 Thread LGA </t>
        </is>
      </c>
      <c r="H75" s="6" t="inlineStr">
        <is>
          <t>ver</t>
        </is>
      </c>
    </row>
    <row r="76">
      <c r="A76" s="15" t="n">
        <v>46308</v>
      </c>
      <c r="B76" s="5" t="inlineStr">
        <is>
          <t>eBay</t>
        </is>
      </c>
      <c r="C76" s="5" t="inlineStr">
        <is>
          <t>Corsair Vengeance RGB DDR5 32GB (2x16) 5600</t>
        </is>
      </c>
      <c r="D76" s="5" t="inlineStr">
        <is>
          <t>usado</t>
        </is>
      </c>
      <c r="E76" s="11" t="n">
        <v>383.99</v>
      </c>
      <c r="F76" s="5" t="inlineStr">
        <is>
          <t>USD</t>
        </is>
      </c>
      <c r="G76" s="5" t="inlineStr">
        <is>
          <t>eBay API; vendedor sly-systems 99.7%; Corsair Vengeance RGB Pro 32GB (2x16GB) RAM DDR5 5600MHz</t>
        </is>
      </c>
      <c r="H76" s="6" t="inlineStr">
        <is>
          <t>ver</t>
        </is>
      </c>
    </row>
    <row r="77">
      <c r="A77" s="15" t="n">
        <v>46308</v>
      </c>
      <c r="B77" s="5" t="inlineStr">
        <is>
          <t>eBay</t>
        </is>
      </c>
      <c r="C77" s="5" t="inlineStr">
        <is>
          <t>Corsair Vengeance RGB DDR5 32GB (2x16) 6000</t>
        </is>
      </c>
      <c r="D77" s="5" t="inlineStr">
        <is>
          <t>usado</t>
        </is>
      </c>
      <c r="E77" s="11" t="n">
        <v>399.9</v>
      </c>
      <c r="F77" s="5" t="inlineStr">
        <is>
          <t>USD</t>
        </is>
      </c>
      <c r="G77" s="5" t="inlineStr">
        <is>
          <t>eBay API; vendedor thaigamer 100.0%; Corsair Vengeance RGB DDR5 32GB (2x16GB) 6000MHz DIMM RGB CM; envío no indicado</t>
        </is>
      </c>
      <c r="H77" s="6" t="inlineStr">
        <is>
          <t>ver</t>
        </is>
      </c>
    </row>
    <row r="78">
      <c r="A78" s="15" t="n">
        <v>46308</v>
      </c>
      <c r="B78" s="5" t="inlineStr">
        <is>
          <t>eBay</t>
        </is>
      </c>
      <c r="C78" s="5" t="inlineStr">
        <is>
          <t>RAM DDR4 16GB (2x8) 3200</t>
        </is>
      </c>
      <c r="D78" s="5" t="inlineStr">
        <is>
          <t>usado</t>
        </is>
      </c>
      <c r="E78" s="11" t="n">
        <v>64.98999999999999</v>
      </c>
      <c r="F78" s="5" t="inlineStr">
        <is>
          <t>USD</t>
        </is>
      </c>
      <c r="G78" s="5" t="inlineStr">
        <is>
          <t>eBay API; vendedor corefoundry 100.0%; ADATA XPG Spectrix D41 16GB (2x8GB) DDR4 3200MHz CL16 Deskto; envío no indicado</t>
        </is>
      </c>
      <c r="H78" s="6" t="inlineStr">
        <is>
          <t>ver</t>
        </is>
      </c>
    </row>
    <row r="79">
      <c r="A79" s="15" t="n">
        <v>46308</v>
      </c>
      <c r="B79" s="5" t="inlineStr">
        <is>
          <t>eBay</t>
        </is>
      </c>
      <c r="C79" s="5" t="inlineStr">
        <is>
          <t>SSD NVMe 1TB</t>
        </is>
      </c>
      <c r="D79" s="5" t="inlineStr">
        <is>
          <t>usado</t>
        </is>
      </c>
      <c r="E79" s="11" t="n">
        <v>99.98999999999999</v>
      </c>
      <c r="F79" s="5" t="inlineStr">
        <is>
          <t>USD</t>
        </is>
      </c>
      <c r="G79" s="5" t="inlineStr">
        <is>
          <t>eBay API; vendedor anotherdudestreasures 98.9%; SK hynix PC611 1TB NVMe PCIe Gen3 x4 M.2 2280 Internal SSD H</t>
        </is>
      </c>
      <c r="H79" s="6" t="inlineStr">
        <is>
          <t>ver</t>
        </is>
      </c>
    </row>
    <row r="80">
      <c r="A80" s="15" t="n">
        <v>46308</v>
      </c>
      <c r="B80" s="5" t="inlineStr">
        <is>
          <t>eBay</t>
        </is>
      </c>
      <c r="C80" s="5" t="inlineStr">
        <is>
          <t>SSD NVMe 2TB</t>
        </is>
      </c>
      <c r="D80" s="5" t="inlineStr">
        <is>
          <t>usado</t>
        </is>
      </c>
      <c r="E80" s="11" t="n">
        <v>170</v>
      </c>
      <c r="F80" s="5" t="inlineStr">
        <is>
          <t>USD</t>
        </is>
      </c>
      <c r="G80" s="5" t="inlineStr">
        <is>
          <t>eBay API; vendedor bunyip1992 100.0%; Inland 2TB Gen 3 NVME SSD Used Good</t>
        </is>
      </c>
      <c r="H80" s="6" t="inlineStr">
        <is>
          <t>ver</t>
        </is>
      </c>
    </row>
    <row r="81">
      <c r="A81" s="15" t="n">
        <v>46309</v>
      </c>
      <c r="B81" s="5" t="inlineStr">
        <is>
          <t>eBay</t>
        </is>
      </c>
      <c r="C81" s="5" t="inlineStr">
        <is>
          <t>Ryzen 5 5600</t>
        </is>
      </c>
      <c r="D81" s="5" t="inlineStr">
        <is>
          <t>nuevo</t>
        </is>
      </c>
      <c r="E81" s="11" t="n">
        <v>138.9</v>
      </c>
      <c r="F81" s="5" t="inlineStr">
        <is>
          <t>USD</t>
        </is>
      </c>
      <c r="G81" s="5" t="inlineStr">
        <is>
          <t>eBay API; vendedor 3c_wholesaler 99.1%; (New) AMD Ryzen 5 5600 Vermeer Zen3 6-Core 12-Thread AM4 CPU</t>
        </is>
      </c>
      <c r="H81" s="6" t="inlineStr">
        <is>
          <t>ver</t>
        </is>
      </c>
    </row>
    <row r="82">
      <c r="A82" s="15" t="n">
        <v>46309</v>
      </c>
      <c r="B82" s="5" t="inlineStr">
        <is>
          <t>eBay</t>
        </is>
      </c>
      <c r="C82" s="5" t="inlineStr">
        <is>
          <t>Ryzen 5 7600</t>
        </is>
      </c>
      <c r="D82" s="5" t="inlineStr">
        <is>
          <t>nuevo</t>
        </is>
      </c>
      <c r="E82" s="11" t="n">
        <v>142.24</v>
      </c>
      <c r="F82" s="5" t="inlineStr">
        <is>
          <t>USD</t>
        </is>
      </c>
      <c r="G82" s="5" t="inlineStr">
        <is>
          <t>eBay API; vendedor silaxon 99.6%; AMD Ryzen 5 7600 3.80GHz 6 Core 12 Thread AM5 100-000001015</t>
        </is>
      </c>
      <c r="H82" s="6" t="inlineStr">
        <is>
          <t>ver</t>
        </is>
      </c>
    </row>
    <row r="83">
      <c r="A83" s="15" t="n">
        <v>46309</v>
      </c>
      <c r="B83" s="5" t="inlineStr">
        <is>
          <t>eBay</t>
        </is>
      </c>
      <c r="C83" s="5" t="inlineStr">
        <is>
          <t>Ryzen 7 7800X3D</t>
        </is>
      </c>
      <c r="D83" s="5" t="inlineStr">
        <is>
          <t>nuevo</t>
        </is>
      </c>
      <c r="E83" s="11" t="n">
        <v>329</v>
      </c>
      <c r="F83" s="5" t="inlineStr">
        <is>
          <t>USD</t>
        </is>
      </c>
      <c r="G83" s="5" t="inlineStr">
        <is>
          <t>eBay API; vendedor 3c_wholesaler 99.1%; AMD Ryzen 7 7800X3D 100-00000910 - Ryzen 7 7000 Series Proce</t>
        </is>
      </c>
      <c r="H83" s="6" t="inlineStr">
        <is>
          <t>ver</t>
        </is>
      </c>
    </row>
    <row r="84">
      <c r="A84" s="15" t="n">
        <v>46309</v>
      </c>
      <c r="B84" s="5" t="inlineStr">
        <is>
          <t>eBay</t>
        </is>
      </c>
      <c r="C84" s="5" t="inlineStr">
        <is>
          <t>Ryzen 9 9950X</t>
        </is>
      </c>
      <c r="D84" s="5" t="inlineStr">
        <is>
          <t>nuevo</t>
        </is>
      </c>
      <c r="E84" s="11" t="n">
        <v>499.99</v>
      </c>
      <c r="F84" s="5" t="inlineStr">
        <is>
          <t>USD</t>
        </is>
      </c>
      <c r="G84" s="5" t="inlineStr">
        <is>
          <t>eBay API; vendedor saguarowholesalesupply 100.0%; AMD Ryzen 9 9950X Desktop Processor AM5 New Sealed; envío no indicado</t>
        </is>
      </c>
      <c r="H84" s="6" t="inlineStr">
        <is>
          <t>ver</t>
        </is>
      </c>
    </row>
    <row r="85">
      <c r="A85" s="15" t="n">
        <v>46309</v>
      </c>
      <c r="B85" s="5" t="inlineStr">
        <is>
          <t>eBay</t>
        </is>
      </c>
      <c r="C85" s="5" t="inlineStr">
        <is>
          <t>Intel Core i5-12400F</t>
        </is>
      </c>
      <c r="D85" s="5" t="inlineStr">
        <is>
          <t>nuevo</t>
        </is>
      </c>
      <c r="E85" s="11" t="n">
        <v>150</v>
      </c>
      <c r="F85" s="5" t="inlineStr">
        <is>
          <t>USD</t>
        </is>
      </c>
      <c r="G85" s="5" t="inlineStr">
        <is>
          <t>eBay API; vendedor algonz1137 100.0%; INTEL CPU Core i5-12400F / 6/12 / 2.5GHz / 6xxChipset / BX80; envío no indicado</t>
        </is>
      </c>
      <c r="H85" s="6" t="inlineStr">
        <is>
          <t>ver</t>
        </is>
      </c>
    </row>
    <row r="86">
      <c r="A86" s="15" t="n">
        <v>46309</v>
      </c>
      <c r="B86" s="5" t="inlineStr">
        <is>
          <t>eBay</t>
        </is>
      </c>
      <c r="C86" s="5" t="inlineStr">
        <is>
          <t>Intel Core i5-14400F</t>
        </is>
      </c>
      <c r="D86" s="5" t="inlineStr">
        <is>
          <t>nuevo</t>
        </is>
      </c>
      <c r="E86" s="11" t="n">
        <v>164.49</v>
      </c>
      <c r="F86" s="5" t="inlineStr">
        <is>
          <t>USD</t>
        </is>
      </c>
      <c r="G86" s="5" t="inlineStr">
        <is>
          <t xml:space="preserve">eBay API; vendedor newegg 99.6%; Intel Core i5-14400F - Core i5 14th Gen Raptor Lake 10-Core </t>
        </is>
      </c>
      <c r="H86" s="6" t="inlineStr">
        <is>
          <t>ver</t>
        </is>
      </c>
    </row>
    <row r="87">
      <c r="A87" s="15" t="n">
        <v>46309</v>
      </c>
      <c r="B87" s="5" t="inlineStr">
        <is>
          <t>eBay</t>
        </is>
      </c>
      <c r="C87" s="5" t="inlineStr">
        <is>
          <t>Intel Core Ultra 7 265K</t>
        </is>
      </c>
      <c r="D87" s="5" t="inlineStr">
        <is>
          <t>nuevo</t>
        </is>
      </c>
      <c r="E87" s="11" t="n">
        <v>234.99</v>
      </c>
      <c r="F87" s="5" t="inlineStr">
        <is>
          <t>USD</t>
        </is>
      </c>
      <c r="G87" s="5" t="inlineStr">
        <is>
          <t>eBay API; vendedor good_neighbor_mercantile 99.4%; Intel Core Ultra 7 265K CPU Desktop Processor LGA 1851 20-Co</t>
        </is>
      </c>
      <c r="H87" s="6" t="inlineStr">
        <is>
          <t>ver</t>
        </is>
      </c>
    </row>
    <row r="88">
      <c r="A88" s="15" t="n">
        <v>46309</v>
      </c>
      <c r="B88" s="5" t="inlineStr">
        <is>
          <t>eBay</t>
        </is>
      </c>
      <c r="C88" s="5" t="inlineStr">
        <is>
          <t>Corsair Vengeance RGB DDR5 32GB (2x16) 5600</t>
        </is>
      </c>
      <c r="D88" s="5" t="inlineStr">
        <is>
          <t>nuevo</t>
        </is>
      </c>
      <c r="E88" s="11" t="n">
        <v>429.97</v>
      </c>
      <c r="F88" s="5" t="inlineStr">
        <is>
          <t>USD</t>
        </is>
      </c>
      <c r="G88" s="5" t="inlineStr">
        <is>
          <t>eBay API; vendedor uventure 99.7%; NEW 32GB (2x16GB) Corsair Vengeance DDR5 PC5-5600 Desktop RA</t>
        </is>
      </c>
      <c r="H88" s="6" t="inlineStr">
        <is>
          <t>ver</t>
        </is>
      </c>
    </row>
    <row r="89">
      <c r="A89" s="15" t="n">
        <v>46309</v>
      </c>
      <c r="B89" s="5" t="inlineStr">
        <is>
          <t>eBay</t>
        </is>
      </c>
      <c r="C89" s="5" t="inlineStr">
        <is>
          <t>Corsair Vengeance RGB DDR5 32GB (2x16) 6000</t>
        </is>
      </c>
      <c r="D89" s="5" t="inlineStr">
        <is>
          <t>nuevo</t>
        </is>
      </c>
      <c r="E89" s="11" t="n">
        <v>435.99</v>
      </c>
      <c r="F89" s="5" t="inlineStr">
        <is>
          <t>USD</t>
        </is>
      </c>
      <c r="G89" s="5" t="inlineStr">
        <is>
          <t>eBay API; vendedor wojiapanpan_4 100.0%; Corsair Vengeance RGB RS 32GB 2x16GB DDR5 6000 CL38 AMD EXPO</t>
        </is>
      </c>
      <c r="H89" s="6" t="inlineStr">
        <is>
          <t>ver</t>
        </is>
      </c>
    </row>
    <row r="90">
      <c r="A90" s="15" t="n">
        <v>46309</v>
      </c>
      <c r="B90" s="5" t="inlineStr">
        <is>
          <t>eBay</t>
        </is>
      </c>
      <c r="C90" s="5" t="inlineStr">
        <is>
          <t>RAM DDR4 16GB (2x8) 3200</t>
        </is>
      </c>
      <c r="D90" s="5" t="inlineStr">
        <is>
          <t>nuevo</t>
        </is>
      </c>
      <c r="E90" s="11" t="n">
        <v>72.98999999999999</v>
      </c>
      <c r="F90" s="5" t="inlineStr">
        <is>
          <t>USD</t>
        </is>
      </c>
      <c r="G90" s="5" t="inlineStr">
        <is>
          <t>eBay API; vendedor californiadrapes 99.9%; Timetec Pinnacle Konduit 16GB (2x8GB) DDR4 3200MHz CL16 Desk</t>
        </is>
      </c>
      <c r="H90" s="6" t="inlineStr">
        <is>
          <t>ver</t>
        </is>
      </c>
    </row>
    <row r="91">
      <c r="A91" s="15" t="n">
        <v>46309</v>
      </c>
      <c r="B91" s="5" t="inlineStr">
        <is>
          <t>eBay</t>
        </is>
      </c>
      <c r="C91" s="5" t="inlineStr">
        <is>
          <t>SSD NVMe 1TB</t>
        </is>
      </c>
      <c r="D91" s="5" t="inlineStr">
        <is>
          <t>nuevo</t>
        </is>
      </c>
      <c r="E91" s="11" t="n">
        <v>117.99</v>
      </c>
      <c r="F91" s="5" t="inlineStr">
        <is>
          <t>USD</t>
        </is>
      </c>
      <c r="G91" s="5" t="inlineStr">
        <is>
          <t>eBay API; vendedor netac-official-it 99.5%; Netac 1TB Internal SSD Solid State Drive M.2 2280 PCIe3.0 NV</t>
        </is>
      </c>
      <c r="H91" s="6" t="inlineStr">
        <is>
          <t>ver</t>
        </is>
      </c>
    </row>
    <row r="92">
      <c r="A92" s="15" t="n">
        <v>46309</v>
      </c>
      <c r="B92" s="5" t="inlineStr">
        <is>
          <t>eBay</t>
        </is>
      </c>
      <c r="C92" s="5" t="inlineStr">
        <is>
          <t>SSD NVMe 2TB</t>
        </is>
      </c>
      <c r="D92" s="5" t="inlineStr">
        <is>
          <t>nuevo</t>
        </is>
      </c>
      <c r="E92" s="11" t="n">
        <v>209.99</v>
      </c>
      <c r="F92" s="5" t="inlineStr">
        <is>
          <t>USD</t>
        </is>
      </c>
      <c r="G92" s="5" t="inlineStr">
        <is>
          <t>eBay API; vendedor ram_technologies 100.0%; RAM Tech 2TB NVMe SSD Gen4 M.2 2280 | 5000MB/s Read 4500MB/s</t>
        </is>
      </c>
      <c r="H92" s="6" t="inlineStr">
        <is>
          <t>ver</t>
        </is>
      </c>
    </row>
    <row r="93">
      <c r="A93" s="15" t="n">
        <v>46309</v>
      </c>
      <c r="B93" s="5" t="inlineStr">
        <is>
          <t>eBay</t>
        </is>
      </c>
      <c r="C93" s="5" t="inlineStr">
        <is>
          <t>Ryzen 5 5600</t>
        </is>
      </c>
      <c r="D93" s="5" t="inlineStr">
        <is>
          <t>usado</t>
        </is>
      </c>
      <c r="E93" s="11" t="n">
        <v>129.99</v>
      </c>
      <c r="F93" s="5" t="inlineStr">
        <is>
          <t>USD</t>
        </is>
      </c>
      <c r="G93" s="5" t="inlineStr">
        <is>
          <t>eBay API; vendedor paymore_castleton 99.7%; AMD Ryzen 5 5600 3.50GHz 6 Core 100-000000927 12 Thread AM4</t>
        </is>
      </c>
      <c r="H93" s="6" t="inlineStr">
        <is>
          <t>ver</t>
        </is>
      </c>
    </row>
    <row r="94">
      <c r="A94" s="15" t="n">
        <v>46309</v>
      </c>
      <c r="B94" s="5" t="inlineStr">
        <is>
          <t>eBay</t>
        </is>
      </c>
      <c r="C94" s="5" t="inlineStr">
        <is>
          <t>Ryzen 7 5700X3D</t>
        </is>
      </c>
      <c r="D94" s="5" t="inlineStr">
        <is>
          <t>usado</t>
        </is>
      </c>
      <c r="E94" s="11" t="n">
        <v>295</v>
      </c>
      <c r="F94" s="5" t="inlineStr">
        <is>
          <t>USD</t>
        </is>
      </c>
      <c r="G94" s="5" t="inlineStr">
        <is>
          <t>eBay API; vendedor antonidelacru-7 98.0%; AMD Ryzen 7 5700X3D 8-Core Socket AM4 3.0GHz CPU 96MB L3 Cac; envío no indicado</t>
        </is>
      </c>
      <c r="H94" s="6" t="inlineStr">
        <is>
          <t>ver</t>
        </is>
      </c>
    </row>
    <row r="95">
      <c r="A95" s="15" t="n">
        <v>46309</v>
      </c>
      <c r="B95" s="5" t="inlineStr">
        <is>
          <t>eBay</t>
        </is>
      </c>
      <c r="C95" s="5" t="inlineStr">
        <is>
          <t>Ryzen 5 7600</t>
        </is>
      </c>
      <c r="D95" s="5" t="inlineStr">
        <is>
          <t>usado</t>
        </is>
      </c>
      <c r="E95" s="11" t="n">
        <v>121.99</v>
      </c>
      <c r="F95" s="5" t="inlineStr">
        <is>
          <t>USD</t>
        </is>
      </c>
      <c r="G95" s="5" t="inlineStr">
        <is>
          <t>eBay API; vendedor paymore_university_square 98.6%; AMD Ryzen 5 7600 3.80GHz 6 Core 100-000001015 12 Thread AM5</t>
        </is>
      </c>
      <c r="H95" s="6" t="inlineStr">
        <is>
          <t>ver</t>
        </is>
      </c>
    </row>
    <row r="96">
      <c r="A96" s="15" t="n">
        <v>46309</v>
      </c>
      <c r="B96" s="5" t="inlineStr">
        <is>
          <t>eBay</t>
        </is>
      </c>
      <c r="C96" s="5" t="inlineStr">
        <is>
          <t>Ryzen 7 7800X3D</t>
        </is>
      </c>
      <c r="D96" s="5" t="inlineStr">
        <is>
          <t>usado</t>
        </is>
      </c>
      <c r="E96" s="11" t="n">
        <v>275.99</v>
      </c>
      <c r="F96" s="5" t="inlineStr">
        <is>
          <t>USD</t>
        </is>
      </c>
      <c r="G96" s="5" t="inlineStr">
        <is>
          <t>eBay API; vendedor paymore_university_square 98.6%; AMD Ryzen 7 7800X3D 4.20GHz 8 Core 100-000000910 16 Thread A</t>
        </is>
      </c>
      <c r="H96" s="6" t="inlineStr">
        <is>
          <t>ver</t>
        </is>
      </c>
    </row>
    <row r="97">
      <c r="A97" s="15" t="n">
        <v>46309</v>
      </c>
      <c r="B97" s="5" t="inlineStr">
        <is>
          <t>eBay</t>
        </is>
      </c>
      <c r="C97" s="5" t="inlineStr">
        <is>
          <t>Ryzen 9 9950X</t>
        </is>
      </c>
      <c r="D97" s="5" t="inlineStr">
        <is>
          <t>usado</t>
        </is>
      </c>
      <c r="E97" s="11" t="n">
        <v>454.99</v>
      </c>
      <c r="F97" s="5" t="inlineStr">
        <is>
          <t>USD</t>
        </is>
      </c>
      <c r="G97" s="5" t="inlineStr">
        <is>
          <t>eBay API; vendedor goodios_direct 99.6%; **  AMD Ryzen 9 9950X Processor - USED  **</t>
        </is>
      </c>
      <c r="H97" s="6" t="inlineStr">
        <is>
          <t>ver</t>
        </is>
      </c>
    </row>
    <row r="98">
      <c r="A98" s="15" t="n">
        <v>46309</v>
      </c>
      <c r="B98" s="5" t="inlineStr">
        <is>
          <t>eBay</t>
        </is>
      </c>
      <c r="C98" s="5" t="inlineStr">
        <is>
          <t>Intel Core i5-12400F</t>
        </is>
      </c>
      <c r="D98" s="5" t="inlineStr">
        <is>
          <t>usado</t>
        </is>
      </c>
      <c r="E98" s="11" t="n">
        <v>120.99</v>
      </c>
      <c r="F98" s="5" t="inlineStr">
        <is>
          <t>USD</t>
        </is>
      </c>
      <c r="G98" s="5" t="inlineStr">
        <is>
          <t>eBay API; vendedor vendingollc_1 100.0%; Intel Core i5-12400F 6-Core 2.5GHz SRL4W 65W LGA1700 Desktop</t>
        </is>
      </c>
      <c r="H98" s="6" t="inlineStr">
        <is>
          <t>ver</t>
        </is>
      </c>
    </row>
    <row r="99">
      <c r="A99" s="15" t="n">
        <v>46309</v>
      </c>
      <c r="B99" s="5" t="inlineStr">
        <is>
          <t>eBay</t>
        </is>
      </c>
      <c r="C99" s="5" t="inlineStr">
        <is>
          <t>Intel Core i5-13400</t>
        </is>
      </c>
      <c r="D99" s="5" t="inlineStr">
        <is>
          <t>usado</t>
        </is>
      </c>
      <c r="E99" s="11" t="n">
        <v>149.99</v>
      </c>
      <c r="F99" s="5" t="inlineStr">
        <is>
          <t>USD</t>
        </is>
      </c>
      <c r="G99" s="5" t="inlineStr">
        <is>
          <t>eBay API; vendedor techrec-recycling 99.6%; Intel Core i5-13400 2.50GHz 10-Core LGA1700 20MB Desktop Pro</t>
        </is>
      </c>
      <c r="H99" s="6" t="inlineStr">
        <is>
          <t>ver</t>
        </is>
      </c>
    </row>
    <row r="100">
      <c r="A100" s="15" t="n">
        <v>46309</v>
      </c>
      <c r="B100" s="5" t="inlineStr">
        <is>
          <t>eBay</t>
        </is>
      </c>
      <c r="C100" s="5" t="inlineStr">
        <is>
          <t>Intel Core i5-14400F</t>
        </is>
      </c>
      <c r="D100" s="5" t="inlineStr">
        <is>
          <t>usado</t>
        </is>
      </c>
      <c r="E100" s="11" t="n">
        <v>134</v>
      </c>
      <c r="F100" s="5" t="inlineStr">
        <is>
          <t>USD</t>
        </is>
      </c>
      <c r="G100" s="5" t="inlineStr">
        <is>
          <t>eBay API; vendedor htam86 99.7%; Intel Core i5-14400F 10-Core 16-Thread 4.7GHz LGA 1700 CPU S</t>
        </is>
      </c>
      <c r="H100" s="6" t="inlineStr">
        <is>
          <t>ver</t>
        </is>
      </c>
    </row>
    <row r="101">
      <c r="A101" s="15" t="n">
        <v>46309</v>
      </c>
      <c r="B101" s="5" t="inlineStr">
        <is>
          <t>eBay</t>
        </is>
      </c>
      <c r="C101" s="5" t="inlineStr">
        <is>
          <t>Intel Core Ultra 7 265K</t>
        </is>
      </c>
      <c r="D101" s="5" t="inlineStr">
        <is>
          <t>usado</t>
        </is>
      </c>
      <c r="E101" s="11" t="n">
        <v>229</v>
      </c>
      <c r="F101" s="5" t="inlineStr">
        <is>
          <t>USD</t>
        </is>
      </c>
      <c r="G101" s="5" t="inlineStr">
        <is>
          <t>eBay API; vendedor archyinva 99.7%; Intel Core Ultra 7 265K 3.90GHz 20 Core Processor LGA 1851 S</t>
        </is>
      </c>
      <c r="H101" s="6" t="inlineStr">
        <is>
          <t>ver</t>
        </is>
      </c>
    </row>
    <row r="102">
      <c r="A102" s="15" t="n">
        <v>46309</v>
      </c>
      <c r="B102" s="5" t="inlineStr">
        <is>
          <t>eBay</t>
        </is>
      </c>
      <c r="C102" s="5" t="inlineStr">
        <is>
          <t>Corsair Vengeance RGB DDR5 32GB (2x16) 5600</t>
        </is>
      </c>
      <c r="D102" s="5" t="inlineStr">
        <is>
          <t>usado</t>
        </is>
      </c>
      <c r="E102" s="11" t="n">
        <v>379.99</v>
      </c>
      <c r="F102" s="5" t="inlineStr">
        <is>
          <t>USD</t>
        </is>
      </c>
      <c r="G102" s="5" t="inlineStr">
        <is>
          <t>eBay API; vendedor nn-red 100.0%; Corsair Vengeance RGB Pro 32GB (2x16GB) RAM DDR5 5600MHz CMH; envío no indicado</t>
        </is>
      </c>
      <c r="H102" s="6" t="inlineStr">
        <is>
          <t>ver</t>
        </is>
      </c>
    </row>
    <row r="103">
      <c r="A103" s="15" t="n">
        <v>46309</v>
      </c>
      <c r="B103" s="5" t="inlineStr">
        <is>
          <t>eBay</t>
        </is>
      </c>
      <c r="C103" s="5" t="inlineStr">
        <is>
          <t>Corsair Vengeance RGB DDR5 32GB (2x16) 6000</t>
        </is>
      </c>
      <c r="D103" s="5" t="inlineStr">
        <is>
          <t>usado</t>
        </is>
      </c>
      <c r="E103" s="11" t="n">
        <v>399.9</v>
      </c>
      <c r="F103" s="5" t="inlineStr">
        <is>
          <t>USD</t>
        </is>
      </c>
      <c r="G103" s="5" t="inlineStr">
        <is>
          <t>eBay API; vendedor thaigamer 100.0%; Corsair Vengeance RGB DDR5 32GB (2x16GB) 6000MHz DIMM RGB CM; envío no indicado</t>
        </is>
      </c>
      <c r="H103" s="6" t="inlineStr">
        <is>
          <t>ver</t>
        </is>
      </c>
    </row>
    <row r="104">
      <c r="A104" s="15" t="n">
        <v>46309</v>
      </c>
      <c r="B104" s="5" t="inlineStr">
        <is>
          <t>eBay</t>
        </is>
      </c>
      <c r="C104" s="5" t="inlineStr">
        <is>
          <t>RAM DDR4 16GB (2x8) 3200</t>
        </is>
      </c>
      <c r="D104" s="5" t="inlineStr">
        <is>
          <t>usado</t>
        </is>
      </c>
      <c r="E104" s="11" t="n">
        <v>65</v>
      </c>
      <c r="F104" s="5" t="inlineStr">
        <is>
          <t>USD</t>
        </is>
      </c>
      <c r="G104" s="5" t="inlineStr">
        <is>
          <t>eBay API; vendedor wasatch_pilot 100.0%; Crucial Ballistix 16GB (2x8GB) DDR4-3200 CL16 Red Desktop RA; envío no indicado</t>
        </is>
      </c>
      <c r="H104" s="6" t="inlineStr">
        <is>
          <t>ver</t>
        </is>
      </c>
    </row>
    <row r="105">
      <c r="A105" s="15" t="n">
        <v>46309</v>
      </c>
      <c r="B105" s="5" t="inlineStr">
        <is>
          <t>eBay</t>
        </is>
      </c>
      <c r="C105" s="5" t="inlineStr">
        <is>
          <t>SSD NVMe 1TB</t>
        </is>
      </c>
      <c r="D105" s="5" t="inlineStr">
        <is>
          <t>usado</t>
        </is>
      </c>
      <c r="E105" s="11" t="n">
        <v>92.98999999999999</v>
      </c>
      <c r="F105" s="5" t="inlineStr">
        <is>
          <t>USD</t>
        </is>
      </c>
      <c r="G105" s="5" t="inlineStr">
        <is>
          <t>eBay API; vendedor mmm-electronics 100.0%; Solidigm P41 Plus 1TB NVMe M.2 2280 PCIe 4.0 SSD SSDPFKNU010; envío no indicado</t>
        </is>
      </c>
      <c r="H105" s="6" t="inlineStr">
        <is>
          <t>ver</t>
        </is>
      </c>
    </row>
    <row r="106">
      <c r="A106" s="15" t="n">
        <v>46309</v>
      </c>
      <c r="B106" s="5" t="inlineStr">
        <is>
          <t>eBay</t>
        </is>
      </c>
      <c r="C106" s="5" t="inlineStr">
        <is>
          <t>SSD NVMe 2TB</t>
        </is>
      </c>
      <c r="D106" s="5" t="inlineStr">
        <is>
          <t>usado</t>
        </is>
      </c>
      <c r="E106" s="11" t="n">
        <v>164.99</v>
      </c>
      <c r="F106" s="5" t="inlineStr">
        <is>
          <t>USD</t>
        </is>
      </c>
      <c r="G106" s="5" t="inlineStr">
        <is>
          <t>eBay API; vendedor nixs-surplus 100.0%; WD Black SN750 2TB NVMe PCIe3.0 M.2 2280 Internal SSD WDBRPG</t>
        </is>
      </c>
      <c r="H106" s="6" t="inlineStr">
        <is>
          <t>ver</t>
        </is>
      </c>
    </row>
    <row r="107">
      <c r="A107" s="15" t="n">
        <v>46310</v>
      </c>
      <c r="B107" s="5" t="inlineStr">
        <is>
          <t>eBay</t>
        </is>
      </c>
      <c r="C107" s="5" t="inlineStr">
        <is>
          <t>Ryzen 5 5600</t>
        </is>
      </c>
      <c r="D107" s="5" t="inlineStr">
        <is>
          <t>nuevo</t>
        </is>
      </c>
      <c r="E107" s="11" t="n">
        <v>138.9</v>
      </c>
      <c r="F107" s="5" t="inlineStr">
        <is>
          <t>USD</t>
        </is>
      </c>
      <c r="G107" s="5" t="inlineStr">
        <is>
          <t>eBay API; vendedor 3c_wholesaler 99.1%; (New) AMD Ryzen 5 5600 Vermeer Zen3 6-Core 12-Thread AM4 CPU</t>
        </is>
      </c>
      <c r="H107" s="6" t="inlineStr">
        <is>
          <t>ver</t>
        </is>
      </c>
    </row>
    <row r="108">
      <c r="A108" s="15" t="n">
        <v>46310</v>
      </c>
      <c r="B108" s="5" t="inlineStr">
        <is>
          <t>eBay</t>
        </is>
      </c>
      <c r="C108" s="5" t="inlineStr">
        <is>
          <t>Ryzen 5 7600</t>
        </is>
      </c>
      <c r="D108" s="5" t="inlineStr">
        <is>
          <t>nuevo</t>
        </is>
      </c>
      <c r="E108" s="11" t="n">
        <v>142.24</v>
      </c>
      <c r="F108" s="5" t="inlineStr">
        <is>
          <t>USD</t>
        </is>
      </c>
      <c r="G108" s="5" t="inlineStr">
        <is>
          <t>eBay API; vendedor silaxon 99.6%; AMD Ryzen 5 7600 3.80GHz 6 Core 12 Thread AM5 100-000001015</t>
        </is>
      </c>
      <c r="H108" s="6" t="inlineStr">
        <is>
          <t>ver</t>
        </is>
      </c>
    </row>
    <row r="109">
      <c r="A109" s="15" t="n">
        <v>46310</v>
      </c>
      <c r="B109" s="5" t="inlineStr">
        <is>
          <t>eBay</t>
        </is>
      </c>
      <c r="C109" s="5" t="inlineStr">
        <is>
          <t>Ryzen 7 7800X3D</t>
        </is>
      </c>
      <c r="D109" s="5" t="inlineStr">
        <is>
          <t>nuevo</t>
        </is>
      </c>
      <c r="E109" s="11" t="n">
        <v>320</v>
      </c>
      <c r="F109" s="5" t="inlineStr">
        <is>
          <t>USD</t>
        </is>
      </c>
      <c r="G109" s="5" t="inlineStr">
        <is>
          <t>eBay API; vendedor am-834577 100.0%; AMD Ryzen 7 7800X3D 8-Core, 16-Thread Desktop Processor, Bra</t>
        </is>
      </c>
      <c r="H109" s="6" t="inlineStr">
        <is>
          <t>ver</t>
        </is>
      </c>
    </row>
    <row r="110">
      <c r="A110" s="15" t="n">
        <v>46310</v>
      </c>
      <c r="B110" s="5" t="inlineStr">
        <is>
          <t>eBay</t>
        </is>
      </c>
      <c r="C110" s="5" t="inlineStr">
        <is>
          <t>Ryzen 9 9950X</t>
        </is>
      </c>
      <c r="D110" s="5" t="inlineStr">
        <is>
          <t>nuevo</t>
        </is>
      </c>
      <c r="E110" s="11" t="n">
        <v>689.34</v>
      </c>
      <c r="F110" s="5" t="inlineStr">
        <is>
          <t>USD</t>
        </is>
      </c>
      <c r="G110" s="5" t="inlineStr">
        <is>
          <t>eBay API; vendedor tech-r-us-store 99.9%; AMD 100-100001277WOF Ryzen 9 9950X CPU 16 Cores 32 Threads u; envío no indicado</t>
        </is>
      </c>
      <c r="H110" s="6" t="inlineStr">
        <is>
          <t>ver</t>
        </is>
      </c>
    </row>
    <row r="111">
      <c r="A111" s="15" t="n">
        <v>46310</v>
      </c>
      <c r="B111" s="5" t="inlineStr">
        <is>
          <t>eBay</t>
        </is>
      </c>
      <c r="C111" s="5" t="inlineStr">
        <is>
          <t>Intel Core i5-12400F</t>
        </is>
      </c>
      <c r="D111" s="5" t="inlineStr">
        <is>
          <t>nuevo</t>
        </is>
      </c>
      <c r="E111" s="11" t="n">
        <v>150</v>
      </c>
      <c r="F111" s="5" t="inlineStr">
        <is>
          <t>USD</t>
        </is>
      </c>
      <c r="G111" s="5" t="inlineStr">
        <is>
          <t>eBay API; vendedor algonz1137 100.0%; INTEL CPU Core i5-12400F / 6/12 / 2.5GHz / 6xxChipset / BX80; envío no indicado</t>
        </is>
      </c>
      <c r="H111" s="6" t="inlineStr">
        <is>
          <t>ver</t>
        </is>
      </c>
    </row>
    <row r="112">
      <c r="A112" s="15" t="n">
        <v>46310</v>
      </c>
      <c r="B112" s="5" t="inlineStr">
        <is>
          <t>eBay</t>
        </is>
      </c>
      <c r="C112" s="5" t="inlineStr">
        <is>
          <t>Intel Core i5-14400F</t>
        </is>
      </c>
      <c r="D112" s="5" t="inlineStr">
        <is>
          <t>nuevo</t>
        </is>
      </c>
      <c r="E112" s="11" t="n">
        <v>164.49</v>
      </c>
      <c r="F112" s="5" t="inlineStr">
        <is>
          <t>USD</t>
        </is>
      </c>
      <c r="G112" s="5" t="inlineStr">
        <is>
          <t xml:space="preserve">eBay API; vendedor newegg 99.6%; Intel Core i5-14400F - Core i5 14th Gen Raptor Lake 10-Core </t>
        </is>
      </c>
      <c r="H112" s="6" t="inlineStr">
        <is>
          <t>ver</t>
        </is>
      </c>
    </row>
    <row r="113">
      <c r="A113" s="15" t="n">
        <v>46310</v>
      </c>
      <c r="B113" s="5" t="inlineStr">
        <is>
          <t>eBay</t>
        </is>
      </c>
      <c r="C113" s="5" t="inlineStr">
        <is>
          <t>Intel Core Ultra 7 265K</t>
        </is>
      </c>
      <c r="D113" s="5" t="inlineStr">
        <is>
          <t>nuevo</t>
        </is>
      </c>
      <c r="E113" s="11" t="n">
        <v>234.99</v>
      </c>
      <c r="F113" s="5" t="inlineStr">
        <is>
          <t>USD</t>
        </is>
      </c>
      <c r="G113" s="5" t="inlineStr">
        <is>
          <t>eBay API; vendedor good_neighbor_mercantile 99.4%; Intel Core Ultra 7 265K CPU Desktop Processor LGA 1851 20-Co</t>
        </is>
      </c>
      <c r="H113" s="6" t="inlineStr">
        <is>
          <t>ver</t>
        </is>
      </c>
    </row>
    <row r="114">
      <c r="A114" s="15" t="n">
        <v>46310</v>
      </c>
      <c r="B114" s="5" t="inlineStr">
        <is>
          <t>eBay</t>
        </is>
      </c>
      <c r="C114" s="5" t="inlineStr">
        <is>
          <t>Corsair Vengeance RGB DDR5 32GB (2x16) 5600</t>
        </is>
      </c>
      <c r="D114" s="5" t="inlineStr">
        <is>
          <t>nuevo</t>
        </is>
      </c>
      <c r="E114" s="11" t="n">
        <v>429.97</v>
      </c>
      <c r="F114" s="5" t="inlineStr">
        <is>
          <t>USD</t>
        </is>
      </c>
      <c r="G114" s="5" t="inlineStr">
        <is>
          <t>eBay API; vendedor uventure 99.7%; NEW 32GB (2x16GB) Corsair Vengeance DDR5 PC5-5600 Desktop RA</t>
        </is>
      </c>
      <c r="H114" s="6" t="inlineStr">
        <is>
          <t>ver</t>
        </is>
      </c>
    </row>
    <row r="115">
      <c r="A115" s="15" t="n">
        <v>46310</v>
      </c>
      <c r="B115" s="5" t="inlineStr">
        <is>
          <t>eBay</t>
        </is>
      </c>
      <c r="C115" s="5" t="inlineStr">
        <is>
          <t>Corsair Vengeance RGB DDR5 32GB (2x16) 6000</t>
        </is>
      </c>
      <c r="D115" s="5" t="inlineStr">
        <is>
          <t>nuevo</t>
        </is>
      </c>
      <c r="E115" s="11" t="n">
        <v>435.99</v>
      </c>
      <c r="F115" s="5" t="inlineStr">
        <is>
          <t>USD</t>
        </is>
      </c>
      <c r="G115" s="5" t="inlineStr">
        <is>
          <t>eBay API; vendedor wojiapanpan_4 100.0%; Corsair Vengeance RGB RS 32GB 2x16GB DDR5 6000 CL38 AMD EXPO</t>
        </is>
      </c>
      <c r="H115" s="6" t="inlineStr">
        <is>
          <t>ver</t>
        </is>
      </c>
    </row>
    <row r="116">
      <c r="A116" s="15" t="n">
        <v>46310</v>
      </c>
      <c r="B116" s="5" t="inlineStr">
        <is>
          <t>eBay</t>
        </is>
      </c>
      <c r="C116" s="5" t="inlineStr">
        <is>
          <t>RAM DDR4 16GB (2x8) 3200</t>
        </is>
      </c>
      <c r="D116" s="5" t="inlineStr">
        <is>
          <t>nuevo</t>
        </is>
      </c>
      <c r="E116" s="11" t="n">
        <v>75</v>
      </c>
      <c r="F116" s="5" t="inlineStr">
        <is>
          <t>USD</t>
        </is>
      </c>
      <c r="G116" s="5" t="inlineStr">
        <is>
          <t>eBay API; vendedor juniorarredondo 100.0%; Silicon Power Gaming Turbine 16GB (2x8GB) DDR4-3200 PC4-2560</t>
        </is>
      </c>
      <c r="H116" s="6" t="inlineStr">
        <is>
          <t>ver</t>
        </is>
      </c>
    </row>
    <row r="117">
      <c r="A117" s="15" t="n">
        <v>46310</v>
      </c>
      <c r="B117" s="5" t="inlineStr">
        <is>
          <t>eBay</t>
        </is>
      </c>
      <c r="C117" s="5" t="inlineStr">
        <is>
          <t>SSD NVMe 1TB</t>
        </is>
      </c>
      <c r="D117" s="5" t="inlineStr">
        <is>
          <t>nuevo</t>
        </is>
      </c>
      <c r="E117" s="11" t="n">
        <v>128.99</v>
      </c>
      <c r="F117" s="5" t="inlineStr">
        <is>
          <t>USD</t>
        </is>
      </c>
      <c r="G117" s="5" t="inlineStr">
        <is>
          <t>eBay API; vendedor netac-official-store 99.9%; Netac M.2 2280 1TB PCIe3.0 NVMe 1.4 3D NAND Internal Solid S</t>
        </is>
      </c>
      <c r="H117" s="6" t="inlineStr">
        <is>
          <t>ver</t>
        </is>
      </c>
    </row>
    <row r="118">
      <c r="A118" s="15" t="n">
        <v>46310</v>
      </c>
      <c r="B118" s="5" t="inlineStr">
        <is>
          <t>eBay</t>
        </is>
      </c>
      <c r="C118" s="5" t="inlineStr">
        <is>
          <t>SSD NVMe 2TB</t>
        </is>
      </c>
      <c r="D118" s="5" t="inlineStr">
        <is>
          <t>nuevo</t>
        </is>
      </c>
      <c r="E118" s="11" t="n">
        <v>209.99</v>
      </c>
      <c r="F118" s="5" t="inlineStr">
        <is>
          <t>USD</t>
        </is>
      </c>
      <c r="G118" s="5" t="inlineStr">
        <is>
          <t>eBay API; vendedor ram_technologies 100.0%; RAM Tech 2TB NVMe SSD Gen4 M.2 2280 | 5000MB/s Read 4500MB/s</t>
        </is>
      </c>
      <c r="H118" s="6" t="inlineStr">
        <is>
          <t>ver</t>
        </is>
      </c>
    </row>
    <row r="119">
      <c r="A119" s="15" t="n">
        <v>46310</v>
      </c>
      <c r="B119" s="5" t="inlineStr">
        <is>
          <t>eBay</t>
        </is>
      </c>
      <c r="C119" s="5" t="inlineStr">
        <is>
          <t>Ryzen 5 5600</t>
        </is>
      </c>
      <c r="D119" s="5" t="inlineStr">
        <is>
          <t>usado</t>
        </is>
      </c>
      <c r="E119" s="11" t="n">
        <v>135</v>
      </c>
      <c r="F119" s="5" t="inlineStr">
        <is>
          <t>USD</t>
        </is>
      </c>
      <c r="G119" s="5" t="inlineStr">
        <is>
          <t>eBay API; vendedor btlsln 100.0%; AMD Ryzen 5 5600 Desktop Processor (6 Cores, Socket AM4); envío no indicado</t>
        </is>
      </c>
      <c r="H119" s="6" t="inlineStr">
        <is>
          <t>ver</t>
        </is>
      </c>
    </row>
    <row r="120">
      <c r="A120" s="15" t="n">
        <v>46310</v>
      </c>
      <c r="B120" s="5" t="inlineStr">
        <is>
          <t>eBay</t>
        </is>
      </c>
      <c r="C120" s="5" t="inlineStr">
        <is>
          <t>Ryzen 7 5700X3D</t>
        </is>
      </c>
      <c r="D120" s="5" t="inlineStr">
        <is>
          <t>usado</t>
        </is>
      </c>
      <c r="E120" s="11" t="n">
        <v>295</v>
      </c>
      <c r="F120" s="5" t="inlineStr">
        <is>
          <t>USD</t>
        </is>
      </c>
      <c r="G120" s="5" t="inlineStr">
        <is>
          <t>eBay API; vendedor antonidelacru-7 98.0%; AMD Ryzen 7 5700X3D 8-Core Socket AM4 3.0GHz CPU 96MB L3 Cac; envío no indicado</t>
        </is>
      </c>
      <c r="H120" s="6" t="inlineStr">
        <is>
          <t>ver</t>
        </is>
      </c>
    </row>
    <row r="121">
      <c r="A121" s="15" t="n">
        <v>46310</v>
      </c>
      <c r="B121" s="5" t="inlineStr">
        <is>
          <t>eBay</t>
        </is>
      </c>
      <c r="C121" s="5" t="inlineStr">
        <is>
          <t>Ryzen 5 7600</t>
        </is>
      </c>
      <c r="D121" s="5" t="inlineStr">
        <is>
          <t>usado</t>
        </is>
      </c>
      <c r="E121" s="11" t="n">
        <v>120</v>
      </c>
      <c r="F121" s="5" t="inlineStr">
        <is>
          <t>USD</t>
        </is>
      </c>
      <c r="G121" s="5" t="inlineStr">
        <is>
          <t>eBay API; vendedor shenidss9ckq 99.0%; AMD Ryzen 5 7600 3.80GHz 6 Core 100-000001015 12 Thread AM5</t>
        </is>
      </c>
      <c r="H121" s="6" t="inlineStr">
        <is>
          <t>ver</t>
        </is>
      </c>
    </row>
    <row r="122">
      <c r="A122" s="15" t="n">
        <v>46310</v>
      </c>
      <c r="B122" s="5" t="inlineStr">
        <is>
          <t>eBay</t>
        </is>
      </c>
      <c r="C122" s="5" t="inlineStr">
        <is>
          <t>Ryzen 7 7800X3D</t>
        </is>
      </c>
      <c r="D122" s="5" t="inlineStr">
        <is>
          <t>usado</t>
        </is>
      </c>
      <c r="E122" s="11" t="n">
        <v>279.99</v>
      </c>
      <c r="F122" s="5" t="inlineStr">
        <is>
          <t>USD</t>
        </is>
      </c>
      <c r="G122" s="5" t="inlineStr">
        <is>
          <t>eBay API; vendedor paymore_summerlin 99.2%; AMD Ryzen 7 7800X3D 4.20GHz 8 Core 100-000000910 16 Thread A</t>
        </is>
      </c>
      <c r="H122" s="6" t="inlineStr">
        <is>
          <t>ver</t>
        </is>
      </c>
    </row>
    <row r="123">
      <c r="A123" s="15" t="n">
        <v>46310</v>
      </c>
      <c r="B123" s="5" t="inlineStr">
        <is>
          <t>eBay</t>
        </is>
      </c>
      <c r="C123" s="5" t="inlineStr">
        <is>
          <t>Ryzen 9 9950X</t>
        </is>
      </c>
      <c r="D123" s="5" t="inlineStr">
        <is>
          <t>usado</t>
        </is>
      </c>
      <c r="E123" s="11" t="n">
        <v>375</v>
      </c>
      <c r="F123" s="5" t="inlineStr">
        <is>
          <t>USD</t>
        </is>
      </c>
      <c r="G123" s="5" t="inlineStr">
        <is>
          <t>eBay API; vendedor jbfum_346 100.0%; AMD Ryzen 9 9950X - Granite Ridge (Zen 5) 16-Core 4.3 GHz AM; envío no indicado</t>
        </is>
      </c>
      <c r="H123" s="6" t="inlineStr">
        <is>
          <t>ver</t>
        </is>
      </c>
    </row>
    <row r="124">
      <c r="A124" s="15" t="n">
        <v>46310</v>
      </c>
      <c r="B124" s="5" t="inlineStr">
        <is>
          <t>eBay</t>
        </is>
      </c>
      <c r="C124" s="5" t="inlineStr">
        <is>
          <t>Intel Core i5-12400F</t>
        </is>
      </c>
      <c r="D124" s="5" t="inlineStr">
        <is>
          <t>usado</t>
        </is>
      </c>
      <c r="E124" s="11" t="n">
        <v>114.99</v>
      </c>
      <c r="F124" s="5" t="inlineStr">
        <is>
          <t>USD</t>
        </is>
      </c>
      <c r="G124" s="5" t="inlineStr">
        <is>
          <t>eBay API; vendedor cc_us_jfuaoe 100.0%; Intel Core i5-12400F 12th Gen CPU LGA 1700 2.50GHz 10-Core 1; envío no indicado</t>
        </is>
      </c>
      <c r="H124" s="6" t="inlineStr">
        <is>
          <t>ver</t>
        </is>
      </c>
    </row>
    <row r="125">
      <c r="A125" s="15" t="n">
        <v>46310</v>
      </c>
      <c r="B125" s="5" t="inlineStr">
        <is>
          <t>eBay</t>
        </is>
      </c>
      <c r="C125" s="5" t="inlineStr">
        <is>
          <t>Intel Core i5-13400</t>
        </is>
      </c>
      <c r="D125" s="5" t="inlineStr">
        <is>
          <t>usado</t>
        </is>
      </c>
      <c r="E125" s="11" t="n">
        <v>149.99</v>
      </c>
      <c r="F125" s="5" t="inlineStr">
        <is>
          <t>USD</t>
        </is>
      </c>
      <c r="G125" s="5" t="inlineStr">
        <is>
          <t>eBay API; vendedor techrec-recycling 99.6%; Intel Core i5-13400 2.50GHz 10-Core LGA1700 20MB Desktop Pro</t>
        </is>
      </c>
      <c r="H125" s="6" t="inlineStr">
        <is>
          <t>ver</t>
        </is>
      </c>
    </row>
    <row r="126">
      <c r="A126" s="15" t="n">
        <v>46310</v>
      </c>
      <c r="B126" s="5" t="inlineStr">
        <is>
          <t>eBay</t>
        </is>
      </c>
      <c r="C126" s="5" t="inlineStr">
        <is>
          <t>Intel Core i5-14400F</t>
        </is>
      </c>
      <c r="D126" s="5" t="inlineStr">
        <is>
          <t>usado</t>
        </is>
      </c>
      <c r="E126" s="11" t="n">
        <v>134.99</v>
      </c>
      <c r="F126" s="5" t="inlineStr">
        <is>
          <t>USD</t>
        </is>
      </c>
      <c r="G126" s="5" t="inlineStr">
        <is>
          <t>eBay API; vendedor wiifixitllc 99.0%; Intel Core i5-14400F 2.50GHz 10 Core  16 Thread LGA 1700</t>
        </is>
      </c>
      <c r="H126" s="6" t="inlineStr">
        <is>
          <t>ver</t>
        </is>
      </c>
    </row>
    <row r="127">
      <c r="A127" s="15" t="n">
        <v>46310</v>
      </c>
      <c r="B127" s="5" t="inlineStr">
        <is>
          <t>eBay</t>
        </is>
      </c>
      <c r="C127" s="5" t="inlineStr">
        <is>
          <t>Intel Core Ultra 7 265K</t>
        </is>
      </c>
      <c r="D127" s="5" t="inlineStr">
        <is>
          <t>usado</t>
        </is>
      </c>
      <c r="E127" s="11" t="n">
        <v>229</v>
      </c>
      <c r="F127" s="5" t="inlineStr">
        <is>
          <t>USD</t>
        </is>
      </c>
      <c r="G127" s="5" t="inlineStr">
        <is>
          <t>eBay API; vendedor archyinva 99.7%; Intel Core Ultra 7 265K 3.90GHz 20 Core Processor LGA 1851 S</t>
        </is>
      </c>
      <c r="H127" s="6" t="inlineStr">
        <is>
          <t>ver</t>
        </is>
      </c>
    </row>
    <row r="128">
      <c r="A128" s="15" t="n">
        <v>46310</v>
      </c>
      <c r="B128" s="5" t="inlineStr">
        <is>
          <t>eBay</t>
        </is>
      </c>
      <c r="C128" s="5" t="inlineStr">
        <is>
          <t>Corsair Vengeance RGB DDR5 32GB (2x16) 5600</t>
        </is>
      </c>
      <c r="D128" s="5" t="inlineStr">
        <is>
          <t>usado</t>
        </is>
      </c>
      <c r="E128" s="11" t="n">
        <v>375</v>
      </c>
      <c r="F128" s="5" t="inlineStr">
        <is>
          <t>USD</t>
        </is>
      </c>
      <c r="G128" s="5" t="inlineStr">
        <is>
          <t>eBay API; vendedor rmbsr26 100.0%; CORSAIR - VENGEANCE 32GB (2x16GB) DDR5 5600MHz [CMK32GX5M2B5</t>
        </is>
      </c>
      <c r="H128" s="6" t="inlineStr">
        <is>
          <t>ver</t>
        </is>
      </c>
    </row>
    <row r="129">
      <c r="A129" s="15" t="n">
        <v>46310</v>
      </c>
      <c r="B129" s="5" t="inlineStr">
        <is>
          <t>eBay</t>
        </is>
      </c>
      <c r="C129" s="5" t="inlineStr">
        <is>
          <t>Corsair Vengeance RGB DDR5 32GB (2x16) 6000</t>
        </is>
      </c>
      <c r="D129" s="5" t="inlineStr">
        <is>
          <t>usado</t>
        </is>
      </c>
      <c r="E129" s="11" t="n">
        <v>394.99</v>
      </c>
      <c r="F129" s="5" t="inlineStr">
        <is>
          <t>USD</t>
        </is>
      </c>
      <c r="G129" s="5" t="inlineStr">
        <is>
          <t>eBay API; vendedor briansdirectdeals 100.0%; Corsair Vengeance RGB DDR5 32GB (2x16GB) RAM 6000MHz CMH32GX; envío no indicado</t>
        </is>
      </c>
      <c r="H129" s="6" t="inlineStr">
        <is>
          <t>ver</t>
        </is>
      </c>
    </row>
    <row r="130">
      <c r="A130" s="15" t="n">
        <v>46310</v>
      </c>
      <c r="B130" s="5" t="inlineStr">
        <is>
          <t>eBay</t>
        </is>
      </c>
      <c r="C130" s="5" t="inlineStr">
        <is>
          <t>RAM DDR4 16GB (2x8) 3200</t>
        </is>
      </c>
      <c r="D130" s="5" t="inlineStr">
        <is>
          <t>usado</t>
        </is>
      </c>
      <c r="E130" s="11" t="n">
        <v>73.95</v>
      </c>
      <c r="F130" s="5" t="inlineStr">
        <is>
          <t>USD</t>
        </is>
      </c>
      <c r="G130" s="5" t="inlineStr">
        <is>
          <t>eBay API; vendedor lmunaco91 98.5%; G.SKILL RipJaws V DDR4-3200 16GB (2x8GB) DIMM Desktop RAM; envío no indicado</t>
        </is>
      </c>
      <c r="H130" s="6" t="inlineStr">
        <is>
          <t>ver</t>
        </is>
      </c>
    </row>
    <row r="131">
      <c r="A131" s="15" t="n">
        <v>46310</v>
      </c>
      <c r="B131" s="5" t="inlineStr">
        <is>
          <t>eBay</t>
        </is>
      </c>
      <c r="C131" s="5" t="inlineStr">
        <is>
          <t>SSD NVMe 1TB</t>
        </is>
      </c>
      <c r="D131" s="5" t="inlineStr">
        <is>
          <t>usado</t>
        </is>
      </c>
      <c r="E131" s="11" t="n">
        <v>80</v>
      </c>
      <c r="F131" s="5" t="inlineStr">
        <is>
          <t>USD</t>
        </is>
      </c>
      <c r="G131" s="5" t="inlineStr">
        <is>
          <t>eBay API; vendedor oldmacguy 100.0%; Samsung MZ-VL21T0A 1TB M.2 2280 PCIe NVMe SSD (MZVL21T0HCLR-; envío no indicado</t>
        </is>
      </c>
      <c r="H131" s="6" t="inlineStr">
        <is>
          <t>ver</t>
        </is>
      </c>
    </row>
    <row r="132">
      <c r="A132" s="15" t="n">
        <v>46310</v>
      </c>
      <c r="B132" s="5" t="inlineStr">
        <is>
          <t>eBay</t>
        </is>
      </c>
      <c r="C132" s="5" t="inlineStr">
        <is>
          <t>SSD NVMe 2TB</t>
        </is>
      </c>
      <c r="D132" s="5" t="inlineStr">
        <is>
          <t>usado</t>
        </is>
      </c>
      <c r="E132" s="11" t="n">
        <v>175</v>
      </c>
      <c r="F132" s="5" t="inlineStr">
        <is>
          <t>USD</t>
        </is>
      </c>
      <c r="G132" s="5" t="inlineStr">
        <is>
          <t>eBay API; vendedor papasmurfjr 100.0%; Western Digital SN530 2TB NVMe   screen shots for Disk Healt; envío no indicado</t>
        </is>
      </c>
      <c r="H132" s="6" t="inlineStr">
        <is>
          <t>ver</t>
        </is>
      </c>
    </row>
    <row r="133">
      <c r="A133" s="15" t="n">
        <v>46306</v>
      </c>
      <c r="B133" s="5" t="inlineStr">
        <is>
          <t>Tienda</t>
        </is>
      </c>
      <c r="C133" s="5" t="inlineStr">
        <is>
          <t>Ryzen 9 9950X</t>
        </is>
      </c>
      <c r="D133" s="5" t="inlineStr">
        <is>
          <t>MSR Computers (web; fecha de actualización desconocida)</t>
        </is>
      </c>
      <c r="E133" s="11" t="n">
        <v>5580</v>
      </c>
      <c r="F133" s="5" t="inlineStr">
        <is>
          <t>Bs</t>
        </is>
      </c>
      <c r="G133" s="5" t="inlineStr">
        <is>
          <t>nuevo</t>
        </is>
      </c>
      <c r="H133" s="6" t="inlineStr">
        <is>
          <t>ver</t>
        </is>
      </c>
    </row>
    <row r="134">
      <c r="A134" s="15" t="n">
        <v>46306</v>
      </c>
      <c r="B134" s="5" t="inlineStr">
        <is>
          <t>Tienda</t>
        </is>
      </c>
      <c r="C134" s="5" t="inlineStr">
        <is>
          <t>Intel Core i5-13400</t>
        </is>
      </c>
      <c r="D134" s="5" t="inlineStr">
        <is>
          <t>MSR Computers (web; fecha de actualización desconocida)</t>
        </is>
      </c>
      <c r="E134" s="11" t="n">
        <v>2300</v>
      </c>
      <c r="F134" s="5" t="inlineStr">
        <is>
          <t>Bs</t>
        </is>
      </c>
      <c r="G134" s="5" t="inlineStr">
        <is>
          <t>nuevo</t>
        </is>
      </c>
      <c r="H134" s="6" t="inlineStr">
        <is>
          <t>ver</t>
        </is>
      </c>
    </row>
    <row r="135">
      <c r="A135" s="15" t="n">
        <v>46306</v>
      </c>
      <c r="B135" s="5" t="inlineStr">
        <is>
          <t>Tienda</t>
        </is>
      </c>
      <c r="C135" s="5" t="inlineStr">
        <is>
          <t>Intel Core Ultra 7 265K</t>
        </is>
      </c>
      <c r="D135" s="5" t="inlineStr">
        <is>
          <t>MSR Computers (web; fecha de actualización desconocida)</t>
        </is>
      </c>
      <c r="E135" s="11" t="n">
        <v>3950</v>
      </c>
      <c r="F135" s="5" t="inlineStr">
        <is>
          <t>Bs</t>
        </is>
      </c>
      <c r="G135" s="5" t="inlineStr">
        <is>
          <t>nuevo</t>
        </is>
      </c>
      <c r="H135" s="6" t="inlineStr">
        <is>
          <t>ver</t>
        </is>
      </c>
    </row>
    <row r="136">
      <c r="A136" s="15" t="n">
        <v>46306</v>
      </c>
      <c r="B136" s="5" t="inlineStr">
        <is>
          <t>Marketplace</t>
        </is>
      </c>
      <c r="C136" s="5" t="inlineStr">
        <is>
          <t>Ryzen 7 7800X3D</t>
        </is>
      </c>
      <c r="D136" s="5" t="inlineStr">
        <is>
          <t>Marketplace Cochabamba (particular/vendedor)</t>
        </is>
      </c>
      <c r="E136" s="11" t="n">
        <v>4800</v>
      </c>
      <c r="F136" s="5" t="inlineStr">
        <is>
          <t>Bs</t>
        </is>
      </c>
      <c r="G136" s="5" t="inlineStr">
        <is>
          <t>nuevo sellado (según anuncio)</t>
        </is>
      </c>
      <c r="H136" s="6" t="inlineStr">
        <is>
          <t>ver</t>
        </is>
      </c>
    </row>
    <row r="137">
      <c r="A137" s="15" t="n">
        <v>46306</v>
      </c>
      <c r="B137" s="5" t="inlineStr">
        <is>
          <t>Marketplace</t>
        </is>
      </c>
      <c r="C137" s="5" t="inlineStr">
        <is>
          <t>Ryzen 7 7800X3D</t>
        </is>
      </c>
      <c r="D137" s="5" t="inlineStr">
        <is>
          <t>Marketplace Cochabamba</t>
        </is>
      </c>
      <c r="E137" s="11" t="n">
        <v>5190</v>
      </c>
      <c r="F137" s="5" t="inlineStr">
        <is>
          <t>Bs</t>
        </is>
      </c>
      <c r="G137" s="5" t="inlineStr">
        <is>
          <t>no indicado</t>
        </is>
      </c>
      <c r="H137" s="6" t="inlineStr">
        <is>
          <t>ver</t>
        </is>
      </c>
    </row>
    <row r="138">
      <c r="A138" s="15" t="n">
        <v>46306</v>
      </c>
      <c r="B138" s="5" t="inlineStr">
        <is>
          <t>Marketplace</t>
        </is>
      </c>
      <c r="C138" s="5" t="inlineStr">
        <is>
          <t>Ryzen 7 7800X3D</t>
        </is>
      </c>
      <c r="D138" s="5" t="inlineStr">
        <is>
          <t>Marketplace Cochabamba</t>
        </is>
      </c>
      <c r="E138" s="11" t="n">
        <v>5390</v>
      </c>
      <c r="F138" s="5" t="inlineStr">
        <is>
          <t>Bs</t>
        </is>
      </c>
      <c r="G138" s="5" t="inlineStr">
        <is>
          <t>no indicado</t>
        </is>
      </c>
      <c r="H138" s="6" t="inlineStr">
        <is>
          <t>ver</t>
        </is>
      </c>
    </row>
    <row r="139">
      <c r="A139" s="15" t="n">
        <v>46306</v>
      </c>
      <c r="B139" s="5" t="inlineStr">
        <is>
          <t>Marketplace</t>
        </is>
      </c>
      <c r="C139" s="5" t="inlineStr">
        <is>
          <t>Ryzen 5 7600</t>
        </is>
      </c>
      <c r="D139" s="5" t="inlineStr">
        <is>
          <t>Marketplace La Paz</t>
        </is>
      </c>
      <c r="E139" s="11" t="n">
        <v>2000</v>
      </c>
      <c r="F139" s="5" t="inlineStr">
        <is>
          <t>Bs</t>
        </is>
      </c>
      <c r="G139" s="5" t="inlineStr">
        <is>
          <t>no indicado (es 7600X; está en La Paz: solo referencia)</t>
        </is>
      </c>
      <c r="H139" s="6" t="inlineStr">
        <is>
          <t>ver</t>
        </is>
      </c>
    </row>
    <row r="140">
      <c r="A140" s="15" t="n">
        <v>46306</v>
      </c>
      <c r="B140" s="5" t="inlineStr">
        <is>
          <t>Marketplace</t>
        </is>
      </c>
      <c r="C140" s="5" t="inlineStr">
        <is>
          <t>Ryzen 5 7600</t>
        </is>
      </c>
      <c r="D140" s="5" t="inlineStr">
        <is>
          <t>Marketplace La Paz</t>
        </is>
      </c>
      <c r="E140" s="11" t="n">
        <v>2650</v>
      </c>
      <c r="F140" s="5" t="inlineStr">
        <is>
          <t>Bs</t>
        </is>
      </c>
      <c r="G140" s="5" t="inlineStr">
        <is>
          <t>no indicado (es 7600X; está en La Paz: solo referencia)</t>
        </is>
      </c>
      <c r="H140" s="6" t="inlineStr">
        <is>
          <t>ver</t>
        </is>
      </c>
    </row>
    <row r="141">
      <c r="A141" s="15" t="n">
        <v>46306</v>
      </c>
      <c r="B141" s="5" t="inlineStr">
        <is>
          <t>Marketplace</t>
        </is>
      </c>
      <c r="C141" s="5" t="inlineStr">
        <is>
          <t>Intel Core i5-14400F</t>
        </is>
      </c>
      <c r="D141" s="5" t="inlineStr">
        <is>
          <t>Marketplace Cochabamba</t>
        </is>
      </c>
      <c r="E141" s="11" t="n">
        <v>2700</v>
      </c>
      <c r="F141" s="5" t="inlineStr">
        <is>
          <t>Bs</t>
        </is>
      </c>
      <c r="G141" s="5" t="inlineStr">
        <is>
          <t>confirmado por Messenger el 12/10: es el i5-14400 con gráficos (no el F), nuevo en blíster, precio final Bs 2.700; no cuenta</t>
        </is>
      </c>
      <c r="H141" s="6" t="inlineStr">
        <is>
          <t>ver</t>
        </is>
      </c>
    </row>
    <row r="142">
      <c r="A142" s="15" t="n">
        <v>46306</v>
      </c>
      <c r="B142" s="5" t="inlineStr">
        <is>
          <t>Marketplace</t>
        </is>
      </c>
      <c r="C142" s="5" t="inlineStr">
        <is>
          <t>Corsair Vengeance RGB DDR5 32GB (2x16) 6000</t>
        </is>
      </c>
      <c r="D142" s="5" t="inlineStr">
        <is>
          <t>Marketplace Cochabamba</t>
        </is>
      </c>
      <c r="E142" s="11" t="n">
        <v>6200</v>
      </c>
      <c r="F142" s="5" t="inlineStr">
        <is>
          <t>Bs</t>
        </is>
      </c>
      <c r="G142" s="5" t="inlineStr">
        <is>
          <t>no indicado (modelo RS)</t>
        </is>
      </c>
      <c r="H142" s="6" t="inlineStr">
        <is>
          <t>ver</t>
        </is>
      </c>
    </row>
    <row r="143">
      <c r="A143" s="15" t="n">
        <v>46306</v>
      </c>
      <c r="B143" s="5" t="inlineStr">
        <is>
          <t>Marketplace</t>
        </is>
      </c>
      <c r="C143" s="5" t="inlineStr">
        <is>
          <t>RAM DDR4 16GB (2x8) 3200</t>
        </is>
      </c>
      <c r="D143" s="5" t="inlineStr">
        <is>
          <t>Marketplace Cochabamba</t>
        </is>
      </c>
      <c r="E143" s="11" t="n">
        <v>540</v>
      </c>
      <c r="F143" s="5" t="inlineStr">
        <is>
          <t>Bs</t>
        </is>
      </c>
      <c r="G143" s="5" t="inlineStr">
        <is>
          <t>no indicado (Kingston Fury Beast RGB 16GB 3200; probablemente 1x16; no cuenta)</t>
        </is>
      </c>
      <c r="H143" s="6" t="inlineStr">
        <is>
          <t>ver</t>
        </is>
      </c>
    </row>
    <row r="144">
      <c r="A144" s="15" t="n">
        <v>46306</v>
      </c>
      <c r="B144" s="5" t="inlineStr">
        <is>
          <t>Marketplace</t>
        </is>
      </c>
      <c r="C144" s="5" t="inlineStr">
        <is>
          <t>RAM DDR4 16GB (2x8) 3200</t>
        </is>
      </c>
      <c r="D144" s="5" t="inlineStr">
        <is>
          <t>Marketplace Cochabamba</t>
        </is>
      </c>
      <c r="E144" s="11" t="n">
        <v>900</v>
      </c>
      <c r="F144" s="5" t="inlineStr">
        <is>
          <t>Bs</t>
        </is>
      </c>
      <c r="G144" s="5" t="inlineStr">
        <is>
          <t>no indicado (16GB 3200; configuración no indicada)</t>
        </is>
      </c>
      <c r="H144" s="6" t="inlineStr">
        <is>
          <t>ver</t>
        </is>
      </c>
    </row>
    <row r="145">
      <c r="A145" s="15" t="n">
        <v>46306</v>
      </c>
      <c r="B145" s="5" t="inlineStr">
        <is>
          <t>Marketplace</t>
        </is>
      </c>
      <c r="C145" s="5" t="inlineStr">
        <is>
          <t>RAM DDR4 16GB (2x8) 3200</t>
        </is>
      </c>
      <c r="D145" s="5" t="inlineStr">
        <is>
          <t>Marketplace Cochabamba</t>
        </is>
      </c>
      <c r="E145" s="11" t="n">
        <v>1500</v>
      </c>
      <c r="F145" s="5" t="inlineStr">
        <is>
          <t>Bs</t>
        </is>
      </c>
      <c r="G145" s="5" t="inlineStr">
        <is>
          <t>no indicado (2x8 3200; Sacaba)</t>
        </is>
      </c>
      <c r="H145" s="6" t="inlineStr">
        <is>
          <t>ver</t>
        </is>
      </c>
    </row>
    <row r="146">
      <c r="A146" s="15" t="n">
        <v>46306</v>
      </c>
      <c r="B146" s="5" t="inlineStr">
        <is>
          <t>Marketplace</t>
        </is>
      </c>
      <c r="C146" s="5" t="inlineStr">
        <is>
          <t>RAM DDR4 16GB (2x8) 3200</t>
        </is>
      </c>
      <c r="D146" s="5" t="inlineStr">
        <is>
          <t>Marketplace Cochabamba</t>
        </is>
      </c>
      <c r="E146" s="11" t="n">
        <v>1500</v>
      </c>
      <c r="F146" s="5" t="inlineStr">
        <is>
          <t>Bs</t>
        </is>
      </c>
      <c r="G146" s="5" t="inlineStr">
        <is>
          <t>no indicado (Corsair Vengeance 2x8; Sacaba; rebajado de 1600)</t>
        </is>
      </c>
      <c r="H146" s="6" t="inlineStr">
        <is>
          <t>ver</t>
        </is>
      </c>
    </row>
    <row r="147">
      <c r="A147" s="15" t="n">
        <v>46306</v>
      </c>
      <c r="B147" s="5" t="inlineStr">
        <is>
          <t>Marketplace</t>
        </is>
      </c>
      <c r="C147" s="5" t="inlineStr">
        <is>
          <t>SSD NVMe 1TB</t>
        </is>
      </c>
      <c r="D147" s="5" t="inlineStr">
        <is>
          <t>Marketplace Cochabamba</t>
        </is>
      </c>
      <c r="E147" s="11" t="n">
        <v>1850</v>
      </c>
      <c r="F147" s="5" t="inlineStr">
        <is>
          <t>Bs</t>
        </is>
      </c>
      <c r="G147" s="5" t="inlineStr">
        <is>
          <t>no indicado (Kingston NV3 1TB)</t>
        </is>
      </c>
      <c r="H147" s="6" t="inlineStr">
        <is>
          <t>ver</t>
        </is>
      </c>
    </row>
    <row r="148">
      <c r="A148" s="15" t="n">
        <v>46306</v>
      </c>
      <c r="B148" s="5" t="inlineStr">
        <is>
          <t>Marketplace</t>
        </is>
      </c>
      <c r="C148" s="5" t="inlineStr">
        <is>
          <t>SSD NVMe 1TB</t>
        </is>
      </c>
      <c r="D148" s="5" t="inlineStr">
        <is>
          <t>Marketplace Cochabamba</t>
        </is>
      </c>
      <c r="E148" s="11" t="n">
        <v>2000</v>
      </c>
      <c r="F148" s="5" t="inlineStr">
        <is>
          <t>Bs</t>
        </is>
      </c>
      <c r="G148" s="5" t="inlineStr">
        <is>
          <t>no indicado (Crucial P310 1TB)</t>
        </is>
      </c>
      <c r="H148" s="6" t="inlineStr">
        <is>
          <t>ver</t>
        </is>
      </c>
    </row>
    <row r="149">
      <c r="A149" s="15" t="n">
        <v>46306</v>
      </c>
      <c r="B149" s="5" t="inlineStr">
        <is>
          <t>Marketplace</t>
        </is>
      </c>
      <c r="C149" s="5" t="inlineStr">
        <is>
          <t>SSD NVMe 1TB</t>
        </is>
      </c>
      <c r="D149" s="5" t="inlineStr">
        <is>
          <t>Marketplace Cochabamba</t>
        </is>
      </c>
      <c r="E149" s="11" t="n">
        <v>1800</v>
      </c>
      <c r="F149" s="5" t="inlineStr">
        <is>
          <t>Bs</t>
        </is>
      </c>
      <c r="G149" s="5" t="inlineStr">
        <is>
          <t>no indicado (M.2 1TB; marca no indicada)</t>
        </is>
      </c>
      <c r="H149" s="6" t="inlineStr">
        <is>
          <t>ver</t>
        </is>
      </c>
    </row>
    <row r="150">
      <c r="A150" s="15" t="n">
        <v>46306</v>
      </c>
      <c r="B150" s="5" t="inlineStr">
        <is>
          <t>Marketplace</t>
        </is>
      </c>
      <c r="C150" s="5" t="inlineStr">
        <is>
          <t>SSD NVMe 2TB</t>
        </is>
      </c>
      <c r="D150" s="5" t="inlineStr">
        <is>
          <t>Marketplace Cochabamba</t>
        </is>
      </c>
      <c r="E150" s="11" t="n">
        <v>3550</v>
      </c>
      <c r="F150" s="5" t="inlineStr">
        <is>
          <t>Bs</t>
        </is>
      </c>
      <c r="G150" s="5" t="inlineStr">
        <is>
          <t>revisado el 12/10: es un SSD externo portátil SanDisk 2TB (1050 MB/s, USB con cable, IP65), no un NVMe interno; no cuenta</t>
        </is>
      </c>
      <c r="H150" s="6" t="inlineStr">
        <is>
          <t>ver</t>
        </is>
      </c>
    </row>
    <row r="151">
      <c r="A151" s="15" t="n">
        <v>46307</v>
      </c>
      <c r="B151" s="5" t="inlineStr">
        <is>
          <t>Tienda</t>
        </is>
      </c>
      <c r="C151" s="5" t="inlineStr">
        <is>
          <t>Ryzen 7 7800X3D</t>
        </is>
      </c>
      <c r="D151" s="5" t="inlineStr">
        <is>
          <t>Cyrex Store (WhatsApp)</t>
        </is>
      </c>
      <c r="E151" s="11" t="n">
        <v>5664</v>
      </c>
      <c r="F151" s="5" t="inlineStr">
        <is>
          <t>Bs</t>
        </is>
      </c>
      <c r="G151" s="5" t="inlineStr">
        <is>
          <t>BOX (según foto de su web; USD 480)</t>
        </is>
      </c>
      <c r="H151" s="6" t="inlineStr">
        <is>
          <t>ver</t>
        </is>
      </c>
    </row>
    <row r="152">
      <c r="A152" s="15" t="n">
        <v>46307</v>
      </c>
      <c r="B152" s="5" t="inlineStr">
        <is>
          <t>Tienda</t>
        </is>
      </c>
      <c r="C152" s="5" t="inlineStr">
        <is>
          <t>Intel Core i5-14400F</t>
        </is>
      </c>
      <c r="D152" s="5" t="inlineStr">
        <is>
          <t>Cyrex Store (WhatsApp)</t>
        </is>
      </c>
      <c r="E152" s="11" t="n">
        <v>2537</v>
      </c>
      <c r="F152" s="5" t="inlineStr">
        <is>
          <t>Bs</t>
        </is>
      </c>
      <c r="G152" s="5" t="inlineStr">
        <is>
          <t>OEM (sin caja; según foto de su web; USD 215)</t>
        </is>
      </c>
      <c r="H152" s="6" t="inlineStr">
        <is>
          <t>ver</t>
        </is>
      </c>
    </row>
    <row r="153">
      <c r="A153" s="15" t="n">
        <v>46307</v>
      </c>
      <c r="B153" s="5" t="inlineStr">
        <is>
          <t>Tienda</t>
        </is>
      </c>
      <c r="C153" s="5" t="inlineStr">
        <is>
          <t>RAM DDR5 16GB (1x16) 6000</t>
        </is>
      </c>
      <c r="D153" s="5" t="inlineStr">
        <is>
          <t>Cyrex Store (WhatsApp)</t>
        </is>
      </c>
      <c r="E153" s="11" t="n">
        <v>3127</v>
      </c>
      <c r="F153" s="5" t="inlineStr">
        <is>
          <t>Bs</t>
        </is>
      </c>
      <c r="G153" s="5" t="inlineStr">
        <is>
          <t>no indicado (Patriot Viper Venom RGB 1x16 CL30; USD 265; no es el kit Corsair 2x16: solo referencia)</t>
        </is>
      </c>
      <c r="H153" s="6" t="inlineStr">
        <is>
          <t>ver</t>
        </is>
      </c>
    </row>
    <row r="154">
      <c r="A154" s="15" t="n">
        <v>46307</v>
      </c>
      <c r="B154" s="5" t="inlineStr">
        <is>
          <t>Tienda</t>
        </is>
      </c>
      <c r="C154" s="5" t="inlineStr">
        <is>
          <t>RAM DDR4 16GB (2x8) 3200</t>
        </is>
      </c>
      <c r="D154" s="5" t="inlineStr">
        <is>
          <t>Compucenter (WhatsApp)</t>
        </is>
      </c>
      <c r="E154" s="11" t="n">
        <v>2150</v>
      </c>
      <c r="F154" s="5" t="inlineStr">
        <is>
          <t>Bs</t>
        </is>
      </c>
      <c r="G154" s="5" t="inlineStr">
        <is>
          <t>nuevo (Corsair Vengeance RGB DDR4 16GB 3600; no dice si es 2x8; Bs 2.560 con factura)</t>
        </is>
      </c>
      <c r="H154" s="6" t="inlineStr">
        <is>
          <t>ver</t>
        </is>
      </c>
    </row>
    <row r="155">
      <c r="A155" s="15" t="n">
        <v>46307</v>
      </c>
      <c r="B155" s="5" t="inlineStr">
        <is>
          <t>Tienda</t>
        </is>
      </c>
      <c r="C155" s="5" t="inlineStr">
        <is>
          <t>Ryzen 9 9950X</t>
        </is>
      </c>
      <c r="D155" s="5" t="inlineStr">
        <is>
          <t>Tienda Supermall (WhatsApp)</t>
        </is>
      </c>
      <c r="E155" s="11" t="n">
        <v>6140</v>
      </c>
      <c r="F155" s="5" t="inlineStr">
        <is>
          <t>Bs</t>
        </is>
      </c>
      <c r="G155" s="5" t="inlineStr">
        <is>
          <t>nuevo OEM (garantía 6 meses)</t>
        </is>
      </c>
      <c r="H155" s="6" t="inlineStr">
        <is>
          <t>ver</t>
        </is>
      </c>
    </row>
    <row r="156">
      <c r="A156" s="15" t="n">
        <v>46307</v>
      </c>
      <c r="B156" s="5" t="inlineStr">
        <is>
          <t>Tienda</t>
        </is>
      </c>
      <c r="C156" s="5" t="inlineStr">
        <is>
          <t>Ryzen 7 7800X3D</t>
        </is>
      </c>
      <c r="D156" s="5" t="inlineStr">
        <is>
          <t>Tienda Supermall (WhatsApp)</t>
        </is>
      </c>
      <c r="E156" s="11" t="n">
        <v>4760</v>
      </c>
      <c r="F156" s="5" t="inlineStr">
        <is>
          <t>Bs</t>
        </is>
      </c>
      <c r="G156" s="5" t="inlineStr">
        <is>
          <t>no indicado (la tienda lo ofrece como "7700x3d"; foto de caja 7800X3D; stock bajo; garantía 6 meses; confirmar modelo)</t>
        </is>
      </c>
      <c r="H156" s="6" t="inlineStr">
        <is>
          <t>ver</t>
        </is>
      </c>
    </row>
    <row r="157">
      <c r="A157" s="15" t="n">
        <v>46307</v>
      </c>
      <c r="B157" s="5" t="inlineStr">
        <is>
          <t>Tienda</t>
        </is>
      </c>
      <c r="C157" s="5" t="inlineStr">
        <is>
          <t>Corsair Vengeance RGB DDR5 32GB (2x16) 6000</t>
        </is>
      </c>
      <c r="D157" s="5" t="inlineStr">
        <is>
          <t>PC Components Bolivia (WhatsApp; Santa Cruz: referencia)</t>
        </is>
      </c>
      <c r="E157" s="11" t="n">
        <v>6800</v>
      </c>
      <c r="F157" s="5" t="inlineStr">
        <is>
          <t>Bs</t>
        </is>
      </c>
      <c r="G157" s="5" t="inlineStr">
        <is>
          <t>no indicado</t>
        </is>
      </c>
      <c r="H157" s="6" t="inlineStr">
        <is>
          <t>ver</t>
        </is>
      </c>
    </row>
    <row r="158">
      <c r="A158" s="15" t="n">
        <v>46307</v>
      </c>
      <c r="B158" s="5" t="inlineStr">
        <is>
          <t>Tienda</t>
        </is>
      </c>
      <c r="C158" s="5" t="inlineStr">
        <is>
          <t>SSD NVMe 1TB</t>
        </is>
      </c>
      <c r="D158" s="5" t="inlineStr">
        <is>
          <t>PC Components Bolivia (WhatsApp; Santa Cruz: referencia)</t>
        </is>
      </c>
      <c r="E158" s="11" t="n">
        <v>2100</v>
      </c>
      <c r="F158" s="5" t="inlineStr">
        <is>
          <t>Bs</t>
        </is>
      </c>
      <c r="G158" s="5" t="inlineStr">
        <is>
          <t>no indicado (Kingston NV3 PCIe 4.0; Santa Cruz: referencia)</t>
        </is>
      </c>
      <c r="H158" s="6" t="inlineStr">
        <is>
          <t>ver</t>
        </is>
      </c>
    </row>
    <row r="159">
      <c r="A159" s="15" t="n">
        <v>46307</v>
      </c>
      <c r="B159" s="5" t="inlineStr">
        <is>
          <t>Tienda</t>
        </is>
      </c>
      <c r="C159" s="5" t="inlineStr">
        <is>
          <t>SSD NVMe 1TB</t>
        </is>
      </c>
      <c r="D159" s="5" t="inlineStr">
        <is>
          <t>PC Components Bolivia (WhatsApp; Santa Cruz: referencia)</t>
        </is>
      </c>
      <c r="E159" s="11" t="n">
        <v>1800</v>
      </c>
      <c r="F159" s="5" t="inlineStr">
        <is>
          <t>Bs</t>
        </is>
      </c>
      <c r="G159" s="5" t="inlineStr">
        <is>
          <t>no indicado (marca "ediloca" PCIe 4.0; Santa Cruz: referencia)</t>
        </is>
      </c>
      <c r="H159" s="6" t="inlineStr">
        <is>
          <t>ver</t>
        </is>
      </c>
    </row>
    <row r="160">
      <c r="A160" s="15" t="n">
        <v>46307</v>
      </c>
      <c r="B160" s="5" t="inlineStr">
        <is>
          <t>Marketplace</t>
        </is>
      </c>
      <c r="C160" s="5" t="inlineStr">
        <is>
          <t>Corsair Vengeance RGB DDR5 32GB (2x16) 5600</t>
        </is>
      </c>
      <c r="D160" s="5" t="inlineStr">
        <is>
          <t>Marketplace Cochabamba (particular)</t>
        </is>
      </c>
      <c r="E160" s="11" t="n">
        <v>4500</v>
      </c>
      <c r="F160" s="5" t="inlineStr">
        <is>
          <t>Bs</t>
        </is>
      </c>
      <c r="G160" s="5" t="inlineStr">
        <is>
          <t>usado como nuevo (4 meses de uso; publicado hace 7 semanas)</t>
        </is>
      </c>
      <c r="H160" s="6" t="inlineStr">
        <is>
          <t>ver</t>
        </is>
      </c>
    </row>
    <row r="161">
      <c r="A161" s="15" t="n">
        <v>46307</v>
      </c>
      <c r="B161" s="5" t="inlineStr">
        <is>
          <t>Tienda</t>
        </is>
      </c>
      <c r="C161" s="5" t="inlineStr">
        <is>
          <t>Corsair Vengeance RGB DDR5 32GB (2x16) 6000</t>
        </is>
      </c>
      <c r="D161" s="5" t="inlineStr">
        <is>
          <t>PC Components Bolivia (WhatsApp; Santa Cruz: referencia)</t>
        </is>
      </c>
      <c r="E161" s="11" t="n">
        <v>6700</v>
      </c>
      <c r="F161" s="5" t="inlineStr">
        <is>
          <t>Bs</t>
        </is>
      </c>
      <c r="G161" s="5" t="inlineStr">
        <is>
          <t>no indicado (precio c/u llevando 2; Santa Cruz: referencia)</t>
        </is>
      </c>
      <c r="H161" s="6" t="inlineStr">
        <is>
          <t>ver</t>
        </is>
      </c>
    </row>
    <row r="162">
      <c r="A162" s="15" t="n">
        <v>46307</v>
      </c>
      <c r="B162" s="5" t="inlineStr">
        <is>
          <t>Tienda</t>
        </is>
      </c>
      <c r="C162" s="5" t="inlineStr">
        <is>
          <t>Intel Core i5-14400F</t>
        </is>
      </c>
      <c r="D162" s="5" t="inlineStr">
        <is>
          <t>Punto Tecnológico · Supermall (web)</t>
        </is>
      </c>
      <c r="E162" s="11" t="n">
        <v>2520</v>
      </c>
      <c r="F162" s="5" t="inlineStr">
        <is>
          <t>Bs</t>
        </is>
      </c>
      <c r="G162" s="5" t="inlineStr">
        <is>
          <t>disponible (web)</t>
        </is>
      </c>
      <c r="H162" s="6" t="inlineStr">
        <is>
          <t>ver</t>
        </is>
      </c>
    </row>
    <row r="163">
      <c r="A163" s="15" t="n">
        <v>46307</v>
      </c>
      <c r="B163" s="5" t="inlineStr">
        <is>
          <t>Tienda</t>
        </is>
      </c>
      <c r="C163" s="5" t="inlineStr">
        <is>
          <t>Intel Core Ultra 7 265K</t>
        </is>
      </c>
      <c r="D163" s="5" t="inlineStr">
        <is>
          <t>Punto Tecnológico · Supermall (web)</t>
        </is>
      </c>
      <c r="E163" s="11" t="n">
        <v>4290</v>
      </c>
      <c r="F163" s="5" t="inlineStr">
        <is>
          <t>Bs</t>
        </is>
      </c>
      <c r="G163" s="5" t="inlineStr">
        <is>
          <t>stock bajo (web; por WhatsApp dijeron que el 265K solo está en Santa Cruz)</t>
        </is>
      </c>
      <c r="H163" s="6" t="inlineStr">
        <is>
          <t>ver</t>
        </is>
      </c>
    </row>
    <row r="164">
      <c r="A164" s="15" t="n">
        <v>46307</v>
      </c>
      <c r="B164" s="5" t="inlineStr">
        <is>
          <t>Tienda</t>
        </is>
      </c>
      <c r="C164" s="5" t="inlineStr">
        <is>
          <t>Ryzen 5 7600</t>
        </is>
      </c>
      <c r="D164" s="5" t="inlineStr">
        <is>
          <t>Punto Tecnológico · Supermall (web)</t>
        </is>
      </c>
      <c r="E164" s="11" t="n">
        <v>2860</v>
      </c>
      <c r="F164" s="5" t="inlineStr">
        <is>
          <t>Bs</t>
        </is>
      </c>
      <c r="G164" s="5" t="inlineStr">
        <is>
          <t>stock bajo (web)</t>
        </is>
      </c>
      <c r="H164" s="6" t="inlineStr">
        <is>
          <t>ver</t>
        </is>
      </c>
    </row>
    <row r="165">
      <c r="A165" s="15" t="n">
        <v>46307</v>
      </c>
      <c r="B165" s="5" t="inlineStr">
        <is>
          <t>Tienda</t>
        </is>
      </c>
      <c r="C165" s="5" t="inlineStr">
        <is>
          <t>Intel Core i5-12400F</t>
        </is>
      </c>
      <c r="D165" s="5" t="inlineStr">
        <is>
          <t>Punto Tecnológico · Supermall (web)</t>
        </is>
      </c>
      <c r="E165" s="11" t="n">
        <v>2460</v>
      </c>
      <c r="F165" s="5" t="inlineStr">
        <is>
          <t>Bs</t>
        </is>
      </c>
      <c r="G165" s="5" t="inlineStr">
        <is>
          <t>disponible (web)</t>
        </is>
      </c>
      <c r="H165" s="6" t="inlineStr">
        <is>
          <t>ver</t>
        </is>
      </c>
    </row>
    <row r="166">
      <c r="A166" s="15" t="n">
        <v>46307</v>
      </c>
      <c r="B166" s="5" t="inlineStr">
        <is>
          <t>Tienda</t>
        </is>
      </c>
      <c r="C166" s="5" t="inlineStr">
        <is>
          <t>Ryzen 7 7800X3D</t>
        </is>
      </c>
      <c r="D166" s="5" t="inlineStr">
        <is>
          <t>Punto Tecnológico · Supermall (web)</t>
        </is>
      </c>
      <c r="E166" s="11" t="n">
        <v>5360</v>
      </c>
      <c r="F166" s="5" t="inlineStr">
        <is>
          <t>Bs</t>
        </is>
      </c>
      <c r="G166" s="5" t="inlineStr">
        <is>
          <t>agotado (web, "Ryzen 7 7800x3d Chip"; precio de referencia; no cuenta)</t>
        </is>
      </c>
      <c r="H166" s="6" t="inlineStr">
        <is>
          <t>ver</t>
        </is>
      </c>
    </row>
    <row r="167">
      <c r="A167" s="15" t="n">
        <v>46307</v>
      </c>
      <c r="B167" s="5" t="inlineStr">
        <is>
          <t>Tienda</t>
        </is>
      </c>
      <c r="C167" s="5" t="inlineStr">
        <is>
          <t>Ryzen 5 5600</t>
        </is>
      </c>
      <c r="D167" s="5" t="inlineStr">
        <is>
          <t>Punto Tecnológico · Supermall (web)</t>
        </is>
      </c>
      <c r="E167" s="11" t="n">
        <v>1710</v>
      </c>
      <c r="F167" s="5" t="inlineStr">
        <is>
          <t>Bs</t>
        </is>
      </c>
      <c r="G167" s="5" t="inlineStr">
        <is>
          <t>agotado (web; precio de referencia; no cuenta)</t>
        </is>
      </c>
      <c r="H167" s="6" t="inlineStr">
        <is>
          <t>ver</t>
        </is>
      </c>
    </row>
    <row r="168">
      <c r="A168" s="15" t="n">
        <v>46307</v>
      </c>
      <c r="B168" s="5" t="inlineStr">
        <is>
          <t>Tienda</t>
        </is>
      </c>
      <c r="C168" s="5" t="inlineStr">
        <is>
          <t>Intel Core i5-13400</t>
        </is>
      </c>
      <c r="D168" s="5" t="inlineStr">
        <is>
          <t>Punto Tecnológico · Supermall (web)</t>
        </is>
      </c>
      <c r="E168" s="11" t="n">
        <v>2310</v>
      </c>
      <c r="F168" s="5" t="inlineStr">
        <is>
          <t>Bs</t>
        </is>
      </c>
      <c r="G168" s="5" t="inlineStr">
        <is>
          <t>agotado (web; precio de referencia; no cuenta)</t>
        </is>
      </c>
      <c r="H168" s="6" t="inlineStr">
        <is>
          <t>ver</t>
        </is>
      </c>
    </row>
    <row r="169">
      <c r="A169" s="15" t="n">
        <v>46307</v>
      </c>
      <c r="B169" s="5" t="inlineStr">
        <is>
          <t>Tienda</t>
        </is>
      </c>
      <c r="C169" s="5" t="inlineStr">
        <is>
          <t>RAM DDR4 16GB (2x8) 3200</t>
        </is>
      </c>
      <c r="D169" s="5" t="inlineStr">
        <is>
          <t>Punto Tecnológico · Supermall (web)</t>
        </is>
      </c>
      <c r="E169" s="11" t="n">
        <v>2160</v>
      </c>
      <c r="F169" s="5" t="inlineStr">
        <is>
          <t>Bs</t>
        </is>
      </c>
      <c r="G169" s="5" t="inlineStr">
        <is>
          <t>disponible (web; Corsair Vengeance RGB Pro TUF Gaming 2x8 3200)</t>
        </is>
      </c>
      <c r="H169" s="6" t="inlineStr">
        <is>
          <t>ver</t>
        </is>
      </c>
    </row>
    <row r="170">
      <c r="A170" s="15" t="n">
        <v>46307</v>
      </c>
      <c r="B170" s="5" t="inlineStr">
        <is>
          <t>Tienda</t>
        </is>
      </c>
      <c r="C170" s="5" t="inlineStr">
        <is>
          <t>Corsair Vengeance RGB DDR5 32GB (2x16) 6000</t>
        </is>
      </c>
      <c r="D170" s="5" t="inlineStr">
        <is>
          <t>Punto Tecnológico · Supermall (web)</t>
        </is>
      </c>
      <c r="E170" s="11" t="n">
        <v>5360</v>
      </c>
      <c r="F170" s="5" t="inlineStr">
        <is>
          <t>Bs</t>
        </is>
      </c>
      <c r="G170" s="5" t="inlineStr">
        <is>
          <t>agotado (web; precio de referencia; no cuenta)</t>
        </is>
      </c>
      <c r="H170" s="6" t="inlineStr">
        <is>
          <t>ver</t>
        </is>
      </c>
    </row>
    <row r="171">
      <c r="A171" s="15" t="n">
        <v>46307</v>
      </c>
      <c r="B171" s="5" t="inlineStr">
        <is>
          <t>Tienda</t>
        </is>
      </c>
      <c r="C171" s="5" t="inlineStr">
        <is>
          <t>Corsair Vengeance RGB DDR5 32GB (2x16) 6000</t>
        </is>
      </c>
      <c r="D171" s="5" t="inlineStr">
        <is>
          <t>Punto Tecnológico · Supermall (web)</t>
        </is>
      </c>
      <c r="E171" s="11" t="n">
        <v>5660</v>
      </c>
      <c r="F171" s="5" t="inlineStr">
        <is>
          <t>Bs</t>
        </is>
      </c>
      <c r="G171" s="5" t="inlineStr">
        <is>
          <t>disponible (web; Patriot Viper 32GB 6000 RGB: otra marca; no cuenta)</t>
        </is>
      </c>
      <c r="H171" s="6" t="inlineStr">
        <is>
          <t>ver</t>
        </is>
      </c>
    </row>
    <row r="172">
      <c r="A172" s="15" t="n">
        <v>46307</v>
      </c>
      <c r="B172" s="5" t="inlineStr">
        <is>
          <t>Tienda</t>
        </is>
      </c>
      <c r="C172" s="5" t="inlineStr">
        <is>
          <t>Corsair Vengeance RGB DDR5 32GB (2x16) 5600</t>
        </is>
      </c>
      <c r="D172" s="5" t="inlineStr">
        <is>
          <t>Punto Tecnológico · Supermall (web)</t>
        </is>
      </c>
      <c r="E172" s="11" t="n">
        <v>5860</v>
      </c>
      <c r="F172" s="5" t="inlineStr">
        <is>
          <t>Bs</t>
        </is>
      </c>
      <c r="G172" s="5" t="inlineStr">
        <is>
          <t>disponible (web; Kingston Fury 32GB 2x16 5200/5600: otra marca; no cuenta)</t>
        </is>
      </c>
      <c r="H172" s="6" t="inlineStr">
        <is>
          <t>ver</t>
        </is>
      </c>
    </row>
    <row r="173">
      <c r="A173" s="15" t="n">
        <v>46307</v>
      </c>
      <c r="B173" s="5" t="inlineStr">
        <is>
          <t>Tienda</t>
        </is>
      </c>
      <c r="C173" s="5" t="inlineStr">
        <is>
          <t>SSD NVMe 1TB</t>
        </is>
      </c>
      <c r="D173" s="5" t="inlineStr">
        <is>
          <t>Punto Tecnológico · Supermall (web)</t>
        </is>
      </c>
      <c r="E173" s="11" t="n">
        <v>1860</v>
      </c>
      <c r="F173" s="5" t="inlineStr">
        <is>
          <t>Bs</t>
        </is>
      </c>
      <c r="G173" s="5" t="inlineStr">
        <is>
          <t>stock bajo (web; Hiksemi Wave M.2 1TB)</t>
        </is>
      </c>
      <c r="H173" s="6" t="inlineStr">
        <is>
          <t>ver</t>
        </is>
      </c>
    </row>
    <row r="174">
      <c r="A174" s="15" t="n">
        <v>46307</v>
      </c>
      <c r="B174" s="5" t="inlineStr">
        <is>
          <t>Tienda</t>
        </is>
      </c>
      <c r="C174" s="5" t="inlineStr">
        <is>
          <t>SSD NVMe 1TB</t>
        </is>
      </c>
      <c r="D174" s="5" t="inlineStr">
        <is>
          <t>Punto Tecnológico · Supermall (web)</t>
        </is>
      </c>
      <c r="E174" s="11" t="n">
        <v>2060</v>
      </c>
      <c r="F174" s="5" t="inlineStr">
        <is>
          <t>Bs</t>
        </is>
      </c>
      <c r="G174" s="5" t="inlineStr">
        <is>
          <t>disponible (web; WD SN3000 M.2 1TB)</t>
        </is>
      </c>
      <c r="H174" s="6" t="inlineStr">
        <is>
          <t>ver</t>
        </is>
      </c>
    </row>
    <row r="175">
      <c r="A175" s="15" t="n">
        <v>46307</v>
      </c>
      <c r="B175" s="5" t="inlineStr">
        <is>
          <t>Tienda</t>
        </is>
      </c>
      <c r="C175" s="5" t="inlineStr">
        <is>
          <t>SSD NVMe 1TB</t>
        </is>
      </c>
      <c r="D175" s="5" t="inlineStr">
        <is>
          <t>Punto Tecnológico · Supermall (web)</t>
        </is>
      </c>
      <c r="E175" s="11" t="n">
        <v>2152</v>
      </c>
      <c r="F175" s="5" t="inlineStr">
        <is>
          <t>Bs</t>
        </is>
      </c>
      <c r="G175" s="5" t="inlineStr">
        <is>
          <t>disponible (web; Kingston NV3 M.2 1TB)</t>
        </is>
      </c>
      <c r="H175" s="6" t="inlineStr">
        <is>
          <t>ver</t>
        </is>
      </c>
    </row>
    <row r="176">
      <c r="A176" s="15" t="n">
        <v>46307</v>
      </c>
      <c r="B176" s="5" t="inlineStr">
        <is>
          <t>Tienda</t>
        </is>
      </c>
      <c r="C176" s="5" t="inlineStr">
        <is>
          <t>SSD NVMe 2TB</t>
        </is>
      </c>
      <c r="D176" s="5" t="inlineStr">
        <is>
          <t>Punto Tecnológico · Supermall (web)</t>
        </is>
      </c>
      <c r="E176" s="11" t="n">
        <v>4060</v>
      </c>
      <c r="F176" s="5" t="inlineStr">
        <is>
          <t>Bs</t>
        </is>
      </c>
      <c r="G176" s="5" t="inlineStr">
        <is>
          <t>stock bajo (web; Apacer M.2 2TB 7400 MB/s)</t>
        </is>
      </c>
      <c r="H176" s="6" t="inlineStr">
        <is>
          <t>ver</t>
        </is>
      </c>
    </row>
    <row r="177">
      <c r="A177" s="15" t="n">
        <v>46307</v>
      </c>
      <c r="B177" s="5" t="inlineStr">
        <is>
          <t>Tienda</t>
        </is>
      </c>
      <c r="C177" s="5" t="inlineStr">
        <is>
          <t>SSD NVMe 2TB</t>
        </is>
      </c>
      <c r="D177" s="5" t="inlineStr">
        <is>
          <t>Punto Tecnológico · Supermall (web)</t>
        </is>
      </c>
      <c r="E177" s="11" t="n">
        <v>4560</v>
      </c>
      <c r="F177" s="5" t="inlineStr">
        <is>
          <t>Bs</t>
        </is>
      </c>
      <c r="G177" s="5" t="inlineStr">
        <is>
          <t>disponible (web; Hiksemi Futurex M.2 2TB)</t>
        </is>
      </c>
      <c r="H177" s="6" t="inlineStr">
        <is>
          <t>ver</t>
        </is>
      </c>
    </row>
    <row r="178">
      <c r="A178" s="15" t="n">
        <v>46307</v>
      </c>
      <c r="B178" s="5" t="inlineStr">
        <is>
          <t>Tienda</t>
        </is>
      </c>
      <c r="C178" s="5" t="inlineStr">
        <is>
          <t>Ryzen 7 7800X3D</t>
        </is>
      </c>
      <c r="D178" s="5" t="inlineStr">
        <is>
          <t>Viadata Computadoras (WhatsApp)</t>
        </is>
      </c>
      <c r="E178" s="11" t="n">
        <v>5500</v>
      </c>
      <c r="F178" s="5" t="inlineStr">
        <is>
          <t>Bs</t>
        </is>
      </c>
      <c r="G178" s="5" t="inlineStr">
        <is>
          <t>nuevo OEM (solo el chip)</t>
        </is>
      </c>
      <c r="H178" s="6" t="inlineStr">
        <is>
          <t>ver</t>
        </is>
      </c>
    </row>
    <row r="179">
      <c r="A179" s="15" t="n">
        <v>46307</v>
      </c>
      <c r="B179" s="5" t="inlineStr">
        <is>
          <t>Tienda</t>
        </is>
      </c>
      <c r="C179" s="5" t="inlineStr">
        <is>
          <t>Ryzen 5 5600</t>
        </is>
      </c>
      <c r="D179" s="5" t="inlineStr">
        <is>
          <t>Viadata Computadoras (WhatsApp)</t>
        </is>
      </c>
      <c r="E179" s="11" t="n">
        <v>2500</v>
      </c>
      <c r="F179" s="5" t="inlineStr">
        <is>
          <t>Bs</t>
        </is>
      </c>
      <c r="G179" s="5" t="inlineStr">
        <is>
          <t>nuevo OEM (es el 5600X, no el 5600; solo referencia; no cuenta)</t>
        </is>
      </c>
      <c r="H179" s="6" t="inlineStr">
        <is>
          <t>ver</t>
        </is>
      </c>
    </row>
    <row r="180">
      <c r="A180" s="15" t="n">
        <v>46307</v>
      </c>
      <c r="B180" s="5" t="inlineStr">
        <is>
          <t>Tienda</t>
        </is>
      </c>
      <c r="C180" s="5" t="inlineStr">
        <is>
          <t>Intel Core Ultra 7 265K</t>
        </is>
      </c>
      <c r="D180" s="5" t="inlineStr">
        <is>
          <t>Viadata Computadoras (WhatsApp)</t>
        </is>
      </c>
      <c r="E180" s="11" t="n">
        <v>5200</v>
      </c>
      <c r="F180" s="5" t="inlineStr">
        <is>
          <t>Bs</t>
        </is>
      </c>
      <c r="G180" s="5" t="inlineStr">
        <is>
          <t>nuevo en caja (es el 265KF, sin gráficos integrados; solo referencia; no cuenta)</t>
        </is>
      </c>
      <c r="H180" s="6" t="inlineStr">
        <is>
          <t>ver</t>
        </is>
      </c>
    </row>
    <row r="181">
      <c r="A181" s="15" t="n">
        <v>46308</v>
      </c>
      <c r="B181" s="5" t="inlineStr">
        <is>
          <t>Tienda</t>
        </is>
      </c>
      <c r="C181" s="5" t="inlineStr">
        <is>
          <t>Ryzen 7 7800X3D</t>
        </is>
      </c>
      <c r="D181" s="5" t="inlineStr">
        <is>
          <t>OverCity (WhatsApp)</t>
        </is>
      </c>
      <c r="E181" s="11" t="n">
        <v>5500</v>
      </c>
      <c r="F181" s="5" t="inlineStr">
        <is>
          <t>Bs</t>
        </is>
      </c>
      <c r="G181" s="5" t="inlineStr">
        <is>
          <t>nuevo OEM (solo el chip)</t>
        </is>
      </c>
      <c r="H181" s="2" t="n"/>
    </row>
    <row r="182">
      <c r="A182" s="15" t="n">
        <v>46308</v>
      </c>
      <c r="B182" s="5" t="inlineStr">
        <is>
          <t>Tienda</t>
        </is>
      </c>
      <c r="C182" s="5" t="inlineStr">
        <is>
          <t>Intel Core i5-14400F</t>
        </is>
      </c>
      <c r="D182" s="5" t="inlineStr">
        <is>
          <t>OverCity (WhatsApp)</t>
        </is>
      </c>
      <c r="E182" s="11" t="n">
        <v>2460</v>
      </c>
      <c r="F182" s="5" t="inlineStr">
        <is>
          <t>Bs</t>
        </is>
      </c>
      <c r="G182" s="5" t="inlineStr">
        <is>
          <t>nuevo OEM</t>
        </is>
      </c>
      <c r="H182" s="2" t="n"/>
    </row>
    <row r="183">
      <c r="A183" s="15" t="n">
        <v>46308</v>
      </c>
      <c r="B183" s="5" t="inlineStr">
        <is>
          <t>Tienda</t>
        </is>
      </c>
      <c r="C183" s="5" t="inlineStr">
        <is>
          <t>Intel Core i5-14400F</t>
        </is>
      </c>
      <c r="D183" s="5" t="inlineStr">
        <is>
          <t>Soft Computers (WhatsApp)</t>
        </is>
      </c>
      <c r="E183" s="11" t="n">
        <v>2500</v>
      </c>
      <c r="F183" s="5" t="inlineStr">
        <is>
          <t>Bs</t>
        </is>
      </c>
      <c r="G183" s="5" t="inlineStr">
        <is>
          <t>nuevo OEM</t>
        </is>
      </c>
      <c r="H183" s="2" t="n"/>
    </row>
    <row r="184">
      <c r="A184" s="15" t="n">
        <v>46308</v>
      </c>
      <c r="B184" s="5" t="inlineStr">
        <is>
          <t>Tienda</t>
        </is>
      </c>
      <c r="C184" s="5" t="inlineStr">
        <is>
          <t>Corsair Vengeance RGB DDR5 32GB (2x16) 6000</t>
        </is>
      </c>
      <c r="D184" s="5" t="inlineStr">
        <is>
          <t>OverCity (WhatsApp)</t>
        </is>
      </c>
      <c r="E184" s="11" t="n">
        <v>6840</v>
      </c>
      <c r="F184" s="5" t="inlineStr">
        <is>
          <t>Bs</t>
        </is>
      </c>
      <c r="G184" s="5" t="inlineStr">
        <is>
          <t>nuevo (XPG Lancer RGB 32GB 2x16 6000 CL30: otra marca; no cuenta; Corsair agotada; garantía 3 meses)</t>
        </is>
      </c>
      <c r="H184" s="2" t="n"/>
    </row>
    <row r="185">
      <c r="A185" s="15" t="n">
        <v>46308</v>
      </c>
      <c r="B185" s="5" t="inlineStr">
        <is>
          <t>Marketplace</t>
        </is>
      </c>
      <c r="C185" s="5" t="inlineStr">
        <is>
          <t>Ryzen 7 7800X3D</t>
        </is>
      </c>
      <c r="D185" s="5" t="inlineStr">
        <is>
          <t>Marketplace Cochabamba (particular/vendedor; Messenger)</t>
        </is>
      </c>
      <c r="E185" s="11" t="n">
        <v>4800</v>
      </c>
      <c r="F185" s="5" t="inlineStr">
        <is>
          <t>Bs</t>
        </is>
      </c>
      <c r="G185" s="5" t="inlineStr">
        <is>
          <t>nuevo sellado de fábrica, confirmado por el vendedor (último en stock; precio ya rebajado)</t>
        </is>
      </c>
      <c r="H185" s="6" t="inlineStr">
        <is>
          <t>ver</t>
        </is>
      </c>
    </row>
    <row r="186">
      <c r="A186" s="15" t="n">
        <v>46308</v>
      </c>
      <c r="B186" s="5" t="inlineStr">
        <is>
          <t>Tienda</t>
        </is>
      </c>
      <c r="C186" s="5" t="inlineStr">
        <is>
          <t>Ryzen 7 7800X3D</t>
        </is>
      </c>
      <c r="D186" s="5" t="inlineStr">
        <is>
          <t>OverCity (WhatsApp)</t>
        </is>
      </c>
      <c r="E186" s="11" t="n">
        <v>5350</v>
      </c>
      <c r="F186" s="5" t="inlineStr">
        <is>
          <t>Bs</t>
        </is>
      </c>
      <c r="G186" s="5" t="inlineStr">
        <is>
          <t>nuevo en caja sellada (box; el OEM está a Bs 5.500; el i5-14400F Bs 2.460 es su precio mínimo)</t>
        </is>
      </c>
      <c r="H186" s="2" t="n"/>
    </row>
    <row r="187">
      <c r="A187" s="15" t="n">
        <v>46309</v>
      </c>
      <c r="B187" s="5" t="inlineStr">
        <is>
          <t>Marketplace</t>
        </is>
      </c>
      <c r="C187" s="5" t="inlineStr">
        <is>
          <t>Corsair Vengeance RGB DDR5 32GB (2x16) 5600</t>
        </is>
      </c>
      <c r="D187" s="5" t="inlineStr">
        <is>
          <t>Marketplace Cochabamba</t>
        </is>
      </c>
      <c r="E187" s="11" t="n">
        <v>7400</v>
      </c>
      <c r="F187" s="5" t="inlineStr">
        <is>
          <t>Bs</t>
        </is>
      </c>
      <c r="G187" s="5" t="inlineStr">
        <is>
          <t>no indicado (Kingston Fury Beast DDR5 32GB 5600: otra marca; solo referencia; no cuenta)</t>
        </is>
      </c>
      <c r="H187" s="6" t="inlineStr">
        <is>
          <t>ver</t>
        </is>
      </c>
    </row>
    <row r="188">
      <c r="A188" s="15" t="n">
        <v>46309</v>
      </c>
      <c r="B188" s="5" t="inlineStr">
        <is>
          <t>Tienda</t>
        </is>
      </c>
      <c r="C188" s="5" t="inlineStr">
        <is>
          <t>Intel Core i5-14400F</t>
        </is>
      </c>
      <c r="D188" s="5" t="inlineStr">
        <is>
          <t>Geek Store Bolivia (web)</t>
        </is>
      </c>
      <c r="E188" s="11" t="n">
        <v>2953</v>
      </c>
      <c r="F188" s="5" t="inlineStr">
        <is>
          <t>Bs</t>
        </is>
      </c>
      <c r="G188" s="5" t="inlineStr">
        <is>
          <t>disponible (web; es el i5-14400 con gráficos, no el F; precio USD 249 en la web, a Bs 11,86; solo referencia; no cuenta)</t>
        </is>
      </c>
      <c r="H188" s="6" t="inlineStr">
        <is>
          <t>ver</t>
        </is>
      </c>
    </row>
    <row r="189">
      <c r="A189" s="15" t="n">
        <v>46309</v>
      </c>
      <c r="B189" s="5" t="inlineStr">
        <is>
          <t>Tienda</t>
        </is>
      </c>
      <c r="C189" s="5" t="inlineStr">
        <is>
          <t>Intel Core i9-14900K</t>
        </is>
      </c>
      <c r="D189" s="5" t="inlineStr">
        <is>
          <t>Crazy Store (WhatsApp)</t>
        </is>
      </c>
      <c r="E189" s="11" t="n">
        <v>6013</v>
      </c>
      <c r="F189" s="5" t="inlineStr">
        <is>
          <t>Bs</t>
        </is>
      </c>
      <c r="G189" s="5" t="inlineStr">
        <is>
          <t>nuevo (no está en vigilar.csv; USD 499 o Bs 6.013, rebaja ofrecida hasta Bs 5.700; solo referencia; no cuenta)</t>
        </is>
      </c>
      <c r="H189" s="2" t="n"/>
    </row>
    <row r="190">
      <c r="A190" s="15" t="n">
        <v>46310</v>
      </c>
      <c r="B190" s="5" t="inlineStr">
        <is>
          <t>Tienda</t>
        </is>
      </c>
      <c r="C190" s="5" t="inlineStr">
        <is>
          <t>Ryzen 7 7800X3D</t>
        </is>
      </c>
      <c r="D190" s="5" t="inlineStr">
        <is>
          <t>SMART CUBE (WhatsApp)</t>
        </is>
      </c>
      <c r="E190" s="11" t="n">
        <v>5890</v>
      </c>
      <c r="F190" s="5" t="inlineStr">
        <is>
          <t>Bs</t>
        </is>
      </c>
      <c r="G190" s="5" t="inlineStr">
        <is>
          <t>nuevo sellado, facturado; llevando 2 rebajan Bs 50 c/u (Bs 5.840)</t>
        </is>
      </c>
      <c r="H190" s="2" t="n"/>
    </row>
    <row r="191">
      <c r="A191" s="15" t="n">
        <v>46310</v>
      </c>
      <c r="B191" s="5" t="inlineStr">
        <is>
          <t>Tienda</t>
        </is>
      </c>
      <c r="C191" s="5" t="inlineStr">
        <is>
          <t>Intel Core i5-14400F</t>
        </is>
      </c>
      <c r="D191" s="5" t="inlineStr">
        <is>
          <t>SMART CUBE (WhatsApp)</t>
        </is>
      </c>
      <c r="E191" s="11" t="n">
        <v>3080</v>
      </c>
      <c r="F191" s="5" t="inlineStr">
        <is>
          <t>Bs</t>
        </is>
      </c>
      <c r="G191" s="5" t="inlineStr">
        <is>
          <t>nuevo sellado; llevando 2 rebajan Bs 50 c/u (Bs 3.030)</t>
        </is>
      </c>
      <c r="H191" s="2" t="n"/>
    </row>
    <row r="192">
      <c r="A192" s="15" t="n">
        <v>46310</v>
      </c>
      <c r="B192" s="5" t="inlineStr">
        <is>
          <t>Tienda</t>
        </is>
      </c>
      <c r="C192" s="5" t="inlineStr">
        <is>
          <t>RAM DDR5 16GB 6000 (Apacer NOX)</t>
        </is>
      </c>
      <c r="D192" s="5" t="inlineStr">
        <is>
          <t>SMART CUBE (WhatsApp)</t>
        </is>
      </c>
      <c r="E192" s="11" t="n">
        <v>3650</v>
      </c>
      <c r="F192" s="5" t="inlineStr">
        <is>
          <t>Bs</t>
        </is>
      </c>
      <c r="G192" s="5" t="inlineStr">
        <is>
          <t>nuevo (Apacer NOX DDR5 16GB 6000: otra marca y capacidad; solo referencia; no cuenta)</t>
        </is>
      </c>
      <c r="H192" s="2" t="n"/>
    </row>
    <row r="193">
      <c r="A193" s="15" t="n">
        <v>46310</v>
      </c>
      <c r="B193" s="5" t="inlineStr">
        <is>
          <t>Tienda</t>
        </is>
      </c>
      <c r="C193" s="5" t="inlineStr">
        <is>
          <t>RAM DDR5 16GB</t>
        </is>
      </c>
      <c r="D193" s="5" t="inlineStr">
        <is>
          <t>PC Factor (WhatsApp)</t>
        </is>
      </c>
      <c r="E193" s="11" t="n">
        <v>3792</v>
      </c>
      <c r="F193" s="5" t="inlineStr">
        <is>
          <t>Bs</t>
        </is>
      </c>
      <c r="G193" s="5" t="inlineStr">
        <is>
          <t>nuevo (USD 320 c/u a Bs 11,85; marca y velocidad por confirmar; solo referencia; no cuenta)</t>
        </is>
      </c>
      <c r="H193" s="2" t="n"/>
    </row>
    <row r="194">
      <c r="A194" s="15" t="n">
        <v>46310</v>
      </c>
      <c r="B194" s="5" t="inlineStr">
        <is>
          <t>Tienda</t>
        </is>
      </c>
      <c r="C194" s="5" t="inlineStr">
        <is>
          <t>Ryzen 5 7600</t>
        </is>
      </c>
      <c r="D194" s="5" t="inlineStr">
        <is>
          <t>OverCity (WhatsApp)</t>
        </is>
      </c>
      <c r="E194" s="11" t="n">
        <v>2800</v>
      </c>
      <c r="F194" s="5" t="inlineStr">
        <is>
          <t>Bs</t>
        </is>
      </c>
      <c r="G194" s="5" t="inlineStr">
        <is>
          <t>OEM</t>
        </is>
      </c>
      <c r="H194" s="2" t="n"/>
    </row>
    <row r="195">
      <c r="A195" s="15" t="n">
        <v>46310</v>
      </c>
      <c r="B195" s="5" t="inlineStr">
        <is>
          <t>Tienda</t>
        </is>
      </c>
      <c r="C195" s="5" t="inlineStr">
        <is>
          <t>Intel Core i5-12400F</t>
        </is>
      </c>
      <c r="D195" s="5" t="inlineStr">
        <is>
          <t>T&amp;T Todo en Tecnología (WhatsApp)</t>
        </is>
      </c>
      <c r="E195" s="11" t="n">
        <v>2260</v>
      </c>
      <c r="F195" s="5" t="inlineStr">
        <is>
          <t>Bs</t>
        </is>
      </c>
      <c r="G195" s="5" t="inlineStr">
        <is>
          <t>OEM con cooler Intel; Bs 20 menos c/u llevando 2</t>
        </is>
      </c>
      <c r="H195" s="2" t="n"/>
    </row>
    <row r="196">
      <c r="A196" s="15" t="n">
        <v>46310</v>
      </c>
      <c r="B196" s="5" t="inlineStr">
        <is>
          <t>Tienda</t>
        </is>
      </c>
      <c r="C196" s="5" t="inlineStr">
        <is>
          <t>Intel Core i5-14400F</t>
        </is>
      </c>
      <c r="D196" s="5" t="inlineStr">
        <is>
          <t>T&amp;T Todo en Tecnología (WhatsApp)</t>
        </is>
      </c>
      <c r="E196" s="11" t="n">
        <v>2750</v>
      </c>
      <c r="F196" s="5" t="inlineStr">
        <is>
          <t>Bs</t>
        </is>
      </c>
      <c r="G196" s="5" t="inlineStr">
        <is>
          <t>OEM con cooler Intel; Bs 20 menos c/u llevando 2</t>
        </is>
      </c>
      <c r="H196" s="2" t="n"/>
    </row>
    <row r="197">
      <c r="A197" s="15" t="n">
        <v>46310</v>
      </c>
      <c r="B197" s="5" t="inlineStr">
        <is>
          <t>Tienda</t>
        </is>
      </c>
      <c r="C197" s="5" t="inlineStr">
        <is>
          <t>Ryzen 7 7700X</t>
        </is>
      </c>
      <c r="D197" s="5" t="inlineStr">
        <is>
          <t>Geek Store Bolivia (WhatsApp)</t>
        </is>
      </c>
      <c r="E197" s="11" t="n">
        <v>3480</v>
      </c>
      <c r="F197" s="5" t="inlineStr">
        <is>
          <t>Bs</t>
        </is>
      </c>
      <c r="G197" s="5" t="inlineStr">
        <is>
          <t>sin confirmar si es sellado (se preguntó)</t>
        </is>
      </c>
      <c r="H197" s="2" t="n"/>
    </row>
    <row r="198">
      <c r="A198" s="15" t="n">
        <v>46310</v>
      </c>
      <c r="B198" s="5" t="inlineStr">
        <is>
          <t>Tienda</t>
        </is>
      </c>
      <c r="C198" s="5" t="inlineStr">
        <is>
          <t>Kingston Fury DDR5 16GB (1 módulo)</t>
        </is>
      </c>
      <c r="D198" s="5" t="inlineStr">
        <is>
          <t>Geek Store Bolivia (WhatsApp)</t>
        </is>
      </c>
      <c r="E198" s="11" t="n">
        <v>2900</v>
      </c>
      <c r="F198" s="5" t="inlineStr">
        <is>
          <t>Bs</t>
        </is>
      </c>
      <c r="G198" s="5" t="inlineStr">
        <is>
          <t>otra marca; velocidad por confirmar (no es la Corsair 32GB 2x16)</t>
        </is>
      </c>
      <c r="H198" s="2" t="n"/>
    </row>
    <row r="199">
      <c r="A199" s="15" t="n">
        <v>46310</v>
      </c>
      <c r="B199" s="5" t="inlineStr">
        <is>
          <t>Tienda</t>
        </is>
      </c>
      <c r="C199" s="5" t="inlineStr">
        <is>
          <t>SSD NVMe 1TB</t>
        </is>
      </c>
      <c r="D199" s="5" t="inlineStr">
        <is>
          <t>Shopping PC (catálogo PDF)</t>
        </is>
      </c>
      <c r="E199" s="11" t="n">
        <v>1754</v>
      </c>
      <c r="F199" s="5" t="inlineStr">
        <is>
          <t>Bs</t>
        </is>
      </c>
      <c r="G199" s="5" t="inlineStr">
        <is>
          <t>nuevo (Kingston NV3 1TB; lista mayorista USD 148 del 12/10, sin factura; 146 en stock)</t>
        </is>
      </c>
      <c r="H199" s="2" t="n"/>
    </row>
    <row r="200">
      <c r="A200" s="15" t="n">
        <v>46310</v>
      </c>
      <c r="B200" s="5" t="inlineStr">
        <is>
          <t>Tienda</t>
        </is>
      </c>
      <c r="C200" s="5" t="inlineStr">
        <is>
          <t>Intel Core i5-14400F</t>
        </is>
      </c>
      <c r="D200" s="5" t="inlineStr">
        <is>
          <t>Shopping PC (catálogo PDF)</t>
        </is>
      </c>
      <c r="E200" s="11" t="n">
        <v>2785</v>
      </c>
      <c r="F200" s="5" t="inlineStr">
        <is>
          <t>Bs</t>
        </is>
      </c>
      <c r="G200" s="5" t="inlineStr">
        <is>
          <t>nuevo en caja (es el i5-14400 BOX con gráficos, no el F; lista mayorista USD 235, sin factura; solo referencia; no cuenta)</t>
        </is>
      </c>
      <c r="H200" s="2" t="n"/>
    </row>
    <row r="201">
      <c r="A201" s="15" t="n">
        <v>46310</v>
      </c>
      <c r="B201" s="5" t="inlineStr">
        <is>
          <t>Tienda</t>
        </is>
      </c>
      <c r="C201" s="5" t="inlineStr">
        <is>
          <t>RAM DDR4 16GB (2x8) 3200</t>
        </is>
      </c>
      <c r="D201" s="5" t="inlineStr">
        <is>
          <t>Shopping PC (catálogo PDF)</t>
        </is>
      </c>
      <c r="E201" s="11" t="n">
        <v>1778</v>
      </c>
      <c r="F201" s="5" t="inlineStr">
        <is>
          <t>Bs</t>
        </is>
      </c>
      <c r="G201" s="5" t="inlineStr">
        <is>
          <t>nuevo (Kingston 16GB DDR4 3200, un módulo, no kit 2x8; lista mayorista USD 150; no cuenta)</t>
        </is>
      </c>
      <c r="H201" s="2" t="n"/>
    </row>
    <row r="202">
      <c r="A202" s="15" t="n">
        <v>46310</v>
      </c>
      <c r="B202" s="5" t="inlineStr">
        <is>
          <t>Tienda</t>
        </is>
      </c>
      <c r="C202" s="5" t="inlineStr">
        <is>
          <t>RAM DDR4 16GB (2x8) 3200</t>
        </is>
      </c>
      <c r="D202" s="5" t="inlineStr">
        <is>
          <t>Shopping PC (catálogo PDF)</t>
        </is>
      </c>
      <c r="E202" s="11" t="n">
        <v>1600</v>
      </c>
      <c r="F202" s="5" t="inlineStr">
        <is>
          <t>Bs</t>
        </is>
      </c>
      <c r="G202" s="5" t="inlineStr">
        <is>
          <t>nuevo (Musking Redline 16GB DDR4 3200, un módulo, no kit 2x8; lista mayorista USD 135; no cuenta)</t>
        </is>
      </c>
      <c r="H202" s="2" t="n"/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  <hyperlink xmlns:r="http://schemas.openxmlformats.org/officeDocument/2006/relationships" ref="H83" r:id="rId82"/>
    <hyperlink xmlns:r="http://schemas.openxmlformats.org/officeDocument/2006/relationships" ref="H84" r:id="rId83"/>
    <hyperlink xmlns:r="http://schemas.openxmlformats.org/officeDocument/2006/relationships" ref="H85" r:id="rId84"/>
    <hyperlink xmlns:r="http://schemas.openxmlformats.org/officeDocument/2006/relationships" ref="H86" r:id="rId85"/>
    <hyperlink xmlns:r="http://schemas.openxmlformats.org/officeDocument/2006/relationships" ref="H87" r:id="rId86"/>
    <hyperlink xmlns:r="http://schemas.openxmlformats.org/officeDocument/2006/relationships" ref="H88" r:id="rId87"/>
    <hyperlink xmlns:r="http://schemas.openxmlformats.org/officeDocument/2006/relationships" ref="H89" r:id="rId88"/>
    <hyperlink xmlns:r="http://schemas.openxmlformats.org/officeDocument/2006/relationships" ref="H90" r:id="rId89"/>
    <hyperlink xmlns:r="http://schemas.openxmlformats.org/officeDocument/2006/relationships" ref="H91" r:id="rId90"/>
    <hyperlink xmlns:r="http://schemas.openxmlformats.org/officeDocument/2006/relationships" ref="H92" r:id="rId91"/>
    <hyperlink xmlns:r="http://schemas.openxmlformats.org/officeDocument/2006/relationships" ref="H93" r:id="rId92"/>
    <hyperlink xmlns:r="http://schemas.openxmlformats.org/officeDocument/2006/relationships" ref="H94" r:id="rId93"/>
    <hyperlink xmlns:r="http://schemas.openxmlformats.org/officeDocument/2006/relationships" ref="H95" r:id="rId94"/>
    <hyperlink xmlns:r="http://schemas.openxmlformats.org/officeDocument/2006/relationships" ref="H96" r:id="rId95"/>
    <hyperlink xmlns:r="http://schemas.openxmlformats.org/officeDocument/2006/relationships" ref="H97" r:id="rId96"/>
    <hyperlink xmlns:r="http://schemas.openxmlformats.org/officeDocument/2006/relationships" ref="H98" r:id="rId97"/>
    <hyperlink xmlns:r="http://schemas.openxmlformats.org/officeDocument/2006/relationships" ref="H99" r:id="rId98"/>
    <hyperlink xmlns:r="http://schemas.openxmlformats.org/officeDocument/2006/relationships" ref="H100" r:id="rId99"/>
    <hyperlink xmlns:r="http://schemas.openxmlformats.org/officeDocument/2006/relationships" ref="H101" r:id="rId100"/>
    <hyperlink xmlns:r="http://schemas.openxmlformats.org/officeDocument/2006/relationships" ref="H102" r:id="rId101"/>
    <hyperlink xmlns:r="http://schemas.openxmlformats.org/officeDocument/2006/relationships" ref="H103" r:id="rId102"/>
    <hyperlink xmlns:r="http://schemas.openxmlformats.org/officeDocument/2006/relationships" ref="H104" r:id="rId103"/>
    <hyperlink xmlns:r="http://schemas.openxmlformats.org/officeDocument/2006/relationships" ref="H105" r:id="rId104"/>
    <hyperlink xmlns:r="http://schemas.openxmlformats.org/officeDocument/2006/relationships" ref="H106" r:id="rId105"/>
    <hyperlink xmlns:r="http://schemas.openxmlformats.org/officeDocument/2006/relationships" ref="H107" r:id="rId106"/>
    <hyperlink xmlns:r="http://schemas.openxmlformats.org/officeDocument/2006/relationships" ref="H108" r:id="rId107"/>
    <hyperlink xmlns:r="http://schemas.openxmlformats.org/officeDocument/2006/relationships" ref="H109" r:id="rId108"/>
    <hyperlink xmlns:r="http://schemas.openxmlformats.org/officeDocument/2006/relationships" ref="H110" r:id="rId109"/>
    <hyperlink xmlns:r="http://schemas.openxmlformats.org/officeDocument/2006/relationships" ref="H111" r:id="rId110"/>
    <hyperlink xmlns:r="http://schemas.openxmlformats.org/officeDocument/2006/relationships" ref="H112" r:id="rId111"/>
    <hyperlink xmlns:r="http://schemas.openxmlformats.org/officeDocument/2006/relationships" ref="H113" r:id="rId112"/>
    <hyperlink xmlns:r="http://schemas.openxmlformats.org/officeDocument/2006/relationships" ref="H114" r:id="rId113"/>
    <hyperlink xmlns:r="http://schemas.openxmlformats.org/officeDocument/2006/relationships" ref="H115" r:id="rId114"/>
    <hyperlink xmlns:r="http://schemas.openxmlformats.org/officeDocument/2006/relationships" ref="H116" r:id="rId115"/>
    <hyperlink xmlns:r="http://schemas.openxmlformats.org/officeDocument/2006/relationships" ref="H117" r:id="rId116"/>
    <hyperlink xmlns:r="http://schemas.openxmlformats.org/officeDocument/2006/relationships" ref="H118" r:id="rId117"/>
    <hyperlink xmlns:r="http://schemas.openxmlformats.org/officeDocument/2006/relationships" ref="H119" r:id="rId118"/>
    <hyperlink xmlns:r="http://schemas.openxmlformats.org/officeDocument/2006/relationships" ref="H120" r:id="rId119"/>
    <hyperlink xmlns:r="http://schemas.openxmlformats.org/officeDocument/2006/relationships" ref="H121" r:id="rId120"/>
    <hyperlink xmlns:r="http://schemas.openxmlformats.org/officeDocument/2006/relationships" ref="H122" r:id="rId121"/>
    <hyperlink xmlns:r="http://schemas.openxmlformats.org/officeDocument/2006/relationships" ref="H123" r:id="rId122"/>
    <hyperlink xmlns:r="http://schemas.openxmlformats.org/officeDocument/2006/relationships" ref="H124" r:id="rId123"/>
    <hyperlink xmlns:r="http://schemas.openxmlformats.org/officeDocument/2006/relationships" ref="H125" r:id="rId124"/>
    <hyperlink xmlns:r="http://schemas.openxmlformats.org/officeDocument/2006/relationships" ref="H126" r:id="rId125"/>
    <hyperlink xmlns:r="http://schemas.openxmlformats.org/officeDocument/2006/relationships" ref="H127" r:id="rId126"/>
    <hyperlink xmlns:r="http://schemas.openxmlformats.org/officeDocument/2006/relationships" ref="H128" r:id="rId127"/>
    <hyperlink xmlns:r="http://schemas.openxmlformats.org/officeDocument/2006/relationships" ref="H129" r:id="rId128"/>
    <hyperlink xmlns:r="http://schemas.openxmlformats.org/officeDocument/2006/relationships" ref="H130" r:id="rId129"/>
    <hyperlink xmlns:r="http://schemas.openxmlformats.org/officeDocument/2006/relationships" ref="H131" r:id="rId130"/>
    <hyperlink xmlns:r="http://schemas.openxmlformats.org/officeDocument/2006/relationships" ref="H132" r:id="rId131"/>
    <hyperlink xmlns:r="http://schemas.openxmlformats.org/officeDocument/2006/relationships" ref="H133" r:id="rId132"/>
    <hyperlink xmlns:r="http://schemas.openxmlformats.org/officeDocument/2006/relationships" ref="H134" r:id="rId133"/>
    <hyperlink xmlns:r="http://schemas.openxmlformats.org/officeDocument/2006/relationships" ref="H135" r:id="rId134"/>
    <hyperlink xmlns:r="http://schemas.openxmlformats.org/officeDocument/2006/relationships" ref="H136" r:id="rId135"/>
    <hyperlink xmlns:r="http://schemas.openxmlformats.org/officeDocument/2006/relationships" ref="H137" r:id="rId136"/>
    <hyperlink xmlns:r="http://schemas.openxmlformats.org/officeDocument/2006/relationships" ref="H138" r:id="rId137"/>
    <hyperlink xmlns:r="http://schemas.openxmlformats.org/officeDocument/2006/relationships" ref="H139" r:id="rId138"/>
    <hyperlink xmlns:r="http://schemas.openxmlformats.org/officeDocument/2006/relationships" ref="H140" r:id="rId139"/>
    <hyperlink xmlns:r="http://schemas.openxmlformats.org/officeDocument/2006/relationships" ref="H141" r:id="rId140"/>
    <hyperlink xmlns:r="http://schemas.openxmlformats.org/officeDocument/2006/relationships" ref="H142" r:id="rId141"/>
    <hyperlink xmlns:r="http://schemas.openxmlformats.org/officeDocument/2006/relationships" ref="H143" r:id="rId142"/>
    <hyperlink xmlns:r="http://schemas.openxmlformats.org/officeDocument/2006/relationships" ref="H144" r:id="rId143"/>
    <hyperlink xmlns:r="http://schemas.openxmlformats.org/officeDocument/2006/relationships" ref="H145" r:id="rId144"/>
    <hyperlink xmlns:r="http://schemas.openxmlformats.org/officeDocument/2006/relationships" ref="H146" r:id="rId145"/>
    <hyperlink xmlns:r="http://schemas.openxmlformats.org/officeDocument/2006/relationships" ref="H147" r:id="rId146"/>
    <hyperlink xmlns:r="http://schemas.openxmlformats.org/officeDocument/2006/relationships" ref="H148" r:id="rId147"/>
    <hyperlink xmlns:r="http://schemas.openxmlformats.org/officeDocument/2006/relationships" ref="H149" r:id="rId148"/>
    <hyperlink xmlns:r="http://schemas.openxmlformats.org/officeDocument/2006/relationships" ref="H150" r:id="rId149"/>
    <hyperlink xmlns:r="http://schemas.openxmlformats.org/officeDocument/2006/relationships" ref="H151" r:id="rId150"/>
    <hyperlink xmlns:r="http://schemas.openxmlformats.org/officeDocument/2006/relationships" ref="H152" r:id="rId151"/>
    <hyperlink xmlns:r="http://schemas.openxmlformats.org/officeDocument/2006/relationships" ref="H153" r:id="rId152"/>
    <hyperlink xmlns:r="http://schemas.openxmlformats.org/officeDocument/2006/relationships" ref="H154" r:id="rId153"/>
    <hyperlink xmlns:r="http://schemas.openxmlformats.org/officeDocument/2006/relationships" ref="H155" r:id="rId154"/>
    <hyperlink xmlns:r="http://schemas.openxmlformats.org/officeDocument/2006/relationships" ref="H156" r:id="rId155"/>
    <hyperlink xmlns:r="http://schemas.openxmlformats.org/officeDocument/2006/relationships" ref="H157" r:id="rId156"/>
    <hyperlink xmlns:r="http://schemas.openxmlformats.org/officeDocument/2006/relationships" ref="H158" r:id="rId157"/>
    <hyperlink xmlns:r="http://schemas.openxmlformats.org/officeDocument/2006/relationships" ref="H159" r:id="rId158"/>
    <hyperlink xmlns:r="http://schemas.openxmlformats.org/officeDocument/2006/relationships" ref="H160" r:id="rId159"/>
    <hyperlink xmlns:r="http://schemas.openxmlformats.org/officeDocument/2006/relationships" ref="H161" r:id="rId160"/>
    <hyperlink xmlns:r="http://schemas.openxmlformats.org/officeDocument/2006/relationships" ref="H162" r:id="rId161"/>
    <hyperlink xmlns:r="http://schemas.openxmlformats.org/officeDocument/2006/relationships" ref="H163" r:id="rId162"/>
    <hyperlink xmlns:r="http://schemas.openxmlformats.org/officeDocument/2006/relationships" ref="H164" r:id="rId163"/>
    <hyperlink xmlns:r="http://schemas.openxmlformats.org/officeDocument/2006/relationships" ref="H165" r:id="rId164"/>
    <hyperlink xmlns:r="http://schemas.openxmlformats.org/officeDocument/2006/relationships" ref="H166" r:id="rId165"/>
    <hyperlink xmlns:r="http://schemas.openxmlformats.org/officeDocument/2006/relationships" ref="H167" r:id="rId166"/>
    <hyperlink xmlns:r="http://schemas.openxmlformats.org/officeDocument/2006/relationships" ref="H168" r:id="rId167"/>
    <hyperlink xmlns:r="http://schemas.openxmlformats.org/officeDocument/2006/relationships" ref="H169" r:id="rId168"/>
    <hyperlink xmlns:r="http://schemas.openxmlformats.org/officeDocument/2006/relationships" ref="H170" r:id="rId169"/>
    <hyperlink xmlns:r="http://schemas.openxmlformats.org/officeDocument/2006/relationships" ref="H171" r:id="rId170"/>
    <hyperlink xmlns:r="http://schemas.openxmlformats.org/officeDocument/2006/relationships" ref="H172" r:id="rId171"/>
    <hyperlink xmlns:r="http://schemas.openxmlformats.org/officeDocument/2006/relationships" ref="H173" r:id="rId172"/>
    <hyperlink xmlns:r="http://schemas.openxmlformats.org/officeDocument/2006/relationships" ref="H174" r:id="rId173"/>
    <hyperlink xmlns:r="http://schemas.openxmlformats.org/officeDocument/2006/relationships" ref="H175" r:id="rId174"/>
    <hyperlink xmlns:r="http://schemas.openxmlformats.org/officeDocument/2006/relationships" ref="H176" r:id="rId175"/>
    <hyperlink xmlns:r="http://schemas.openxmlformats.org/officeDocument/2006/relationships" ref="H177" r:id="rId176"/>
    <hyperlink xmlns:r="http://schemas.openxmlformats.org/officeDocument/2006/relationships" ref="H178" r:id="rId177"/>
    <hyperlink xmlns:r="http://schemas.openxmlformats.org/officeDocument/2006/relationships" ref="H179" r:id="rId178"/>
    <hyperlink xmlns:r="http://schemas.openxmlformats.org/officeDocument/2006/relationships" ref="H180" r:id="rId179"/>
    <hyperlink xmlns:r="http://schemas.openxmlformats.org/officeDocument/2006/relationships" ref="H185" r:id="rId180"/>
    <hyperlink xmlns:r="http://schemas.openxmlformats.org/officeDocument/2006/relationships" ref="H187" r:id="rId181"/>
    <hyperlink xmlns:r="http://schemas.openxmlformats.org/officeDocument/2006/relationships" ref="H188" r:id="rId182"/>
  </hyperlinks>
  <pageMargins left="0.75" right="0.75" top="1" bottom="1" header="0.5" footer="0.5"/>
  <tableParts count="1">
    <tablePart xmlns:r="http://schemas.openxmlformats.org/officeDocument/2006/relationships" r:id="rId18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2026-10-16T02:05:45Z</dcterms:created>
  <dcterms:modified xsi:type="dcterms:W3CDTF">2026-10-16T02:05:45Z</dcterms:modified>
</cp:coreProperties>
</file>