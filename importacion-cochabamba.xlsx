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y" sheetId="1" state="visible" r:id="rId1"/>
    <sheet name="Historial" sheetId="2" state="visible" r:id="rId2"/>
    <sheet name="Supuestos" sheetId="3" state="visible" r:id="rId3"/>
    <sheet name="Dólar" sheetId="4" state="visible" r:id="rId4"/>
    <sheet name="Movimi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%"/>
    <numFmt numFmtId="166" formatCode="yyyy-mm-dd h:mm:ss"/>
    <numFmt numFmtId="167" formatCode="dd/mm/yyyy"/>
    <numFmt numFmtId="168" formatCode="0.000"/>
    <numFmt numFmtId="169" formatCode="#,##0;-#,##0;-"/>
    <numFmt numFmtId="170" formatCode="+#,##0.00;-#,##0.00;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color rgb="000000FF"/>
    </font>
    <font>
      <name val="Arial"/>
      <i val="1"/>
      <color rgb="005B6873"/>
    </font>
    <font>
      <name val="Arial"/>
      <b val="1"/>
      <color rgb="00FFFFFF"/>
    </font>
    <font>
      <name val="Arial"/>
      <b val="1"/>
      <sz val="14"/>
    </font>
    <font>
      <name val="Arial"/>
      <color rgb="00C9701C"/>
      <u val="single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5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0" borderId="0" pivotButton="0" quotePrefix="0" xfId="0"/>
    <xf numFmtId="4" fontId="3" fillId="0" borderId="0" pivotButton="0" quotePrefix="0" xfId="0"/>
    <xf numFmtId="3" fontId="3" fillId="0" borderId="0" pivotButton="0" quotePrefix="0" xfId="0"/>
    <xf numFmtId="2" fontId="2" fillId="0" borderId="0" pivotButton="0" quotePrefix="0" xfId="0"/>
    <xf numFmtId="168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169" fontId="2" fillId="0" borderId="0" pivotButton="0" quotePrefix="0" xfId="0"/>
    <xf numFmtId="9" fontId="2" fillId="0" borderId="0" pivotButton="0" quotePrefix="0" xfId="0"/>
    <xf numFmtId="167" fontId="2" fillId="0" borderId="0" pivotButton="0" quotePrefix="0" xfId="0"/>
    <xf numFmtId="170" fontId="2" fillId="0" borderId="0" pivotButton="0" quotePrefix="0" xfId="0"/>
    <xf numFmtId="0" fontId="1" fillId="0" borderId="0" pivotButton="0" quotePrefix="0" xfId="0"/>
    <xf numFmtId="1" fontId="3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5" fontId="3" fillId="2" borderId="0" pivotButton="0" quotePrefix="0" xfId="0"/>
    <xf numFmtId="9" fontId="3" fillId="0" borderId="0" pivotButton="0" quotePrefix="0" xfId="0"/>
    <xf numFmtId="167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DF1E6"/>
        </patternFill>
      </fill>
    </dxf>
    <dxf>
      <fill>
        <patternFill patternType="solid">
          <fgColor rgb="00F6EBCB"/>
        </patternFill>
      </fill>
    </dxf>
    <dxf>
      <fill>
        <patternFill patternType="solid">
          <fgColor rgb="00F6DE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Agente</author>
  </authors>
  <commentList>
    <comment ref="B10" authorId="0" shapeId="0">
      <text>
        <t>Los dos couriers ya incluyen la aduana (Santi, 13/10): queda en 0. Probar aquí solo si algún envío la cobra aparte, por ejemplo 0,1 = 10 %.</t>
      </text>
    </comment>
    <comment ref="B11" authorId="0" shapeId="0">
      <text>
        <t>Último 'usado en cálculos' de la hoja Dólar.</t>
      </text>
    </comment>
  </commentList>
</comments>
</file>

<file path=xl/tables/table1.xml><?xml version="1.0" encoding="utf-8"?>
<table xmlns="http://schemas.openxmlformats.org/spreadsheetml/2006/main" id="1" name="Hoy" displayName="Hoy" ref="A4:Q20" headerRowCount="1">
  <autoFilter ref="A4:Q20"/>
  <tableColumns count="17">
    <tableColumn id="1" name="Producto"/>
    <tableColumn id="2" name="Tipo"/>
    <tableColumn id="3" name="Link del producto"/>
    <tableColumn id="4" name="eBay nuevo USD"/>
    <tableColumn id="5" name="Envío EE.UU. USD"/>
    <tableColumn id="6" name="eBay usado USD"/>
    <tableColumn id="7" name="Marketplace Bs"/>
    <tableColumn id="8" name="Tiendas Bs"/>
    <tableColumn id="9" name="Dólar BCB"/>
    <tableColumn id="10" name="Dólar paralelo"/>
    <tableColumn id="11" name="Peso g"/>
    <tableColumn id="12" name="Courier /u USD"/>
    <tableColumn id="13" name="Costo puesto Bs"/>
    <tableColumn id="14" name="Mejor local Bs"/>
    <tableColumn id="15" name="Ganancia /u Bs"/>
    <tableColumn id="16" name="Margen"/>
    <tableColumn id="17" name="Estado"/>
  </tableColumns>
  <tableStyleInfo name="TableStyleLight1" showRowStripes="1"/>
</table>
</file>

<file path=xl/tables/table2.xml><?xml version="1.0" encoding="utf-8"?>
<table xmlns="http://schemas.openxmlformats.org/spreadsheetml/2006/main" id="2" name="Historial" displayName="Historial" ref="A1:O298" headerRowCount="1">
  <autoFilter ref="A1:O298"/>
  <tableColumns count="15">
    <tableColumn id="1" name="Fecha"/>
    <tableColumn id="2" name="Producto"/>
    <tableColumn id="3" name="Tipo"/>
    <tableColumn id="4" name="eBay nuevo USD"/>
    <tableColumn id="5" name="eBay usado USD"/>
    <tableColumn id="6" name="Marketplace Bs"/>
    <tableColumn id="7" name="Tiendas Bs"/>
    <tableColumn id="8" name="Dólar BCB"/>
    <tableColumn id="9" name="Dólar paralelo"/>
    <tableColumn id="10" name="Link del producto"/>
    <tableColumn id="11" name="Fecha anterior"/>
    <tableColumn id="12" name="Δ eBay nuevo"/>
    <tableColumn id="13" name="Δ eBay usado"/>
    <tableColumn id="14" name="Δ Marketplace"/>
    <tableColumn id="15" name="Δ Tiendas"/>
  </tableColumns>
  <tableStyleInfo name="TableStyleLight1" showRowStripes="1"/>
</table>
</file>

<file path=xl/tables/table3.xml><?xml version="1.0" encoding="utf-8"?>
<table xmlns="http://schemas.openxmlformats.org/spreadsheetml/2006/main" id="3" name="Movimientos" displayName="Movimientos" ref="A1:H690" headerRowCount="1">
  <autoFilter ref="A1:H690"/>
  <tableColumns count="8">
    <tableColumn id="1" name="Fecha"/>
    <tableColumn id="2" name="Origen"/>
    <tableColumn id="3" name="Producto"/>
    <tableColumn id="4" name="Condición / vendedor"/>
    <tableColumn id="5" name="Precio"/>
    <tableColumn id="6" name="Moneda"/>
    <tableColumn id="7" name="Detalle"/>
    <tableColumn id="8" name="Link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593610877" TargetMode="External" Id="rId1" /><Relationship Type="http://schemas.openxmlformats.org/officeDocument/2006/relationships/hyperlink" Target="https://www.ebay.com/itm/407316678214" TargetMode="External" Id="rId2" /><Relationship Type="http://schemas.openxmlformats.org/officeDocument/2006/relationships/hyperlink" Target="https://www.ebay.com/itm/117481448193" TargetMode="External" Id="rId3" /><Relationship Type="http://schemas.openxmlformats.org/officeDocument/2006/relationships/hyperlink" Target="https://www.ebay.com/itm/187668752673" TargetMode="External" Id="rId4" /><Relationship Type="http://schemas.openxmlformats.org/officeDocument/2006/relationships/hyperlink" Target="https://www.ebay.com/itm/389945918228" TargetMode="External" Id="rId5" /><Relationship Type="http://schemas.openxmlformats.org/officeDocument/2006/relationships/hyperlink" Target="https://www.ebay.com/itm/128148777373" TargetMode="External" Id="rId6" /><Relationship Type="http://schemas.openxmlformats.org/officeDocument/2006/relationships/hyperlink" Target="https://www.ebay.com/itm/267799061448" TargetMode="External" Id="rId7" /><Relationship Type="http://schemas.openxmlformats.org/officeDocument/2006/relationships/hyperlink" Target="https://www.ebay.com/itm/147595555861" TargetMode="External" Id="rId8" /><Relationship Type="http://schemas.openxmlformats.org/officeDocument/2006/relationships/hyperlink" Target="https://www.ebay.com/itm/305729926018" TargetMode="External" Id="rId9" /><Relationship Type="http://schemas.openxmlformats.org/officeDocument/2006/relationships/hyperlink" Target="https://www.ebay.com/itm/327408972899" TargetMode="External" Id="rId10" /><Relationship Type="http://schemas.openxmlformats.org/officeDocument/2006/relationships/hyperlink" Target="https://www.ebay.com/itm/278289521729" TargetMode="External" Id="rId11" /><Relationship Type="http://schemas.openxmlformats.org/officeDocument/2006/relationships/hyperlink" Target="https://www.ebay.com/itm/314016350070" TargetMode="External" Id="rId12" /><Relationship Type="http://schemas.openxmlformats.org/officeDocument/2006/relationships/hyperlink" Target="https://www.ebay.com/itm/147657619057" TargetMode="External" Id="rId13" /><Relationship Type="http://schemas.openxmlformats.org/officeDocument/2006/relationships/hyperlink" Target="https://www.ebay.com/itm/389732753480" TargetMode="External" Id="rId14" /><Relationship Type="http://schemas.openxmlformats.org/officeDocument/2006/relationships/hyperlink" Target="https://www.ebay.com/itm/278191566067" TargetMode="External" Id="rId15" /><Relationship Type="http://schemas.openxmlformats.org/officeDocument/2006/relationships/hyperlink" Target="https://www.ebay.com/itm/178171158022" TargetMode="External" Id="rId16" /><Relationship Type="http://schemas.openxmlformats.org/officeDocument/2006/relationships/table" Target="/xl/tables/table1.xml" Id="rId1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ebay.com/itm/377593610877" TargetMode="External" Id="rId1" /><Relationship Type="http://schemas.openxmlformats.org/officeDocument/2006/relationships/hyperlink" Target="https://www.ebay.com/itm/314016350070" TargetMode="External" Id="rId2" /><Relationship Type="http://schemas.openxmlformats.org/officeDocument/2006/relationships/hyperlink" Target="https://www.ebay.com/itm/305729926018" TargetMode="External" Id="rId3" /><Relationship Type="http://schemas.openxmlformats.org/officeDocument/2006/relationships/hyperlink" Target="https://www.ebay.com/itm/187668752673" TargetMode="External" Id="rId4" /><Relationship Type="http://schemas.openxmlformats.org/officeDocument/2006/relationships/hyperlink" Target="https://www.ebay.com/itm/267799061448" TargetMode="External" Id="rId5" /><Relationship Type="http://schemas.openxmlformats.org/officeDocument/2006/relationships/hyperlink" Target="https://www.ebay.com/itm/128148777373" TargetMode="External" Id="rId6" /><Relationship Type="http://schemas.openxmlformats.org/officeDocument/2006/relationships/hyperlink" Target="https://www.ebay.com/itm/178171158022" TargetMode="External" Id="rId7" /><Relationship Type="http://schemas.openxmlformats.org/officeDocument/2006/relationships/hyperlink" Target="https://www.ebay.com/itm/389732753480" TargetMode="External" Id="rId8" /><Relationship Type="http://schemas.openxmlformats.org/officeDocument/2006/relationships/hyperlink" Target="https://www.ebay.com/itm/147657619057" TargetMode="External" Id="rId9" /><Relationship Type="http://schemas.openxmlformats.org/officeDocument/2006/relationships/hyperlink" Target="https://www.ebay.com/itm/389945918228" TargetMode="External" Id="rId10" /><Relationship Type="http://schemas.openxmlformats.org/officeDocument/2006/relationships/hyperlink" Target="https://www.ebay.com/itm/117481448193" TargetMode="External" Id="rId11" /><Relationship Type="http://schemas.openxmlformats.org/officeDocument/2006/relationships/hyperlink" Target="https://www.ebay.com/itm/407316678214" TargetMode="External" Id="rId12" /><Relationship Type="http://schemas.openxmlformats.org/officeDocument/2006/relationships/hyperlink" Target="https://www.ebay.com/itm/147595555861" TargetMode="External" Id="rId13" /><Relationship Type="http://schemas.openxmlformats.org/officeDocument/2006/relationships/hyperlink" Target="https://www.ebay.com/itm/327408972899" TargetMode="External" Id="rId14" /><Relationship Type="http://schemas.openxmlformats.org/officeDocument/2006/relationships/hyperlink" Target="https://www.ebay.com/itm/227402767941" TargetMode="External" Id="rId15" /><Relationship Type="http://schemas.openxmlformats.org/officeDocument/2006/relationships/hyperlink" Target="https://www.ebay.com/itm/117348328956" TargetMode="External" Id="rId16" /><Relationship Type="http://schemas.openxmlformats.org/officeDocument/2006/relationships/hyperlink" Target="https://www.ebay.com/itm/305729926018" TargetMode="External" Id="rId17" /><Relationship Type="http://schemas.openxmlformats.org/officeDocument/2006/relationships/hyperlink" Target="https://www.ebay.com/itm/298166712086" TargetMode="External" Id="rId18" /><Relationship Type="http://schemas.openxmlformats.org/officeDocument/2006/relationships/hyperlink" Target="https://www.ebay.com/itm/267799061448" TargetMode="External" Id="rId19" /><Relationship Type="http://schemas.openxmlformats.org/officeDocument/2006/relationships/hyperlink" Target="https://www.ebay.com/itm/278191566067" TargetMode="External" Id="rId20" /><Relationship Type="http://schemas.openxmlformats.org/officeDocument/2006/relationships/hyperlink" Target="https://www.ebay.com/itm/128148777373" TargetMode="External" Id="rId21" /><Relationship Type="http://schemas.openxmlformats.org/officeDocument/2006/relationships/hyperlink" Target="https://www.ebay.com/itm/178171158022" TargetMode="External" Id="rId22" /><Relationship Type="http://schemas.openxmlformats.org/officeDocument/2006/relationships/hyperlink" Target="https://www.ebay.com/itm/389732753480" TargetMode="External" Id="rId23" /><Relationship Type="http://schemas.openxmlformats.org/officeDocument/2006/relationships/hyperlink" Target="https://www.ebay.com/itm/920083302531" TargetMode="External" Id="rId24" /><Relationship Type="http://schemas.openxmlformats.org/officeDocument/2006/relationships/hyperlink" Target="https://www.ebay.com/itm/389945918228" TargetMode="External" Id="rId25" /><Relationship Type="http://schemas.openxmlformats.org/officeDocument/2006/relationships/hyperlink" Target="https://www.ebay.com/itm/960126966354" TargetMode="External" Id="rId26" /><Relationship Type="http://schemas.openxmlformats.org/officeDocument/2006/relationships/hyperlink" Target="https://www.ebay.com/itm/117481448193" TargetMode="External" Id="rId27" /><Relationship Type="http://schemas.openxmlformats.org/officeDocument/2006/relationships/hyperlink" Target="https://www.ebay.com/itm/128145077866" TargetMode="External" Id="rId28" /><Relationship Type="http://schemas.openxmlformats.org/officeDocument/2006/relationships/hyperlink" Target="https://www.ebay.com/itm/147595555861" TargetMode="External" Id="rId29" /><Relationship Type="http://schemas.openxmlformats.org/officeDocument/2006/relationships/hyperlink" Target="https://www.ebay.com/itm/327408972899" TargetMode="External" Id="rId30" /><Relationship Type="http://schemas.openxmlformats.org/officeDocument/2006/relationships/hyperlink" Target="https://www.ebay.com/itm/377593610877" TargetMode="External" Id="rId31" /><Relationship Type="http://schemas.openxmlformats.org/officeDocument/2006/relationships/hyperlink" Target="https://www.ebay.com/itm/800821980146" TargetMode="External" Id="rId32" /><Relationship Type="http://schemas.openxmlformats.org/officeDocument/2006/relationships/hyperlink" Target="https://www.ebay.com/itm/305729926018" TargetMode="External" Id="rId33" /><Relationship Type="http://schemas.openxmlformats.org/officeDocument/2006/relationships/hyperlink" Target="https://www.ebay.com/itm/298166712086" TargetMode="External" Id="rId34" /><Relationship Type="http://schemas.openxmlformats.org/officeDocument/2006/relationships/hyperlink" Target="https://www.ebay.com/itm/267799061448" TargetMode="External" Id="rId35" /><Relationship Type="http://schemas.openxmlformats.org/officeDocument/2006/relationships/hyperlink" Target="https://www.ebay.com/itm/278191566067" TargetMode="External" Id="rId36" /><Relationship Type="http://schemas.openxmlformats.org/officeDocument/2006/relationships/hyperlink" Target="https://www.ebay.com/itm/336864548932" TargetMode="External" Id="rId37" /><Relationship Type="http://schemas.openxmlformats.org/officeDocument/2006/relationships/hyperlink" Target="https://www.ebay.com/itm/178171158022" TargetMode="External" Id="rId38" /><Relationship Type="http://schemas.openxmlformats.org/officeDocument/2006/relationships/hyperlink" Target="https://www.ebay.com/itm/389732753480" TargetMode="External" Id="rId39" /><Relationship Type="http://schemas.openxmlformats.org/officeDocument/2006/relationships/hyperlink" Target="https://www.ebay.com/itm/168233637342" TargetMode="External" Id="rId40" /><Relationship Type="http://schemas.openxmlformats.org/officeDocument/2006/relationships/hyperlink" Target="https://www.ebay.com/itm/389945918228" TargetMode="External" Id="rId41" /><Relationship Type="http://schemas.openxmlformats.org/officeDocument/2006/relationships/hyperlink" Target="https://www.ebay.com/itm/960123914116" TargetMode="External" Id="rId42" /><Relationship Type="http://schemas.openxmlformats.org/officeDocument/2006/relationships/hyperlink" Target="https://www.ebay.com/itm/117481448193" TargetMode="External" Id="rId43" /><Relationship Type="http://schemas.openxmlformats.org/officeDocument/2006/relationships/hyperlink" Target="https://www.ebay.com/itm/198749932768" TargetMode="External" Id="rId44" /><Relationship Type="http://schemas.openxmlformats.org/officeDocument/2006/relationships/hyperlink" Target="https://www.ebay.com/itm/147595569594" TargetMode="External" Id="rId45" /><Relationship Type="http://schemas.openxmlformats.org/officeDocument/2006/relationships/hyperlink" Target="https://www.ebay.com/itm/327408972899" TargetMode="External" Id="rId46" /><Relationship Type="http://schemas.openxmlformats.org/officeDocument/2006/relationships/hyperlink" Target="https://www.ebay.com/itm/377593610877" TargetMode="External" Id="rId47" /><Relationship Type="http://schemas.openxmlformats.org/officeDocument/2006/relationships/hyperlink" Target="https://www.ebay.com/itm/800821980146" TargetMode="External" Id="rId48" /><Relationship Type="http://schemas.openxmlformats.org/officeDocument/2006/relationships/hyperlink" Target="https://www.ebay.com/itm/305729926018" TargetMode="External" Id="rId49" /><Relationship Type="http://schemas.openxmlformats.org/officeDocument/2006/relationships/hyperlink" Target="https://www.ebay.com/itm/298166712086" TargetMode="External" Id="rId50" /><Relationship Type="http://schemas.openxmlformats.org/officeDocument/2006/relationships/hyperlink" Target="https://www.ebay.com/itm/267799061448" TargetMode="External" Id="rId51" /><Relationship Type="http://schemas.openxmlformats.org/officeDocument/2006/relationships/hyperlink" Target="https://www.ebay.com/itm/820281781602" TargetMode="External" Id="rId52" /><Relationship Type="http://schemas.openxmlformats.org/officeDocument/2006/relationships/hyperlink" Target="https://www.ebay.com/itm/336864548932" TargetMode="External" Id="rId53" /><Relationship Type="http://schemas.openxmlformats.org/officeDocument/2006/relationships/hyperlink" Target="https://www.ebay.com/itm/178171158022" TargetMode="External" Id="rId54" /><Relationship Type="http://schemas.openxmlformats.org/officeDocument/2006/relationships/hyperlink" Target="https://www.ebay.com/itm/186930960267" TargetMode="External" Id="rId55" /><Relationship Type="http://schemas.openxmlformats.org/officeDocument/2006/relationships/hyperlink" Target="https://www.ebay.com/itm/157424692080" TargetMode="External" Id="rId56" /><Relationship Type="http://schemas.openxmlformats.org/officeDocument/2006/relationships/hyperlink" Target="https://www.ebay.com/itm/389945918228" TargetMode="External" Id="rId57" /><Relationship Type="http://schemas.openxmlformats.org/officeDocument/2006/relationships/hyperlink" Target="https://www.ebay.com/itm/318668183718" TargetMode="External" Id="rId58" /><Relationship Type="http://schemas.openxmlformats.org/officeDocument/2006/relationships/hyperlink" Target="https://www.ebay.com/itm/117481448193" TargetMode="External" Id="rId59" /><Relationship Type="http://schemas.openxmlformats.org/officeDocument/2006/relationships/hyperlink" Target="https://www.ebay.com/itm/128145077866" TargetMode="External" Id="rId60" /><Relationship Type="http://schemas.openxmlformats.org/officeDocument/2006/relationships/hyperlink" Target="https://www.ebay.com/itm/267823787358" TargetMode="External" Id="rId61" /><Relationship Type="http://schemas.openxmlformats.org/officeDocument/2006/relationships/hyperlink" Target="https://www.ebay.com/itm/327408972899" TargetMode="External" Id="rId62" /><Relationship Type="http://schemas.openxmlformats.org/officeDocument/2006/relationships/hyperlink" Target="https://www.ebay.com/itm/377593610877" TargetMode="External" Id="rId63" /><Relationship Type="http://schemas.openxmlformats.org/officeDocument/2006/relationships/hyperlink" Target="https://www.ebay.com/itm/800821980146" TargetMode="External" Id="rId64" /><Relationship Type="http://schemas.openxmlformats.org/officeDocument/2006/relationships/hyperlink" Target="https://www.ebay.com/itm/305729926018" TargetMode="External" Id="rId65" /><Relationship Type="http://schemas.openxmlformats.org/officeDocument/2006/relationships/hyperlink" Target="https://www.ebay.com/itm/187668752673" TargetMode="External" Id="rId66" /><Relationship Type="http://schemas.openxmlformats.org/officeDocument/2006/relationships/hyperlink" Target="https://www.ebay.com/itm/267799061448" TargetMode="External" Id="rId67" /><Relationship Type="http://schemas.openxmlformats.org/officeDocument/2006/relationships/hyperlink" Target="https://www.ebay.com/itm/278191566067" TargetMode="External" Id="rId68" /><Relationship Type="http://schemas.openxmlformats.org/officeDocument/2006/relationships/hyperlink" Target="https://www.ebay.com/itm/128148777373" TargetMode="External" Id="rId69" /><Relationship Type="http://schemas.openxmlformats.org/officeDocument/2006/relationships/hyperlink" Target="https://www.ebay.com/itm/178171158022" TargetMode="External" Id="rId70" /><Relationship Type="http://schemas.openxmlformats.org/officeDocument/2006/relationships/hyperlink" Target="https://www.ebay.com/itm/389732753480" TargetMode="External" Id="rId71" /><Relationship Type="http://schemas.openxmlformats.org/officeDocument/2006/relationships/hyperlink" Target="https://www.ebay.com/itm/157424692080" TargetMode="External" Id="rId72" /><Relationship Type="http://schemas.openxmlformats.org/officeDocument/2006/relationships/hyperlink" Target="https://www.ebay.com/itm/389945918228" TargetMode="External" Id="rId73" /><Relationship Type="http://schemas.openxmlformats.org/officeDocument/2006/relationships/hyperlink" Target="https://www.ebay.com/itm/318668183718" TargetMode="External" Id="rId74" /><Relationship Type="http://schemas.openxmlformats.org/officeDocument/2006/relationships/hyperlink" Target="https://www.ebay.com/itm/840035484357" TargetMode="External" Id="rId75" /><Relationship Type="http://schemas.openxmlformats.org/officeDocument/2006/relationships/hyperlink" Target="https://www.ebay.com/itm/128145077866" TargetMode="External" Id="rId76" /><Relationship Type="http://schemas.openxmlformats.org/officeDocument/2006/relationships/hyperlink" Target="https://www.ebay.com/itm/267823787358" TargetMode="External" Id="rId77" /><Relationship Type="http://schemas.openxmlformats.org/officeDocument/2006/relationships/hyperlink" Target="https://www.ebay.com/itm/327408972899" TargetMode="External" Id="rId78" /><Relationship Type="http://schemas.openxmlformats.org/officeDocument/2006/relationships/hyperlink" Target="https://www.ebay.com/itm/377593610877" TargetMode="External" Id="rId79" /><Relationship Type="http://schemas.openxmlformats.org/officeDocument/2006/relationships/hyperlink" Target="https://www.ebay.com/itm/800821980146" TargetMode="External" Id="rId80" /><Relationship Type="http://schemas.openxmlformats.org/officeDocument/2006/relationships/hyperlink" Target="https://www.ebay.com/itm/305729926018" TargetMode="External" Id="rId81" /><Relationship Type="http://schemas.openxmlformats.org/officeDocument/2006/relationships/hyperlink" Target="https://www.ebay.com/itm/187668752673" TargetMode="External" Id="rId82" /><Relationship Type="http://schemas.openxmlformats.org/officeDocument/2006/relationships/hyperlink" Target="https://www.ebay.com/itm/267799061448" TargetMode="External" Id="rId83" /><Relationship Type="http://schemas.openxmlformats.org/officeDocument/2006/relationships/hyperlink" Target="https://www.ebay.com/itm/820274913467" TargetMode="External" Id="rId84" /><Relationship Type="http://schemas.openxmlformats.org/officeDocument/2006/relationships/hyperlink" Target="https://www.ebay.com/itm/128148777373" TargetMode="External" Id="rId85" /><Relationship Type="http://schemas.openxmlformats.org/officeDocument/2006/relationships/hyperlink" Target="https://www.ebay.com/itm/178171157775" TargetMode="External" Id="rId86" /><Relationship Type="http://schemas.openxmlformats.org/officeDocument/2006/relationships/hyperlink" Target="https://www.ebay.com/itm/266764723704" TargetMode="External" Id="rId87" /><Relationship Type="http://schemas.openxmlformats.org/officeDocument/2006/relationships/hyperlink" Target="https://www.ebay.com/itm/157424692080" TargetMode="External" Id="rId88" /><Relationship Type="http://schemas.openxmlformats.org/officeDocument/2006/relationships/hyperlink" Target="https://www.ebay.com/itm/389945918228" TargetMode="External" Id="rId89" /><Relationship Type="http://schemas.openxmlformats.org/officeDocument/2006/relationships/hyperlink" Target="https://www.ebay.com/itm/366757503836" TargetMode="External" Id="rId90" /><Relationship Type="http://schemas.openxmlformats.org/officeDocument/2006/relationships/hyperlink" Target="https://www.ebay.com/itm/117481448193" TargetMode="External" Id="rId91" /><Relationship Type="http://schemas.openxmlformats.org/officeDocument/2006/relationships/hyperlink" Target="https://www.ebay.com/itm/128145077866" TargetMode="External" Id="rId92" /><Relationship Type="http://schemas.openxmlformats.org/officeDocument/2006/relationships/hyperlink" Target="https://www.ebay.com/itm/147595555861" TargetMode="External" Id="rId93" /><Relationship Type="http://schemas.openxmlformats.org/officeDocument/2006/relationships/hyperlink" Target="https://www.ebay.com/itm/327408972899" TargetMode="External" Id="rId94" /><Relationship Type="http://schemas.openxmlformats.org/officeDocument/2006/relationships/hyperlink" Target="https://www.ebay.com/itm/377593610877" TargetMode="External" Id="rId95" /><Relationship Type="http://schemas.openxmlformats.org/officeDocument/2006/relationships/hyperlink" Target="https://www.ebay.com/itm/800821980146" TargetMode="External" Id="rId96" /><Relationship Type="http://schemas.openxmlformats.org/officeDocument/2006/relationships/hyperlink" Target="https://www.ebay.com/itm/305729926018" TargetMode="External" Id="rId97" /><Relationship Type="http://schemas.openxmlformats.org/officeDocument/2006/relationships/hyperlink" Target="https://www.ebay.com/itm/187668752673" TargetMode="External" Id="rId98" /><Relationship Type="http://schemas.openxmlformats.org/officeDocument/2006/relationships/hyperlink" Target="https://www.ebay.com/itm/267799061448" TargetMode="External" Id="rId99" /><Relationship Type="http://schemas.openxmlformats.org/officeDocument/2006/relationships/hyperlink" Target="https://www.ebay.com/itm/307246440324" TargetMode="External" Id="rId100" /><Relationship Type="http://schemas.openxmlformats.org/officeDocument/2006/relationships/hyperlink" Target="https://www.ebay.com/itm/128148777373" TargetMode="External" Id="rId101" /><Relationship Type="http://schemas.openxmlformats.org/officeDocument/2006/relationships/hyperlink" Target="https://www.ebay.com/itm/178171157775" TargetMode="External" Id="rId102" /><Relationship Type="http://schemas.openxmlformats.org/officeDocument/2006/relationships/hyperlink" Target="https://www.ebay.com/itm/266764723704" TargetMode="External" Id="rId103" /><Relationship Type="http://schemas.openxmlformats.org/officeDocument/2006/relationships/hyperlink" Target="https://www.ebay.com/itm/157424692080" TargetMode="External" Id="rId104" /><Relationship Type="http://schemas.openxmlformats.org/officeDocument/2006/relationships/hyperlink" Target="https://www.ebay.com/itm/389945918228" TargetMode="External" Id="rId105" /><Relationship Type="http://schemas.openxmlformats.org/officeDocument/2006/relationships/hyperlink" Target="https://www.ebay.com/itm/366757503836" TargetMode="External" Id="rId106" /><Relationship Type="http://schemas.openxmlformats.org/officeDocument/2006/relationships/hyperlink" Target="https://www.ebay.com/itm/117481448193" TargetMode="External" Id="rId107" /><Relationship Type="http://schemas.openxmlformats.org/officeDocument/2006/relationships/hyperlink" Target="https://www.ebay.com/itm/128145077866" TargetMode="External" Id="rId108" /><Relationship Type="http://schemas.openxmlformats.org/officeDocument/2006/relationships/hyperlink" Target="https://www.ebay.com/itm/147595555861" TargetMode="External" Id="rId109" /><Relationship Type="http://schemas.openxmlformats.org/officeDocument/2006/relationships/hyperlink" Target="https://www.ebay.com/itm/327408972899" TargetMode="External" Id="rId110" /><Relationship Type="http://schemas.openxmlformats.org/officeDocument/2006/relationships/hyperlink" Target="https://www.ebay.com/itm/237139218732" TargetMode="External" Id="rId111" /><Relationship Type="http://schemas.openxmlformats.org/officeDocument/2006/relationships/hyperlink" Target="https://www.ebay.com/itm/800821980146" TargetMode="External" Id="rId112" /><Relationship Type="http://schemas.openxmlformats.org/officeDocument/2006/relationships/hyperlink" Target="https://www.ebay.com/itm/305729926018" TargetMode="External" Id="rId113" /><Relationship Type="http://schemas.openxmlformats.org/officeDocument/2006/relationships/hyperlink" Target="https://www.ebay.com/itm/206610079456" TargetMode="External" Id="rId114" /><Relationship Type="http://schemas.openxmlformats.org/officeDocument/2006/relationships/hyperlink" Target="https://www.ebay.com/itm/147636765969" TargetMode="External" Id="rId115" /><Relationship Type="http://schemas.openxmlformats.org/officeDocument/2006/relationships/hyperlink" Target="https://www.ebay.com/itm/198733125600" TargetMode="External" Id="rId116" /><Relationship Type="http://schemas.openxmlformats.org/officeDocument/2006/relationships/hyperlink" Target="https://www.ebay.com/itm/128148777373" TargetMode="External" Id="rId117" /><Relationship Type="http://schemas.openxmlformats.org/officeDocument/2006/relationships/hyperlink" Target="https://www.ebay.com/itm/178171157775" TargetMode="External" Id="rId118" /><Relationship Type="http://schemas.openxmlformats.org/officeDocument/2006/relationships/hyperlink" Target="https://www.ebay.com/itm/266764723704" TargetMode="External" Id="rId119" /><Relationship Type="http://schemas.openxmlformats.org/officeDocument/2006/relationships/hyperlink" Target="https://www.ebay.com/itm/147407453126" TargetMode="External" Id="rId120" /><Relationship Type="http://schemas.openxmlformats.org/officeDocument/2006/relationships/hyperlink" Target="https://www.ebay.com/itm/389945918228" TargetMode="External" Id="rId121" /><Relationship Type="http://schemas.openxmlformats.org/officeDocument/2006/relationships/hyperlink" Target="https://www.ebay.com/itm/128148988213" TargetMode="External" Id="rId122" /><Relationship Type="http://schemas.openxmlformats.org/officeDocument/2006/relationships/hyperlink" Target="https://www.ebay.com/itm/117481448193" TargetMode="External" Id="rId123" /><Relationship Type="http://schemas.openxmlformats.org/officeDocument/2006/relationships/hyperlink" Target="https://www.ebay.com/itm/128145077866" TargetMode="External" Id="rId124" /><Relationship Type="http://schemas.openxmlformats.org/officeDocument/2006/relationships/hyperlink" Target="https://www.ebay.com/itm/820263539684" TargetMode="External" Id="rId125" /><Relationship Type="http://schemas.openxmlformats.org/officeDocument/2006/relationships/hyperlink" Target="https://www.ebay.com/itm/287663939921" TargetMode="External" Id="rId126" /><Relationship Type="http://schemas.openxmlformats.org/officeDocument/2006/relationships/hyperlink" Target="https://www.ebay.com/itm/206636986020" TargetMode="External" Id="rId127" /><Relationship Type="http://schemas.openxmlformats.org/officeDocument/2006/relationships/hyperlink" Target="https://www.ebay.com/itm/800821980146" TargetMode="External" Id="rId128" /><Relationship Type="http://schemas.openxmlformats.org/officeDocument/2006/relationships/hyperlink" Target="https://www.ebay.com/itm/305729926018" TargetMode="External" Id="rId129" /><Relationship Type="http://schemas.openxmlformats.org/officeDocument/2006/relationships/hyperlink" Target="https://www.ebay.com/itm/187668752673" TargetMode="External" Id="rId130" /><Relationship Type="http://schemas.openxmlformats.org/officeDocument/2006/relationships/hyperlink" Target="https://www.ebay.com/itm/147636765969" TargetMode="External" Id="rId131" /><Relationship Type="http://schemas.openxmlformats.org/officeDocument/2006/relationships/hyperlink" Target="https://www.ebay.com/itm/198733125600" TargetMode="External" Id="rId132" /><Relationship Type="http://schemas.openxmlformats.org/officeDocument/2006/relationships/hyperlink" Target="https://www.ebay.com/itm/128148777373" TargetMode="External" Id="rId133" /><Relationship Type="http://schemas.openxmlformats.org/officeDocument/2006/relationships/hyperlink" Target="https://www.ebay.com/itm/178171157775" TargetMode="External" Id="rId134" /><Relationship Type="http://schemas.openxmlformats.org/officeDocument/2006/relationships/hyperlink" Target="https://www.ebay.com/itm/266764723704" TargetMode="External" Id="rId135" /><Relationship Type="http://schemas.openxmlformats.org/officeDocument/2006/relationships/hyperlink" Target="https://www.ebay.com/itm/287572296725" TargetMode="External" Id="rId136" /><Relationship Type="http://schemas.openxmlformats.org/officeDocument/2006/relationships/hyperlink" Target="https://www.ebay.com/itm/389945918228" TargetMode="External" Id="rId137" /><Relationship Type="http://schemas.openxmlformats.org/officeDocument/2006/relationships/hyperlink" Target="https://www.ebay.com/itm/128148988213" TargetMode="External" Id="rId138" /><Relationship Type="http://schemas.openxmlformats.org/officeDocument/2006/relationships/hyperlink" Target="https://www.ebay.com/itm/800773514419" TargetMode="External" Id="rId139" /><Relationship Type="http://schemas.openxmlformats.org/officeDocument/2006/relationships/hyperlink" Target="https://www.ebay.com/itm/206529899548" TargetMode="External" Id="rId140" /><Relationship Type="http://schemas.openxmlformats.org/officeDocument/2006/relationships/hyperlink" Target="https://www.ebay.com/itm/820263539684" TargetMode="External" Id="rId141" /><Relationship Type="http://schemas.openxmlformats.org/officeDocument/2006/relationships/hyperlink" Target="https://www.ebay.com/itm/287663939921" TargetMode="External" Id="rId142" /><Relationship Type="http://schemas.openxmlformats.org/officeDocument/2006/relationships/hyperlink" Target="https://www.ebay.com/itm/206636986020" TargetMode="External" Id="rId143" /><Relationship Type="http://schemas.openxmlformats.org/officeDocument/2006/relationships/hyperlink" Target="https://www.ebay.com/itm/800814608902" TargetMode="External" Id="rId144" /><Relationship Type="http://schemas.openxmlformats.org/officeDocument/2006/relationships/hyperlink" Target="https://www.ebay.com/itm/168805855615" TargetMode="External" Id="rId145" /><Relationship Type="http://schemas.openxmlformats.org/officeDocument/2006/relationships/hyperlink" Target="https://www.ebay.com/itm/187668752673" TargetMode="External" Id="rId146" /><Relationship Type="http://schemas.openxmlformats.org/officeDocument/2006/relationships/hyperlink" Target="https://www.ebay.com/itm/147636765969" TargetMode="External" Id="rId147" /><Relationship Type="http://schemas.openxmlformats.org/officeDocument/2006/relationships/hyperlink" Target="https://www.ebay.com/itm/198733125600" TargetMode="External" Id="rId148" /><Relationship Type="http://schemas.openxmlformats.org/officeDocument/2006/relationships/hyperlink" Target="https://www.ebay.com/itm/327326823612" TargetMode="External" Id="rId149" /><Relationship Type="http://schemas.openxmlformats.org/officeDocument/2006/relationships/hyperlink" Target="https://www.ebay.com/itm/178171157775" TargetMode="External" Id="rId150" /><Relationship Type="http://schemas.openxmlformats.org/officeDocument/2006/relationships/hyperlink" Target="https://www.ebay.com/itm/389732753480" TargetMode="External" Id="rId151" /><Relationship Type="http://schemas.openxmlformats.org/officeDocument/2006/relationships/hyperlink" Target="https://www.ebay.com/itm/287572296725" TargetMode="External" Id="rId152" /><Relationship Type="http://schemas.openxmlformats.org/officeDocument/2006/relationships/hyperlink" Target="https://www.ebay.com/itm/389945918228" TargetMode="External" Id="rId153" /><Relationship Type="http://schemas.openxmlformats.org/officeDocument/2006/relationships/hyperlink" Target="https://www.ebay.com/itm/318668183718" TargetMode="External" Id="rId154" /><Relationship Type="http://schemas.openxmlformats.org/officeDocument/2006/relationships/hyperlink" Target="https://www.ebay.com/itm/800773514419" TargetMode="External" Id="rId155" /><Relationship Type="http://schemas.openxmlformats.org/officeDocument/2006/relationships/hyperlink" Target="https://www.ebay.com/itm/206529899548" TargetMode="External" Id="rId156" /><Relationship Type="http://schemas.openxmlformats.org/officeDocument/2006/relationships/hyperlink" Target="https://www.ebay.com/itm/267816522689" TargetMode="External" Id="rId157" /><Relationship Type="http://schemas.openxmlformats.org/officeDocument/2006/relationships/hyperlink" Target="https://www.ebay.com/itm/327408972899" TargetMode="External" Id="rId158" /><Relationship Type="http://schemas.openxmlformats.org/officeDocument/2006/relationships/hyperlink" Target="https://www.ebay.com/itm/147643723246" TargetMode="External" Id="rId159" /><Relationship Type="http://schemas.openxmlformats.org/officeDocument/2006/relationships/hyperlink" Target="https://www.ebay.com/itm/800814608902" TargetMode="External" Id="rId160" /><Relationship Type="http://schemas.openxmlformats.org/officeDocument/2006/relationships/hyperlink" Target="https://www.ebay.com/itm/305729926018" TargetMode="External" Id="rId161" /><Relationship Type="http://schemas.openxmlformats.org/officeDocument/2006/relationships/hyperlink" Target="https://www.ebay.com/itm/168798006867" TargetMode="External" Id="rId162" /><Relationship Type="http://schemas.openxmlformats.org/officeDocument/2006/relationships/hyperlink" Target="https://www.ebay.com/itm/880031658199" TargetMode="External" Id="rId163" /><Relationship Type="http://schemas.openxmlformats.org/officeDocument/2006/relationships/hyperlink" Target="https://www.ebay.com/itm/278191566067" TargetMode="External" Id="rId164" /><Relationship Type="http://schemas.openxmlformats.org/officeDocument/2006/relationships/hyperlink" Target="https://www.ebay.com/itm/327326823612" TargetMode="External" Id="rId165" /><Relationship Type="http://schemas.openxmlformats.org/officeDocument/2006/relationships/hyperlink" Target="https://www.ebay.com/itm/389732753480" TargetMode="External" Id="rId166" /><Relationship Type="http://schemas.openxmlformats.org/officeDocument/2006/relationships/hyperlink" Target="https://www.ebay.com/itm/307216088615" TargetMode="External" Id="rId167" /><Relationship Type="http://schemas.openxmlformats.org/officeDocument/2006/relationships/hyperlink" Target="https://www.ebay.com/itm/389945918228" TargetMode="External" Id="rId168" /><Relationship Type="http://schemas.openxmlformats.org/officeDocument/2006/relationships/hyperlink" Target="https://www.ebay.com/itm/318668183718" TargetMode="External" Id="rId169" /><Relationship Type="http://schemas.openxmlformats.org/officeDocument/2006/relationships/hyperlink" Target="https://www.ebay.com/itm/800773514419" TargetMode="External" Id="rId170" /><Relationship Type="http://schemas.openxmlformats.org/officeDocument/2006/relationships/hyperlink" Target="https://www.ebay.com/itm/189020669164" TargetMode="External" Id="rId171" /><Relationship Type="http://schemas.openxmlformats.org/officeDocument/2006/relationships/hyperlink" Target="https://www.ebay.com/itm/117476040544" TargetMode="External" Id="rId172" /><Relationship Type="http://schemas.openxmlformats.org/officeDocument/2006/relationships/hyperlink" Target="https://www.ebay.com/itm/327408972899" TargetMode="External" Id="rId173" /><Relationship Type="http://schemas.openxmlformats.org/officeDocument/2006/relationships/hyperlink" Target="https://www.ebay.com/itm/227402767941" TargetMode="External" Id="rId174" /><Relationship Type="http://schemas.openxmlformats.org/officeDocument/2006/relationships/hyperlink" Target="https://www.ebay.com/itm/137849777981" TargetMode="External" Id="rId175" /><Relationship Type="http://schemas.openxmlformats.org/officeDocument/2006/relationships/hyperlink" Target="https://www.ebay.com/itm/305729926018" TargetMode="External" Id="rId176" /><Relationship Type="http://schemas.openxmlformats.org/officeDocument/2006/relationships/hyperlink" Target="https://www.ebay.com/itm/168798006867" TargetMode="External" Id="rId177" /><Relationship Type="http://schemas.openxmlformats.org/officeDocument/2006/relationships/hyperlink" Target="https://www.ebay.com/itm/278191566067" TargetMode="External" Id="rId178" /><Relationship Type="http://schemas.openxmlformats.org/officeDocument/2006/relationships/hyperlink" Target="https://www.ebay.com/itm/960087777882" TargetMode="External" Id="rId179" /><Relationship Type="http://schemas.openxmlformats.org/officeDocument/2006/relationships/hyperlink" Target="https://www.ebay.com/itm/389732753480" TargetMode="External" Id="rId180" /><Relationship Type="http://schemas.openxmlformats.org/officeDocument/2006/relationships/hyperlink" Target="https://www.ebay.com/itm/237116946397" TargetMode="External" Id="rId181" /><Relationship Type="http://schemas.openxmlformats.org/officeDocument/2006/relationships/hyperlink" Target="https://www.ebay.com/itm/389945918228" TargetMode="External" Id="rId182" /><Relationship Type="http://schemas.openxmlformats.org/officeDocument/2006/relationships/hyperlink" Target="https://www.ebay.com/itm/366720837166" TargetMode="External" Id="rId183" /><Relationship Type="http://schemas.openxmlformats.org/officeDocument/2006/relationships/hyperlink" Target="https://www.ebay.com/itm/800773514419" TargetMode="External" Id="rId184" /><Relationship Type="http://schemas.openxmlformats.org/officeDocument/2006/relationships/hyperlink" Target="https://www.ebay.com/itm/336848782800" TargetMode="External" Id="rId185" /><Relationship Type="http://schemas.openxmlformats.org/officeDocument/2006/relationships/hyperlink" Target="https://www.ebay.com/itm/267816522689" TargetMode="External" Id="rId186" /><Relationship Type="http://schemas.openxmlformats.org/officeDocument/2006/relationships/hyperlink" Target="https://www.ebay.com/itm/128104115525" TargetMode="External" Id="rId187" /><Relationship Type="http://schemas.openxmlformats.org/officeDocument/2006/relationships/hyperlink" Target="https://www.ebay.com/itm/227402767941" TargetMode="External" Id="rId188" /><Relationship Type="http://schemas.openxmlformats.org/officeDocument/2006/relationships/hyperlink" Target="https://www.ebay.com/itm/267395567857" TargetMode="External" Id="rId189" /><Relationship Type="http://schemas.openxmlformats.org/officeDocument/2006/relationships/hyperlink" Target="https://www.ebay.com/itm/305729926018" TargetMode="External" Id="rId190" /><Relationship Type="http://schemas.openxmlformats.org/officeDocument/2006/relationships/hyperlink" Target="https://www.ebay.com/itm/168798006867" TargetMode="External" Id="rId191" /><Relationship Type="http://schemas.openxmlformats.org/officeDocument/2006/relationships/hyperlink" Target="https://www.ebay.com/itm/900019342104" TargetMode="External" Id="rId192" /><Relationship Type="http://schemas.openxmlformats.org/officeDocument/2006/relationships/hyperlink" Target="https://www.ebay.com/itm/327326823612" TargetMode="External" Id="rId193" /><Relationship Type="http://schemas.openxmlformats.org/officeDocument/2006/relationships/hyperlink" Target="https://www.ebay.com/itm/389732753480" TargetMode="External" Id="rId194" /><Relationship Type="http://schemas.openxmlformats.org/officeDocument/2006/relationships/hyperlink" Target="https://www.ebay.com/itm/237116946397" TargetMode="External" Id="rId195" /><Relationship Type="http://schemas.openxmlformats.org/officeDocument/2006/relationships/hyperlink" Target="https://www.ebay.com/itm/389945918228" TargetMode="External" Id="rId196" /><Relationship Type="http://schemas.openxmlformats.org/officeDocument/2006/relationships/hyperlink" Target="https://www.ebay.com/itm/227570397990" TargetMode="External" Id="rId197" /><Relationship Type="http://schemas.openxmlformats.org/officeDocument/2006/relationships/hyperlink" Target="https://www.ebay.com/itm/800773514419" TargetMode="External" Id="rId198" /><Relationship Type="http://schemas.openxmlformats.org/officeDocument/2006/relationships/hyperlink" Target="https://www.ebay.com/itm/336848782800" TargetMode="External" Id="rId199" /><Relationship Type="http://schemas.openxmlformats.org/officeDocument/2006/relationships/hyperlink" Target="https://www.ebay.com/itm/267816522689" TargetMode="External" Id="rId200" /><Relationship Type="http://schemas.openxmlformats.org/officeDocument/2006/relationships/hyperlink" Target="https://www.ebay.com/itm/128104115525" TargetMode="External" Id="rId201" /><Relationship Type="http://schemas.openxmlformats.org/officeDocument/2006/relationships/hyperlink" Target="https://www.ebay.com/itm/227402767941" TargetMode="External" Id="rId202" /><Relationship Type="http://schemas.openxmlformats.org/officeDocument/2006/relationships/hyperlink" Target="https://www.ebay.com/itm/314675451357" TargetMode="External" Id="rId203" /><Relationship Type="http://schemas.openxmlformats.org/officeDocument/2006/relationships/hyperlink" Target="https://www.ebay.com/itm/305729926018" TargetMode="External" Id="rId204" /><Relationship Type="http://schemas.openxmlformats.org/officeDocument/2006/relationships/hyperlink" Target="https://www.ebay.com/itm/168798006867" TargetMode="External" Id="rId205" /><Relationship Type="http://schemas.openxmlformats.org/officeDocument/2006/relationships/hyperlink" Target="https://www.ebay.com/itm/900019342104" TargetMode="External" Id="rId206" /><Relationship Type="http://schemas.openxmlformats.org/officeDocument/2006/relationships/hyperlink" Target="https://www.ebay.com/itm/158132772011" TargetMode="External" Id="rId207" /><Relationship Type="http://schemas.openxmlformats.org/officeDocument/2006/relationships/hyperlink" Target="https://www.ebay.com/itm/389732753480" TargetMode="External" Id="rId208" /><Relationship Type="http://schemas.openxmlformats.org/officeDocument/2006/relationships/hyperlink" Target="https://www.ebay.com/itm/237116946397" TargetMode="External" Id="rId209" /><Relationship Type="http://schemas.openxmlformats.org/officeDocument/2006/relationships/hyperlink" Target="https://www.ebay.com/itm/389945918228" TargetMode="External" Id="rId210" /><Relationship Type="http://schemas.openxmlformats.org/officeDocument/2006/relationships/hyperlink" Target="https://www.ebay.com/itm/227570397990" TargetMode="External" Id="rId211" /><Relationship Type="http://schemas.openxmlformats.org/officeDocument/2006/relationships/hyperlink" Target="https://www.ebay.com/itm/800773514419" TargetMode="External" Id="rId212" /><Relationship Type="http://schemas.openxmlformats.org/officeDocument/2006/relationships/hyperlink" Target="https://www.ebay.com/itm/336848782800" TargetMode="External" Id="rId213" /><Relationship Type="http://schemas.openxmlformats.org/officeDocument/2006/relationships/hyperlink" Target="https://www.ebay.com/itm/277814335680" TargetMode="External" Id="rId214" /><Relationship Type="http://schemas.openxmlformats.org/officeDocument/2006/relationships/hyperlink" Target="https://www.ebay.com/itm/128104115525" TargetMode="External" Id="rId215" /><Relationship Type="http://schemas.openxmlformats.org/officeDocument/2006/relationships/hyperlink" Target="https://www.ebay.com/itm/227402767941" TargetMode="External" Id="rId216" /><Relationship Type="http://schemas.openxmlformats.org/officeDocument/2006/relationships/hyperlink" Target="https://www.ebay.com/itm/227568754751" TargetMode="External" Id="rId217" /><Relationship Type="http://schemas.openxmlformats.org/officeDocument/2006/relationships/hyperlink" Target="https://www.ebay.com/itm/305729926018" TargetMode="External" Id="rId218" /><Relationship Type="http://schemas.openxmlformats.org/officeDocument/2006/relationships/hyperlink" Target="https://www.ebay.com/itm/920041309011" TargetMode="External" Id="rId219" /><Relationship Type="http://schemas.openxmlformats.org/officeDocument/2006/relationships/hyperlink" Target="https://www.ebay.com/itm/327407001080" TargetMode="External" Id="rId220" /><Relationship Type="http://schemas.openxmlformats.org/officeDocument/2006/relationships/hyperlink" Target="https://www.ebay.com/itm/158132772011" TargetMode="External" Id="rId221" /><Relationship Type="http://schemas.openxmlformats.org/officeDocument/2006/relationships/hyperlink" Target="https://www.ebay.com/itm/389732753480" TargetMode="External" Id="rId222" /><Relationship Type="http://schemas.openxmlformats.org/officeDocument/2006/relationships/hyperlink" Target="https://www.ebay.com/itm/237116946397" TargetMode="External" Id="rId223" /><Relationship Type="http://schemas.openxmlformats.org/officeDocument/2006/relationships/hyperlink" Target="https://www.ebay.com/itm/389945918228" TargetMode="External" Id="rId224" /><Relationship Type="http://schemas.openxmlformats.org/officeDocument/2006/relationships/hyperlink" Target="https://www.ebay.com/itm/366720837166" TargetMode="External" Id="rId225" /><Relationship Type="http://schemas.openxmlformats.org/officeDocument/2006/relationships/hyperlink" Target="https://www.ebay.com/itm/800773514419" TargetMode="External" Id="rId226" /><Relationship Type="http://schemas.openxmlformats.org/officeDocument/2006/relationships/hyperlink" Target="https://www.ebay.com/itm/366718755179" TargetMode="External" Id="rId227" /><Relationship Type="http://schemas.openxmlformats.org/officeDocument/2006/relationships/hyperlink" Target="https://www.ebay.com/itm/277814335680" TargetMode="External" Id="rId228" /><Relationship Type="http://schemas.openxmlformats.org/officeDocument/2006/relationships/hyperlink" Target="https://www.ebay.com/itm/128104115525" TargetMode="External" Id="rId229" /><Relationship Type="http://schemas.openxmlformats.org/officeDocument/2006/relationships/hyperlink" Target="https://www.ebay.com/itm/227402767941" TargetMode="External" Id="rId230" /><Relationship Type="http://schemas.openxmlformats.org/officeDocument/2006/relationships/hyperlink" Target="https://www.ebay.com/itm/314675451357" TargetMode="External" Id="rId231" /><Relationship Type="http://schemas.openxmlformats.org/officeDocument/2006/relationships/hyperlink" Target="https://www.ebay.com/itm/335784468289" TargetMode="External" Id="rId232" /><Relationship Type="http://schemas.openxmlformats.org/officeDocument/2006/relationships/hyperlink" Target="https://www.ebay.com/itm/920041309011" TargetMode="External" Id="rId233" /><Relationship Type="http://schemas.openxmlformats.org/officeDocument/2006/relationships/hyperlink" Target="https://www.ebay.com/itm/307230030575" TargetMode="External" Id="rId234" /><Relationship Type="http://schemas.openxmlformats.org/officeDocument/2006/relationships/hyperlink" Target="https://www.ebay.com/itm/158132772011" TargetMode="External" Id="rId235" /><Relationship Type="http://schemas.openxmlformats.org/officeDocument/2006/relationships/hyperlink" Target="https://www.ebay.com/itm/389732753480" TargetMode="External" Id="rId236" /><Relationship Type="http://schemas.openxmlformats.org/officeDocument/2006/relationships/hyperlink" Target="https://www.ebay.com/itm/198709471618" TargetMode="External" Id="rId237" /><Relationship Type="http://schemas.openxmlformats.org/officeDocument/2006/relationships/hyperlink" Target="https://www.ebay.com/itm/389945918228" TargetMode="External" Id="rId238" /><Relationship Type="http://schemas.openxmlformats.org/officeDocument/2006/relationships/hyperlink" Target="https://www.ebay.com/itm/366720837166" TargetMode="External" Id="rId239" /><Relationship Type="http://schemas.openxmlformats.org/officeDocument/2006/relationships/hyperlink" Target="https://www.ebay.com/itm/800773514419" TargetMode="External" Id="rId240" /><Relationship Type="http://schemas.openxmlformats.org/officeDocument/2006/relationships/hyperlink" Target="https://www.ebay.com/itm/366718755179" TargetMode="External" Id="rId241" /><Relationship Type="http://schemas.openxmlformats.org/officeDocument/2006/relationships/hyperlink" Target="https://www.ebay.com/itm/960033835048" TargetMode="External" Id="rId242" /><Relationship Type="http://schemas.openxmlformats.org/officeDocument/2006/relationships/hyperlink" Target="https://www.ebay.com/itm/128104115525" TargetMode="External" Id="rId243" /><Relationship Type="http://schemas.openxmlformats.org/officeDocument/2006/relationships/hyperlink" Target="https://www.ebay.com/itm/227402767941" TargetMode="External" Id="rId244" /><Relationship Type="http://schemas.openxmlformats.org/officeDocument/2006/relationships/hyperlink" Target="https://www.ebay.com/itm/364224496605" TargetMode="External" Id="rId245" /><Relationship Type="http://schemas.openxmlformats.org/officeDocument/2006/relationships/hyperlink" Target="https://www.ebay.com/itm/267809260226" TargetMode="External" Id="rId246" /><Relationship Type="http://schemas.openxmlformats.org/officeDocument/2006/relationships/hyperlink" Target="https://www.ebay.com/itm/389401265654" TargetMode="External" Id="rId247" /><Relationship Type="http://schemas.openxmlformats.org/officeDocument/2006/relationships/hyperlink" Target="https://www.ebay.com/itm/307230030575" TargetMode="External" Id="rId248" /><Relationship Type="http://schemas.openxmlformats.org/officeDocument/2006/relationships/hyperlink" Target="https://www.ebay.com/itm/158132772011" TargetMode="External" Id="rId249" /><Relationship Type="http://schemas.openxmlformats.org/officeDocument/2006/relationships/hyperlink" Target="https://www.ebay.com/itm/389732753480" TargetMode="External" Id="rId250" /><Relationship Type="http://schemas.openxmlformats.org/officeDocument/2006/relationships/hyperlink" Target="https://www.ebay.com/itm/377567672653" TargetMode="External" Id="rId251" /><Relationship Type="http://schemas.openxmlformats.org/officeDocument/2006/relationships/hyperlink" Target="https://www.ebay.com/itm/389945918228" TargetMode="External" Id="rId252" /><Relationship Type="http://schemas.openxmlformats.org/officeDocument/2006/relationships/hyperlink" Target="https://www.ebay.com/itm/366720837166" TargetMode="External" Id="rId253" /><Relationship Type="http://schemas.openxmlformats.org/officeDocument/2006/relationships/hyperlink" Target="https://www.ebay.com/itm/800773514419" TargetMode="External" Id="rId254" /><Relationship Type="http://schemas.openxmlformats.org/officeDocument/2006/relationships/hyperlink" Target="https://www.ebay.com/itm/366718755179" TargetMode="External" Id="rId255" /><Relationship Type="http://schemas.openxmlformats.org/officeDocument/2006/relationships/hyperlink" Target="https://www.ebay.com/itm/960033835048" TargetMode="External" Id="rId256" /><Relationship Type="http://schemas.openxmlformats.org/officeDocument/2006/relationships/hyperlink" Target="https://www.ebay.com/itm/128104115525" TargetMode="External" Id="rId257" /><Relationship Type="http://schemas.openxmlformats.org/officeDocument/2006/relationships/hyperlink" Target="https://www.ebay.com/itm/227402767941" TargetMode="External" Id="rId258" /><Relationship Type="http://schemas.openxmlformats.org/officeDocument/2006/relationships/hyperlink" Target="https://www.ebay.com/itm/800572518683" TargetMode="External" Id="rId259" /><Relationship Type="http://schemas.openxmlformats.org/officeDocument/2006/relationships/hyperlink" Target="https://www.ebay.com/itm/267809260226" TargetMode="External" Id="rId260" /><Relationship Type="http://schemas.openxmlformats.org/officeDocument/2006/relationships/hyperlink" Target="https://www.ebay.com/itm/187668752673" TargetMode="External" Id="rId261" /><Relationship Type="http://schemas.openxmlformats.org/officeDocument/2006/relationships/hyperlink" Target="https://www.ebay.com/itm/398398409741" TargetMode="External" Id="rId262" /><Relationship Type="http://schemas.openxmlformats.org/officeDocument/2006/relationships/hyperlink" Target="https://www.ebay.com/itm/158132772011" TargetMode="External" Id="rId263" /><Relationship Type="http://schemas.openxmlformats.org/officeDocument/2006/relationships/hyperlink" Target="https://www.ebay.com/itm/389732753480" TargetMode="External" Id="rId264" /><Relationship Type="http://schemas.openxmlformats.org/officeDocument/2006/relationships/hyperlink" Target="https://www.ebay.com/itm/327369990511" TargetMode="External" Id="rId265" /><Relationship Type="http://schemas.openxmlformats.org/officeDocument/2006/relationships/hyperlink" Target="https://www.ebay.com/itm/389945918228" TargetMode="External" Id="rId266" /><Relationship Type="http://schemas.openxmlformats.org/officeDocument/2006/relationships/hyperlink" Target="https://www.ebay.com/itm/366720837166" TargetMode="External" Id="rId267" /><Relationship Type="http://schemas.openxmlformats.org/officeDocument/2006/relationships/hyperlink" Target="https://www.ebay.com/itm/800773514419" TargetMode="External" Id="rId268" /><Relationship Type="http://schemas.openxmlformats.org/officeDocument/2006/relationships/hyperlink" Target="https://www.ebay.com/itm/366718755179" TargetMode="External" Id="rId269" /><Relationship Type="http://schemas.openxmlformats.org/officeDocument/2006/relationships/hyperlink" Target="https://www.ebay.com/itm/960033835048" TargetMode="External" Id="rId270" /><Relationship Type="http://schemas.openxmlformats.org/officeDocument/2006/relationships/hyperlink" Target="https://www.ebay.com/itm/237072275336" TargetMode="External" Id="rId271" /><Relationship Type="http://schemas.openxmlformats.org/officeDocument/2006/relationships/hyperlink" Target="https://www.ebay.com/itm/227402767941" TargetMode="External" Id="rId272" /><Relationship Type="http://schemas.openxmlformats.org/officeDocument/2006/relationships/hyperlink" Target="https://www.ebay.com/itm/800572518683" TargetMode="External" Id="rId273" /><Relationship Type="http://schemas.openxmlformats.org/officeDocument/2006/relationships/hyperlink" Target="https://www.ebay.com/itm/267809260226" TargetMode="External" Id="rId274" /><Relationship Type="http://schemas.openxmlformats.org/officeDocument/2006/relationships/hyperlink" Target="https://www.ebay.com/itm/187668752673" TargetMode="External" Id="rId275" /><Relationship Type="http://schemas.openxmlformats.org/officeDocument/2006/relationships/hyperlink" Target="https://www.ebay.com/itm/377562785374" TargetMode="External" Id="rId276" /><Relationship Type="http://schemas.openxmlformats.org/officeDocument/2006/relationships/hyperlink" Target="https://www.ebay.com/itm/158132772011" TargetMode="External" Id="rId277" /><Relationship Type="http://schemas.openxmlformats.org/officeDocument/2006/relationships/hyperlink" Target="https://www.ebay.com/itm/389732753480" TargetMode="External" Id="rId278" /><Relationship Type="http://schemas.openxmlformats.org/officeDocument/2006/relationships/hyperlink" Target="https://www.ebay.com/itm/198709471618" TargetMode="External" Id="rId279" /><Relationship Type="http://schemas.openxmlformats.org/officeDocument/2006/relationships/hyperlink" Target="https://www.ebay.com/itm/389945918228" TargetMode="External" Id="rId280" /><Relationship Type="http://schemas.openxmlformats.org/officeDocument/2006/relationships/hyperlink" Target="https://www.ebay.com/itm/278289521729" TargetMode="External" Id="rId281" /><Relationship Type="http://schemas.openxmlformats.org/officeDocument/2006/relationships/hyperlink" Target="https://www.ebay.com/itm/800773514419" TargetMode="External" Id="rId282" /><Relationship Type="http://schemas.openxmlformats.org/officeDocument/2006/relationships/hyperlink" Target="https://www.ebay.com/itm/840012484062" TargetMode="External" Id="rId283" /><Relationship Type="http://schemas.openxmlformats.org/officeDocument/2006/relationships/hyperlink" Target="https://www.ebay.com/itm/960033835048" TargetMode="External" Id="rId284" /><Relationship Type="http://schemas.openxmlformats.org/officeDocument/2006/relationships/hyperlink" Target="https://www.ebay.com/itm/237072275336" TargetMode="External" Id="rId285" /><Relationship Type="http://schemas.openxmlformats.org/officeDocument/2006/relationships/hyperlink" Target="https://www.facebook.com/marketplace/item/1448988227128820/" TargetMode="External" Id="rId286" /><Relationship Type="http://schemas.openxmlformats.org/officeDocument/2006/relationships/hyperlink" Target="https://msrcomputers.framer.website/" TargetMode="External" Id="rId287" /><Relationship Type="http://schemas.openxmlformats.org/officeDocument/2006/relationships/hyperlink" Target="https://www.facebook.com/marketplace/item/2555034215012611/" TargetMode="External" Id="rId288" /><Relationship Type="http://schemas.openxmlformats.org/officeDocument/2006/relationships/hyperlink" Target="https://www.facebook.com/marketplace/item/959874386670350/" TargetMode="External" Id="rId289" /><Relationship Type="http://schemas.openxmlformats.org/officeDocument/2006/relationships/hyperlink" Target="https://msrcomputers.framer.website/" TargetMode="External" Id="rId290" /><Relationship Type="http://schemas.openxmlformats.org/officeDocument/2006/relationships/hyperlink" Target="https://msrcomputers.framer.website/" TargetMode="External" Id="rId291" /><Relationship Type="http://schemas.openxmlformats.org/officeDocument/2006/relationships/hyperlink" Target="https://www.facebook.com/marketplace/item/1414394683871926/" TargetMode="External" Id="rId292" /><Relationship Type="http://schemas.openxmlformats.org/officeDocument/2006/relationships/table" Target="/xl/tables/table2.xml" Id="rId293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186930960267" TargetMode="External" Id="rId1" /><Relationship Type="http://schemas.openxmlformats.org/officeDocument/2006/relationships/hyperlink" Target="https://www.ebay.com/itm/407253287799" TargetMode="External" Id="rId2" /><Relationship Type="http://schemas.openxmlformats.org/officeDocument/2006/relationships/hyperlink" Target="https://www.ebay.com/itm/206619893802" TargetMode="External" Id="rId3" /><Relationship Type="http://schemas.openxmlformats.org/officeDocument/2006/relationships/hyperlink" Target="https://www.ebay.com/itm/158132772011" TargetMode="External" Id="rId4" /><Relationship Type="http://schemas.openxmlformats.org/officeDocument/2006/relationships/hyperlink" Target="https://www.ebay.com/itm/800671991805" TargetMode="External" Id="rId5" /><Relationship Type="http://schemas.openxmlformats.org/officeDocument/2006/relationships/hyperlink" Target="https://www.ebay.com/itm/267810883117" TargetMode="External" Id="rId6" /><Relationship Type="http://schemas.openxmlformats.org/officeDocument/2006/relationships/hyperlink" Target="https://www.ebay.com/itm/820226445864" TargetMode="External" Id="rId7" /><Relationship Type="http://schemas.openxmlformats.org/officeDocument/2006/relationships/hyperlink" Target="https://www.ebay.com/itm/158074799377" TargetMode="External" Id="rId8" /><Relationship Type="http://schemas.openxmlformats.org/officeDocument/2006/relationships/hyperlink" Target="https://www.ebay.com/itm/287637897624" TargetMode="External" Id="rId9" /><Relationship Type="http://schemas.openxmlformats.org/officeDocument/2006/relationships/hyperlink" Target="https://www.ebay.com/itm/227555308176" TargetMode="External" Id="rId10" /><Relationship Type="http://schemas.openxmlformats.org/officeDocument/2006/relationships/hyperlink" Target="https://www.ebay.com/itm/407281535535" TargetMode="External" Id="rId11" /><Relationship Type="http://schemas.openxmlformats.org/officeDocument/2006/relationships/hyperlink" Target="https://www.ebay.com/itm/278289521729" TargetMode="External" Id="rId12" /><Relationship Type="http://schemas.openxmlformats.org/officeDocument/2006/relationships/hyperlink" Target="https://www.ebay.com/itm/318668183718" TargetMode="External" Id="rId13" /><Relationship Type="http://schemas.openxmlformats.org/officeDocument/2006/relationships/hyperlink" Target="https://www.ebay.com/itm/389945918228" TargetMode="External" Id="rId14" /><Relationship Type="http://schemas.openxmlformats.org/officeDocument/2006/relationships/hyperlink" Target="https://www.ebay.com/itm/198689948845" TargetMode="External" Id="rId15" /><Relationship Type="http://schemas.openxmlformats.org/officeDocument/2006/relationships/hyperlink" Target="https://www.ebay.com/itm/189020669164" TargetMode="External" Id="rId16" /><Relationship Type="http://schemas.openxmlformats.org/officeDocument/2006/relationships/hyperlink" Target="https://www.ebay.com/itm/860027091566" TargetMode="External" Id="rId17" /><Relationship Type="http://schemas.openxmlformats.org/officeDocument/2006/relationships/hyperlink" Target="https://www.ebay.com/itm/287633650375" TargetMode="External" Id="rId18" /><Relationship Type="http://schemas.openxmlformats.org/officeDocument/2006/relationships/hyperlink" Target="https://www.ebay.com/itm/860016176225" TargetMode="External" Id="rId19" /><Relationship Type="http://schemas.openxmlformats.org/officeDocument/2006/relationships/hyperlink" Target="https://www.ebay.com/itm/168784156010" TargetMode="External" Id="rId20" /><Relationship Type="http://schemas.openxmlformats.org/officeDocument/2006/relationships/hyperlink" Target="https://www.ebay.com/itm/198706246268" TargetMode="External" Id="rId21" /><Relationship Type="http://schemas.openxmlformats.org/officeDocument/2006/relationships/hyperlink" Target="https://www.ebay.com/itm/178173001185" TargetMode="External" Id="rId22" /><Relationship Type="http://schemas.openxmlformats.org/officeDocument/2006/relationships/hyperlink" Target="https://www.ebay.com/itm/820171389776" TargetMode="External" Id="rId23" /><Relationship Type="http://schemas.openxmlformats.org/officeDocument/2006/relationships/hyperlink" Target="https://www.ebay.com/itm/147617796465" TargetMode="External" Id="rId24" /><Relationship Type="http://schemas.openxmlformats.org/officeDocument/2006/relationships/hyperlink" Target="https://www.ebay.com/itm/366727856686" TargetMode="External" Id="rId25" /><Relationship Type="http://schemas.openxmlformats.org/officeDocument/2006/relationships/hyperlink" Target="https://www.ebay.com/itm/307207851818" TargetMode="External" Id="rId26" /><Relationship Type="http://schemas.openxmlformats.org/officeDocument/2006/relationships/hyperlink" Target="https://www.ebay.com/itm/206614369454" TargetMode="External" Id="rId27" /><Relationship Type="http://schemas.openxmlformats.org/officeDocument/2006/relationships/hyperlink" Target="https://www.ebay.com/itm/389732753480" TargetMode="External" Id="rId28" /><Relationship Type="http://schemas.openxmlformats.org/officeDocument/2006/relationships/hyperlink" Target="https://www.ebay.com/itm/158132772011" TargetMode="External" Id="rId29" /><Relationship Type="http://schemas.openxmlformats.org/officeDocument/2006/relationships/hyperlink" Target="https://www.ebay.com/itm/187668752673" TargetMode="External" Id="rId30" /><Relationship Type="http://schemas.openxmlformats.org/officeDocument/2006/relationships/hyperlink" Target="https://www.ebay.com/itm/267809260226" TargetMode="External" Id="rId31" /><Relationship Type="http://schemas.openxmlformats.org/officeDocument/2006/relationships/hyperlink" Target="https://www.ebay.com/itm/800773514419" TargetMode="External" Id="rId32" /><Relationship Type="http://schemas.openxmlformats.org/officeDocument/2006/relationships/hyperlink" Target="https://www.ebay.com/itm/389945918228" TargetMode="External" Id="rId33" /><Relationship Type="http://schemas.openxmlformats.org/officeDocument/2006/relationships/hyperlink" Target="https://www.ebay.com/itm/840012484062" TargetMode="External" Id="rId34" /><Relationship Type="http://schemas.openxmlformats.org/officeDocument/2006/relationships/hyperlink" Target="https://www.ebay.com/itm/237072275336" TargetMode="External" Id="rId35" /><Relationship Type="http://schemas.openxmlformats.org/officeDocument/2006/relationships/hyperlink" Target="https://www.ebay.com/itm/960033835048" TargetMode="External" Id="rId36" /><Relationship Type="http://schemas.openxmlformats.org/officeDocument/2006/relationships/hyperlink" Target="https://www.ebay.com/itm/198709471618" TargetMode="External" Id="rId37" /><Relationship Type="http://schemas.openxmlformats.org/officeDocument/2006/relationships/hyperlink" Target="https://www.ebay.com/itm/800572518683" TargetMode="External" Id="rId38" /><Relationship Type="http://schemas.openxmlformats.org/officeDocument/2006/relationships/hyperlink" Target="https://www.ebay.com/itm/227402767941" TargetMode="External" Id="rId39" /><Relationship Type="http://schemas.openxmlformats.org/officeDocument/2006/relationships/hyperlink" Target="https://www.ebay.com/itm/287620955096" TargetMode="External" Id="rId40" /><Relationship Type="http://schemas.openxmlformats.org/officeDocument/2006/relationships/hyperlink" Target="https://www.ebay.com/itm/377562785374" TargetMode="External" Id="rId41" /><Relationship Type="http://schemas.openxmlformats.org/officeDocument/2006/relationships/hyperlink" Target="https://www.ebay.com/itm/307194675494" TargetMode="External" Id="rId42" /><Relationship Type="http://schemas.openxmlformats.org/officeDocument/2006/relationships/hyperlink" Target="https://www.ebay.com/itm/366706722500" TargetMode="External" Id="rId43" /><Relationship Type="http://schemas.openxmlformats.org/officeDocument/2006/relationships/hyperlink" Target="https://www.ebay.com/itm/257573828939" TargetMode="External" Id="rId44" /><Relationship Type="http://schemas.openxmlformats.org/officeDocument/2006/relationships/hyperlink" Target="https://www.ebay.com/itm/800786033506" TargetMode="External" Id="rId45" /><Relationship Type="http://schemas.openxmlformats.org/officeDocument/2006/relationships/hyperlink" Target="https://www.ebay.com/itm/366720837166" TargetMode="External" Id="rId46" /><Relationship Type="http://schemas.openxmlformats.org/officeDocument/2006/relationships/hyperlink" Target="https://www.ebay.com/itm/407274530658" TargetMode="External" Id="rId47" /><Relationship Type="http://schemas.openxmlformats.org/officeDocument/2006/relationships/hyperlink" Target="https://www.ebay.com/itm/128130997262" TargetMode="External" Id="rId48" /><Relationship Type="http://schemas.openxmlformats.org/officeDocument/2006/relationships/hyperlink" Target="https://www.ebay.com/itm/860016176225" TargetMode="External" Id="rId49" /><Relationship Type="http://schemas.openxmlformats.org/officeDocument/2006/relationships/hyperlink" Target="https://www.ebay.com/itm/298605370806" TargetMode="External" Id="rId50" /><Relationship Type="http://schemas.openxmlformats.org/officeDocument/2006/relationships/hyperlink" Target="https://www.ebay.com/itm/820171389776" TargetMode="External" Id="rId51" /><Relationship Type="http://schemas.openxmlformats.org/officeDocument/2006/relationships/hyperlink" Target="https://www.ebay.com/itm/206619927751" TargetMode="External" Id="rId52" /><Relationship Type="http://schemas.openxmlformats.org/officeDocument/2006/relationships/hyperlink" Target="https://www.ebay.com/itm/366729072023" TargetMode="External" Id="rId53" /><Relationship Type="http://schemas.openxmlformats.org/officeDocument/2006/relationships/hyperlink" Target="https://www.ebay.com/itm/389732753480" TargetMode="External" Id="rId54" /><Relationship Type="http://schemas.openxmlformats.org/officeDocument/2006/relationships/hyperlink" Target="https://www.ebay.com/itm/158132772011" TargetMode="External" Id="rId55" /><Relationship Type="http://schemas.openxmlformats.org/officeDocument/2006/relationships/hyperlink" Target="https://www.ebay.com/itm/187668752673" TargetMode="External" Id="rId56" /><Relationship Type="http://schemas.openxmlformats.org/officeDocument/2006/relationships/hyperlink" Target="https://www.ebay.com/itm/267809260226" TargetMode="External" Id="rId57" /><Relationship Type="http://schemas.openxmlformats.org/officeDocument/2006/relationships/hyperlink" Target="https://www.ebay.com/itm/800773514419" TargetMode="External" Id="rId58" /><Relationship Type="http://schemas.openxmlformats.org/officeDocument/2006/relationships/hyperlink" Target="https://www.ebay.com/itm/389945918228" TargetMode="External" Id="rId59" /><Relationship Type="http://schemas.openxmlformats.org/officeDocument/2006/relationships/hyperlink" Target="https://www.ebay.com/itm/366718755179" TargetMode="External" Id="rId60" /><Relationship Type="http://schemas.openxmlformats.org/officeDocument/2006/relationships/hyperlink" Target="https://www.ebay.com/itm/237072275336" TargetMode="External" Id="rId61" /><Relationship Type="http://schemas.openxmlformats.org/officeDocument/2006/relationships/hyperlink" Target="https://www.ebay.com/itm/960033835048" TargetMode="External" Id="rId62" /><Relationship Type="http://schemas.openxmlformats.org/officeDocument/2006/relationships/hyperlink" Target="https://www.ebay.com/itm/327369990511" TargetMode="External" Id="rId63" /><Relationship Type="http://schemas.openxmlformats.org/officeDocument/2006/relationships/hyperlink" Target="https://www.ebay.com/itm/800572518683" TargetMode="External" Id="rId64" /><Relationship Type="http://schemas.openxmlformats.org/officeDocument/2006/relationships/hyperlink" Target="https://www.ebay.com/itm/227402767941" TargetMode="External" Id="rId65" /><Relationship Type="http://schemas.openxmlformats.org/officeDocument/2006/relationships/hyperlink" Target="https://www.ebay.com/itm/287620955096" TargetMode="External" Id="rId66" /><Relationship Type="http://schemas.openxmlformats.org/officeDocument/2006/relationships/hyperlink" Target="https://www.ebay.com/itm/398398409741" TargetMode="External" Id="rId67" /><Relationship Type="http://schemas.openxmlformats.org/officeDocument/2006/relationships/hyperlink" Target="https://www.ebay.com/itm/307194675494" TargetMode="External" Id="rId68" /><Relationship Type="http://schemas.openxmlformats.org/officeDocument/2006/relationships/hyperlink" Target="https://www.ebay.com/itm/366706722500" TargetMode="External" Id="rId69" /><Relationship Type="http://schemas.openxmlformats.org/officeDocument/2006/relationships/hyperlink" Target="https://www.ebay.com/itm/257573828939" TargetMode="External" Id="rId70" /><Relationship Type="http://schemas.openxmlformats.org/officeDocument/2006/relationships/hyperlink" Target="https://www.ebay.com/itm/257796156461" TargetMode="External" Id="rId71" /><Relationship Type="http://schemas.openxmlformats.org/officeDocument/2006/relationships/hyperlink" Target="https://www.ebay.com/itm/366720837166" TargetMode="External" Id="rId72" /><Relationship Type="http://schemas.openxmlformats.org/officeDocument/2006/relationships/hyperlink" Target="https://www.ebay.com/itm/267812335424" TargetMode="External" Id="rId73" /><Relationship Type="http://schemas.openxmlformats.org/officeDocument/2006/relationships/hyperlink" Target="https://www.ebay.com/itm/128130997262" TargetMode="External" Id="rId74" /><Relationship Type="http://schemas.openxmlformats.org/officeDocument/2006/relationships/hyperlink" Target="https://www.ebay.com/itm/960060856252" TargetMode="External" Id="rId75" /><Relationship Type="http://schemas.openxmlformats.org/officeDocument/2006/relationships/hyperlink" Target="https://www.ebay.com/itm/298605370806" TargetMode="External" Id="rId76" /><Relationship Type="http://schemas.openxmlformats.org/officeDocument/2006/relationships/hyperlink" Target="https://www.ebay.com/itm/860031852789" TargetMode="External" Id="rId77" /><Relationship Type="http://schemas.openxmlformats.org/officeDocument/2006/relationships/hyperlink" Target="https://www.ebay.com/itm/960058916251" TargetMode="External" Id="rId78" /><Relationship Type="http://schemas.openxmlformats.org/officeDocument/2006/relationships/hyperlink" Target="https://www.ebay.com/itm/940009062586" TargetMode="External" Id="rId79" /><Relationship Type="http://schemas.openxmlformats.org/officeDocument/2006/relationships/hyperlink" Target="https://www.ebay.com/itm/389732753480" TargetMode="External" Id="rId80" /><Relationship Type="http://schemas.openxmlformats.org/officeDocument/2006/relationships/hyperlink" Target="https://www.ebay.com/itm/158132772011" TargetMode="External" Id="rId81" /><Relationship Type="http://schemas.openxmlformats.org/officeDocument/2006/relationships/hyperlink" Target="https://www.ebay.com/itm/389401265654" TargetMode="External" Id="rId82" /><Relationship Type="http://schemas.openxmlformats.org/officeDocument/2006/relationships/hyperlink" Target="https://www.ebay.com/itm/267809260226" TargetMode="External" Id="rId83" /><Relationship Type="http://schemas.openxmlformats.org/officeDocument/2006/relationships/hyperlink" Target="https://www.ebay.com/itm/800773514419" TargetMode="External" Id="rId84" /><Relationship Type="http://schemas.openxmlformats.org/officeDocument/2006/relationships/hyperlink" Target="https://www.ebay.com/itm/389945918228" TargetMode="External" Id="rId85" /><Relationship Type="http://schemas.openxmlformats.org/officeDocument/2006/relationships/hyperlink" Target="https://www.ebay.com/itm/366718755179" TargetMode="External" Id="rId86" /><Relationship Type="http://schemas.openxmlformats.org/officeDocument/2006/relationships/hyperlink" Target="https://www.ebay.com/itm/128104115525" TargetMode="External" Id="rId87" /><Relationship Type="http://schemas.openxmlformats.org/officeDocument/2006/relationships/hyperlink" Target="https://www.ebay.com/itm/960033835048" TargetMode="External" Id="rId88" /><Relationship Type="http://schemas.openxmlformats.org/officeDocument/2006/relationships/hyperlink" Target="https://www.ebay.com/itm/377567672653" TargetMode="External" Id="rId89" /><Relationship Type="http://schemas.openxmlformats.org/officeDocument/2006/relationships/hyperlink" Target="https://www.ebay.com/itm/364224496605" TargetMode="External" Id="rId90" /><Relationship Type="http://schemas.openxmlformats.org/officeDocument/2006/relationships/hyperlink" Target="https://www.ebay.com/itm/227402767941" TargetMode="External" Id="rId91" /><Relationship Type="http://schemas.openxmlformats.org/officeDocument/2006/relationships/hyperlink" Target="https://www.ebay.com/itm/960062712395" TargetMode="External" Id="rId92" /><Relationship Type="http://schemas.openxmlformats.org/officeDocument/2006/relationships/hyperlink" Target="https://www.ebay.com/itm/307230030575" TargetMode="External" Id="rId93" /><Relationship Type="http://schemas.openxmlformats.org/officeDocument/2006/relationships/hyperlink" Target="https://www.ebay.com/itm/298629950161" TargetMode="External" Id="rId94" /><Relationship Type="http://schemas.openxmlformats.org/officeDocument/2006/relationships/hyperlink" Target="https://www.ebay.com/itm/298614937992" TargetMode="External" Id="rId95" /><Relationship Type="http://schemas.openxmlformats.org/officeDocument/2006/relationships/hyperlink" Target="https://www.ebay.com/itm/257573828939" TargetMode="External" Id="rId96" /><Relationship Type="http://schemas.openxmlformats.org/officeDocument/2006/relationships/hyperlink" Target="https://www.ebay.com/itm/840018075032" TargetMode="External" Id="rId97" /><Relationship Type="http://schemas.openxmlformats.org/officeDocument/2006/relationships/hyperlink" Target="https://www.ebay.com/itm/366720837166" TargetMode="External" Id="rId98" /><Relationship Type="http://schemas.openxmlformats.org/officeDocument/2006/relationships/hyperlink" Target="https://www.ebay.com/itm/267812335424" TargetMode="External" Id="rId99" /><Relationship Type="http://schemas.openxmlformats.org/officeDocument/2006/relationships/hyperlink" Target="https://www.ebay.com/itm/278426444361" TargetMode="External" Id="rId100" /><Relationship Type="http://schemas.openxmlformats.org/officeDocument/2006/relationships/hyperlink" Target="https://www.ebay.com/itm/117465237878" TargetMode="External" Id="rId101" /><Relationship Type="http://schemas.openxmlformats.org/officeDocument/2006/relationships/hyperlink" Target="https://www.ebay.com/itm/298605370806" TargetMode="External" Id="rId102" /><Relationship Type="http://schemas.openxmlformats.org/officeDocument/2006/relationships/hyperlink" Target="https://www.ebay.com/itm/117443360510" TargetMode="External" Id="rId103" /><Relationship Type="http://schemas.openxmlformats.org/officeDocument/2006/relationships/hyperlink" Target="https://www.ebay.com/itm/307229964788" TargetMode="External" Id="rId104" /><Relationship Type="http://schemas.openxmlformats.org/officeDocument/2006/relationships/hyperlink" Target="https://www.ebay.com/itm/318826733936" TargetMode="External" Id="rId105" /><Relationship Type="http://schemas.openxmlformats.org/officeDocument/2006/relationships/hyperlink" Target="https://www.ebay.com/itm/389732753480" TargetMode="External" Id="rId106" /><Relationship Type="http://schemas.openxmlformats.org/officeDocument/2006/relationships/hyperlink" Target="https://www.ebay.com/itm/158132772011" TargetMode="External" Id="rId107" /><Relationship Type="http://schemas.openxmlformats.org/officeDocument/2006/relationships/hyperlink" Target="https://www.ebay.com/itm/920041309011" TargetMode="External" Id="rId108" /><Relationship Type="http://schemas.openxmlformats.org/officeDocument/2006/relationships/hyperlink" Target="https://www.ebay.com/itm/335784468289" TargetMode="External" Id="rId109" /><Relationship Type="http://schemas.openxmlformats.org/officeDocument/2006/relationships/hyperlink" Target="https://www.ebay.com/itm/800773514419" TargetMode="External" Id="rId110" /><Relationship Type="http://schemas.openxmlformats.org/officeDocument/2006/relationships/hyperlink" Target="https://www.ebay.com/itm/389945918228" TargetMode="External" Id="rId111" /><Relationship Type="http://schemas.openxmlformats.org/officeDocument/2006/relationships/hyperlink" Target="https://www.ebay.com/itm/366718755179" TargetMode="External" Id="rId112" /><Relationship Type="http://schemas.openxmlformats.org/officeDocument/2006/relationships/hyperlink" Target="https://www.ebay.com/itm/128104115525" TargetMode="External" Id="rId113" /><Relationship Type="http://schemas.openxmlformats.org/officeDocument/2006/relationships/hyperlink" Target="https://www.ebay.com/itm/960033835048" TargetMode="External" Id="rId114" /><Relationship Type="http://schemas.openxmlformats.org/officeDocument/2006/relationships/hyperlink" Target="https://www.ebay.com/itm/198709471618" TargetMode="External" Id="rId115" /><Relationship Type="http://schemas.openxmlformats.org/officeDocument/2006/relationships/hyperlink" Target="https://www.ebay.com/itm/314675451357" TargetMode="External" Id="rId116" /><Relationship Type="http://schemas.openxmlformats.org/officeDocument/2006/relationships/hyperlink" Target="https://www.ebay.com/itm/227402767941" TargetMode="External" Id="rId117" /><Relationship Type="http://schemas.openxmlformats.org/officeDocument/2006/relationships/hyperlink" Target="https://www.ebay.com/itm/287620955096" TargetMode="External" Id="rId118" /><Relationship Type="http://schemas.openxmlformats.org/officeDocument/2006/relationships/hyperlink" Target="https://www.ebay.com/itm/307230030575" TargetMode="External" Id="rId119" /><Relationship Type="http://schemas.openxmlformats.org/officeDocument/2006/relationships/hyperlink" Target="https://www.ebay.com/itm/377526242250" TargetMode="External" Id="rId120" /><Relationship Type="http://schemas.openxmlformats.org/officeDocument/2006/relationships/hyperlink" Target="https://www.ebay.com/itm/407266245650" TargetMode="External" Id="rId121" /><Relationship Type="http://schemas.openxmlformats.org/officeDocument/2006/relationships/hyperlink" Target="https://www.ebay.com/itm/287649040444" TargetMode="External" Id="rId122" /><Relationship Type="http://schemas.openxmlformats.org/officeDocument/2006/relationships/hyperlink" Target="https://www.ebay.com/itm/257798619841" TargetMode="External" Id="rId123" /><Relationship Type="http://schemas.openxmlformats.org/officeDocument/2006/relationships/hyperlink" Target="https://www.ebay.com/itm/366720837166" TargetMode="External" Id="rId124" /><Relationship Type="http://schemas.openxmlformats.org/officeDocument/2006/relationships/hyperlink" Target="https://www.ebay.com/itm/960067352638" TargetMode="External" Id="rId125" /><Relationship Type="http://schemas.openxmlformats.org/officeDocument/2006/relationships/hyperlink" Target="https://www.ebay.com/itm/278426444361" TargetMode="External" Id="rId126" /><Relationship Type="http://schemas.openxmlformats.org/officeDocument/2006/relationships/hyperlink" Target="https://www.ebay.com/itm/117467045085" TargetMode="External" Id="rId127" /><Relationship Type="http://schemas.openxmlformats.org/officeDocument/2006/relationships/hyperlink" Target="https://www.ebay.com/itm/920034258776" TargetMode="External" Id="rId128" /><Relationship Type="http://schemas.openxmlformats.org/officeDocument/2006/relationships/hyperlink" Target="https://www.ebay.com/itm/178508431478" TargetMode="External" Id="rId129" /><Relationship Type="http://schemas.openxmlformats.org/officeDocument/2006/relationships/hyperlink" Target="https://www.ebay.com/itm/287648085856" TargetMode="External" Id="rId130" /><Relationship Type="http://schemas.openxmlformats.org/officeDocument/2006/relationships/hyperlink" Target="https://www.ebay.com/itm/327405616465" TargetMode="External" Id="rId131" /><Relationship Type="http://schemas.openxmlformats.org/officeDocument/2006/relationships/hyperlink" Target="https://www.ebay.com/itm/389732753480" TargetMode="External" Id="rId132" /><Relationship Type="http://schemas.openxmlformats.org/officeDocument/2006/relationships/hyperlink" Target="https://www.ebay.com/itm/158132772011" TargetMode="External" Id="rId133" /><Relationship Type="http://schemas.openxmlformats.org/officeDocument/2006/relationships/hyperlink" Target="https://www.ebay.com/itm/920041309011" TargetMode="External" Id="rId134" /><Relationship Type="http://schemas.openxmlformats.org/officeDocument/2006/relationships/hyperlink" Target="https://www.ebay.com/itm/305729926018" TargetMode="External" Id="rId135" /><Relationship Type="http://schemas.openxmlformats.org/officeDocument/2006/relationships/hyperlink" Target="https://www.ebay.com/itm/800773514419" TargetMode="External" Id="rId136" /><Relationship Type="http://schemas.openxmlformats.org/officeDocument/2006/relationships/hyperlink" Target="https://www.ebay.com/itm/389945918228" TargetMode="External" Id="rId137" /><Relationship Type="http://schemas.openxmlformats.org/officeDocument/2006/relationships/hyperlink" Target="https://www.ebay.com/itm/366718755179" TargetMode="External" Id="rId138" /><Relationship Type="http://schemas.openxmlformats.org/officeDocument/2006/relationships/hyperlink" Target="https://www.ebay.com/itm/128104115525" TargetMode="External" Id="rId139" /><Relationship Type="http://schemas.openxmlformats.org/officeDocument/2006/relationships/hyperlink" Target="https://www.ebay.com/itm/277814335680" TargetMode="External" Id="rId140" /><Relationship Type="http://schemas.openxmlformats.org/officeDocument/2006/relationships/hyperlink" Target="https://www.ebay.com/itm/237116946397" TargetMode="External" Id="rId141" /><Relationship Type="http://schemas.openxmlformats.org/officeDocument/2006/relationships/hyperlink" Target="https://www.ebay.com/itm/227568754751" TargetMode="External" Id="rId142" /><Relationship Type="http://schemas.openxmlformats.org/officeDocument/2006/relationships/hyperlink" Target="https://www.ebay.com/itm/227402767941" TargetMode="External" Id="rId143" /><Relationship Type="http://schemas.openxmlformats.org/officeDocument/2006/relationships/hyperlink" Target="https://www.ebay.com/itm/860047607150" TargetMode="External" Id="rId144" /><Relationship Type="http://schemas.openxmlformats.org/officeDocument/2006/relationships/hyperlink" Target="https://www.ebay.com/itm/327407001080" TargetMode="External" Id="rId145" /><Relationship Type="http://schemas.openxmlformats.org/officeDocument/2006/relationships/hyperlink" Target="https://www.ebay.com/itm/377526242250" TargetMode="External" Id="rId146" /><Relationship Type="http://schemas.openxmlformats.org/officeDocument/2006/relationships/hyperlink" Target="https://www.ebay.com/itm/820242820243" TargetMode="External" Id="rId147" /><Relationship Type="http://schemas.openxmlformats.org/officeDocument/2006/relationships/hyperlink" Target="https://www.ebay.com/itm/257573828939" TargetMode="External" Id="rId148" /><Relationship Type="http://schemas.openxmlformats.org/officeDocument/2006/relationships/hyperlink" Target="https://www.ebay.com/itm/840018075032" TargetMode="External" Id="rId149" /><Relationship Type="http://schemas.openxmlformats.org/officeDocument/2006/relationships/hyperlink" Target="https://www.ebay.com/itm/366720837166" TargetMode="External" Id="rId150" /><Relationship Type="http://schemas.openxmlformats.org/officeDocument/2006/relationships/hyperlink" Target="https://www.ebay.com/itm/880017129216" TargetMode="External" Id="rId151" /><Relationship Type="http://schemas.openxmlformats.org/officeDocument/2006/relationships/hyperlink" Target="https://www.ebay.com/itm/278426444361" TargetMode="External" Id="rId152" /><Relationship Type="http://schemas.openxmlformats.org/officeDocument/2006/relationships/hyperlink" Target="https://www.ebay.com/itm/117465237878" TargetMode="External" Id="rId153" /><Relationship Type="http://schemas.openxmlformats.org/officeDocument/2006/relationships/hyperlink" Target="https://www.ebay.com/itm/920034258776" TargetMode="External" Id="rId154" /><Relationship Type="http://schemas.openxmlformats.org/officeDocument/2006/relationships/hyperlink" Target="https://www.ebay.com/itm/178508431478" TargetMode="External" Id="rId155" /><Relationship Type="http://schemas.openxmlformats.org/officeDocument/2006/relationships/hyperlink" Target="https://www.ebay.com/itm/287648085856" TargetMode="External" Id="rId156" /><Relationship Type="http://schemas.openxmlformats.org/officeDocument/2006/relationships/hyperlink" Target="https://www.ebay.com/itm/860047344131" TargetMode="External" Id="rId157" /><Relationship Type="http://schemas.openxmlformats.org/officeDocument/2006/relationships/hyperlink" Target="https://www.ebay.com/itm/389732753480" TargetMode="External" Id="rId158" /><Relationship Type="http://schemas.openxmlformats.org/officeDocument/2006/relationships/hyperlink" Target="https://www.ebay.com/itm/158132772011" TargetMode="External" Id="rId159" /><Relationship Type="http://schemas.openxmlformats.org/officeDocument/2006/relationships/hyperlink" Target="https://www.ebay.com/itm/168798006867" TargetMode="External" Id="rId160" /><Relationship Type="http://schemas.openxmlformats.org/officeDocument/2006/relationships/hyperlink" Target="https://www.ebay.com/itm/305729926018" TargetMode="External" Id="rId161" /><Relationship Type="http://schemas.openxmlformats.org/officeDocument/2006/relationships/hyperlink" Target="https://www.ebay.com/itm/800773514419" TargetMode="External" Id="rId162" /><Relationship Type="http://schemas.openxmlformats.org/officeDocument/2006/relationships/hyperlink" Target="https://www.ebay.com/itm/389945918228" TargetMode="External" Id="rId163" /><Relationship Type="http://schemas.openxmlformats.org/officeDocument/2006/relationships/hyperlink" Target="https://www.ebay.com/itm/336848782800" TargetMode="External" Id="rId164" /><Relationship Type="http://schemas.openxmlformats.org/officeDocument/2006/relationships/hyperlink" Target="https://www.ebay.com/itm/128104115525" TargetMode="External" Id="rId165" /><Relationship Type="http://schemas.openxmlformats.org/officeDocument/2006/relationships/hyperlink" Target="https://www.ebay.com/itm/277814335680" TargetMode="External" Id="rId166" /><Relationship Type="http://schemas.openxmlformats.org/officeDocument/2006/relationships/hyperlink" Target="https://www.ebay.com/itm/237116946397" TargetMode="External" Id="rId167" /><Relationship Type="http://schemas.openxmlformats.org/officeDocument/2006/relationships/hyperlink" Target="https://www.ebay.com/itm/314675451357" TargetMode="External" Id="rId168" /><Relationship Type="http://schemas.openxmlformats.org/officeDocument/2006/relationships/hyperlink" Target="https://www.ebay.com/itm/227402767941" TargetMode="External" Id="rId169" /><Relationship Type="http://schemas.openxmlformats.org/officeDocument/2006/relationships/hyperlink" Target="https://www.ebay.com/itm/860047607150" TargetMode="External" Id="rId170" /><Relationship Type="http://schemas.openxmlformats.org/officeDocument/2006/relationships/hyperlink" Target="https://www.ebay.com/itm/900019342104" TargetMode="External" Id="rId171" /><Relationship Type="http://schemas.openxmlformats.org/officeDocument/2006/relationships/hyperlink" Target="https://www.ebay.com/itm/377526242250" TargetMode="External" Id="rId172" /><Relationship Type="http://schemas.openxmlformats.org/officeDocument/2006/relationships/hyperlink" Target="https://www.ebay.com/itm/147633357807" TargetMode="External" Id="rId173" /><Relationship Type="http://schemas.openxmlformats.org/officeDocument/2006/relationships/hyperlink" Target="https://www.ebay.com/itm/257573828939" TargetMode="External" Id="rId174" /><Relationship Type="http://schemas.openxmlformats.org/officeDocument/2006/relationships/hyperlink" Target="https://www.ebay.com/itm/840018075032" TargetMode="External" Id="rId175" /><Relationship Type="http://schemas.openxmlformats.org/officeDocument/2006/relationships/hyperlink" Target="https://www.ebay.com/itm/227570397990" TargetMode="External" Id="rId176" /><Relationship Type="http://schemas.openxmlformats.org/officeDocument/2006/relationships/hyperlink" Target="https://www.ebay.com/itm/880017129216" TargetMode="External" Id="rId177" /><Relationship Type="http://schemas.openxmlformats.org/officeDocument/2006/relationships/hyperlink" Target="https://www.ebay.com/itm/278426444361" TargetMode="External" Id="rId178" /><Relationship Type="http://schemas.openxmlformats.org/officeDocument/2006/relationships/hyperlink" Target="https://www.ebay.com/itm/198721415062" TargetMode="External" Id="rId179" /><Relationship Type="http://schemas.openxmlformats.org/officeDocument/2006/relationships/hyperlink" Target="https://www.ebay.com/itm/237079366010" TargetMode="External" Id="rId180" /><Relationship Type="http://schemas.openxmlformats.org/officeDocument/2006/relationships/hyperlink" Target="https://www.ebay.com/itm/940018837962" TargetMode="External" Id="rId181" /><Relationship Type="http://schemas.openxmlformats.org/officeDocument/2006/relationships/hyperlink" Target="https://www.ebay.com/itm/206583857191" TargetMode="External" Id="rId182" /><Relationship Type="http://schemas.openxmlformats.org/officeDocument/2006/relationships/hyperlink" Target="https://www.ebay.com/itm/168797865725" TargetMode="External" Id="rId183" /><Relationship Type="http://schemas.openxmlformats.org/officeDocument/2006/relationships/hyperlink" Target="https://www.ebay.com/itm/389732753480" TargetMode="External" Id="rId184" /><Relationship Type="http://schemas.openxmlformats.org/officeDocument/2006/relationships/hyperlink" Target="https://www.ebay.com/itm/327326823612" TargetMode="External" Id="rId185" /><Relationship Type="http://schemas.openxmlformats.org/officeDocument/2006/relationships/hyperlink" Target="https://www.ebay.com/itm/168798006867" TargetMode="External" Id="rId186" /><Relationship Type="http://schemas.openxmlformats.org/officeDocument/2006/relationships/hyperlink" Target="https://www.ebay.com/itm/305729926018" TargetMode="External" Id="rId187" /><Relationship Type="http://schemas.openxmlformats.org/officeDocument/2006/relationships/hyperlink" Target="https://www.ebay.com/itm/800773514419" TargetMode="External" Id="rId188" /><Relationship Type="http://schemas.openxmlformats.org/officeDocument/2006/relationships/hyperlink" Target="https://www.ebay.com/itm/389945918228" TargetMode="External" Id="rId189" /><Relationship Type="http://schemas.openxmlformats.org/officeDocument/2006/relationships/hyperlink" Target="https://www.ebay.com/itm/336848782800" TargetMode="External" Id="rId190" /><Relationship Type="http://schemas.openxmlformats.org/officeDocument/2006/relationships/hyperlink" Target="https://www.ebay.com/itm/128104115525" TargetMode="External" Id="rId191" /><Relationship Type="http://schemas.openxmlformats.org/officeDocument/2006/relationships/hyperlink" Target="https://www.ebay.com/itm/267816522689" TargetMode="External" Id="rId192" /><Relationship Type="http://schemas.openxmlformats.org/officeDocument/2006/relationships/hyperlink" Target="https://www.ebay.com/itm/237116946397" TargetMode="External" Id="rId193" /><Relationship Type="http://schemas.openxmlformats.org/officeDocument/2006/relationships/hyperlink" Target="https://www.ebay.com/itm/267395567857" TargetMode="External" Id="rId194" /><Relationship Type="http://schemas.openxmlformats.org/officeDocument/2006/relationships/hyperlink" Target="https://www.ebay.com/itm/227402767941" TargetMode="External" Id="rId195" /><Relationship Type="http://schemas.openxmlformats.org/officeDocument/2006/relationships/hyperlink" Target="https://www.ebay.com/itm/860047607150" TargetMode="External" Id="rId196" /><Relationship Type="http://schemas.openxmlformats.org/officeDocument/2006/relationships/hyperlink" Target="https://www.ebay.com/itm/900019342104" TargetMode="External" Id="rId197" /><Relationship Type="http://schemas.openxmlformats.org/officeDocument/2006/relationships/hyperlink" Target="https://www.ebay.com/itm/377526242250" TargetMode="External" Id="rId198" /><Relationship Type="http://schemas.openxmlformats.org/officeDocument/2006/relationships/hyperlink" Target="https://www.ebay.com/itm/920049063198" TargetMode="External" Id="rId199" /><Relationship Type="http://schemas.openxmlformats.org/officeDocument/2006/relationships/hyperlink" Target="https://www.ebay.com/itm/257573828939" TargetMode="External" Id="rId200" /><Relationship Type="http://schemas.openxmlformats.org/officeDocument/2006/relationships/hyperlink" Target="https://www.ebay.com/itm/840012219180" TargetMode="External" Id="rId201" /><Relationship Type="http://schemas.openxmlformats.org/officeDocument/2006/relationships/hyperlink" Target="https://www.ebay.com/itm/227570397990" TargetMode="External" Id="rId202" /><Relationship Type="http://schemas.openxmlformats.org/officeDocument/2006/relationships/hyperlink" Target="https://www.ebay.com/itm/128130996352" TargetMode="External" Id="rId203" /><Relationship Type="http://schemas.openxmlformats.org/officeDocument/2006/relationships/hyperlink" Target="https://www.ebay.com/itm/227571980043" TargetMode="External" Id="rId204" /><Relationship Type="http://schemas.openxmlformats.org/officeDocument/2006/relationships/hyperlink" Target="https://www.ebay.com/itm/117465237878" TargetMode="External" Id="rId205" /><Relationship Type="http://schemas.openxmlformats.org/officeDocument/2006/relationships/hyperlink" Target="https://www.ebay.com/itm/117275337878" TargetMode="External" Id="rId206" /><Relationship Type="http://schemas.openxmlformats.org/officeDocument/2006/relationships/hyperlink" Target="https://www.ebay.com/itm/178508431478" TargetMode="External" Id="rId207" /><Relationship Type="http://schemas.openxmlformats.org/officeDocument/2006/relationships/hyperlink" Target="https://www.ebay.com/itm/137852196808" TargetMode="External" Id="rId208" /><Relationship Type="http://schemas.openxmlformats.org/officeDocument/2006/relationships/hyperlink" Target="https://www.ebay.com/itm/168797865725" TargetMode="External" Id="rId209" /><Relationship Type="http://schemas.openxmlformats.org/officeDocument/2006/relationships/hyperlink" Target="https://www.ebay.com/itm/389732753480" TargetMode="External" Id="rId210" /><Relationship Type="http://schemas.openxmlformats.org/officeDocument/2006/relationships/hyperlink" Target="https://www.ebay.com/itm/960087777882" TargetMode="External" Id="rId211" /><Relationship Type="http://schemas.openxmlformats.org/officeDocument/2006/relationships/hyperlink" Target="https://www.ebay.com/itm/168798006867" TargetMode="External" Id="rId212" /><Relationship Type="http://schemas.openxmlformats.org/officeDocument/2006/relationships/hyperlink" Target="https://www.ebay.com/itm/305729926018" TargetMode="External" Id="rId213" /><Relationship Type="http://schemas.openxmlformats.org/officeDocument/2006/relationships/hyperlink" Target="https://www.ebay.com/itm/800773514419" TargetMode="External" Id="rId214" /><Relationship Type="http://schemas.openxmlformats.org/officeDocument/2006/relationships/hyperlink" Target="https://www.ebay.com/itm/389945918228" TargetMode="External" Id="rId215" /><Relationship Type="http://schemas.openxmlformats.org/officeDocument/2006/relationships/hyperlink" Target="https://www.ebay.com/itm/336848782800" TargetMode="External" Id="rId216" /><Relationship Type="http://schemas.openxmlformats.org/officeDocument/2006/relationships/hyperlink" Target="https://www.ebay.com/itm/128104115525" TargetMode="External" Id="rId217" /><Relationship Type="http://schemas.openxmlformats.org/officeDocument/2006/relationships/hyperlink" Target="https://www.ebay.com/itm/267816522689" TargetMode="External" Id="rId218" /><Relationship Type="http://schemas.openxmlformats.org/officeDocument/2006/relationships/hyperlink" Target="https://www.ebay.com/itm/237116946397" TargetMode="External" Id="rId219" /><Relationship Type="http://schemas.openxmlformats.org/officeDocument/2006/relationships/hyperlink" Target="https://www.ebay.com/itm/137849777981" TargetMode="External" Id="rId220" /><Relationship Type="http://schemas.openxmlformats.org/officeDocument/2006/relationships/hyperlink" Target="https://www.ebay.com/itm/227402767941" TargetMode="External" Id="rId221" /><Relationship Type="http://schemas.openxmlformats.org/officeDocument/2006/relationships/hyperlink" Target="https://www.ebay.com/itm/137856039666" TargetMode="External" Id="rId222" /><Relationship Type="http://schemas.openxmlformats.org/officeDocument/2006/relationships/hyperlink" Target="https://www.ebay.com/itm/278191566067" TargetMode="External" Id="rId223" /><Relationship Type="http://schemas.openxmlformats.org/officeDocument/2006/relationships/hyperlink" Target="https://www.ebay.com/itm/377526242250" TargetMode="External" Id="rId224" /><Relationship Type="http://schemas.openxmlformats.org/officeDocument/2006/relationships/hyperlink" Target="https://www.ebay.com/itm/840034550293" TargetMode="External" Id="rId225" /><Relationship Type="http://schemas.openxmlformats.org/officeDocument/2006/relationships/hyperlink" Target="https://www.ebay.com/itm/257573828939" TargetMode="External" Id="rId226" /><Relationship Type="http://schemas.openxmlformats.org/officeDocument/2006/relationships/hyperlink" Target="https://www.ebay.com/itm/840012219180" TargetMode="External" Id="rId227" /><Relationship Type="http://schemas.openxmlformats.org/officeDocument/2006/relationships/hyperlink" Target="https://www.ebay.com/itm/366720837166" TargetMode="External" Id="rId228" /><Relationship Type="http://schemas.openxmlformats.org/officeDocument/2006/relationships/hyperlink" Target="https://www.ebay.com/itm/128130996352" TargetMode="External" Id="rId229" /><Relationship Type="http://schemas.openxmlformats.org/officeDocument/2006/relationships/hyperlink" Target="https://www.ebay.com/itm/800769479530" TargetMode="External" Id="rId230" /><Relationship Type="http://schemas.openxmlformats.org/officeDocument/2006/relationships/hyperlink" Target="https://www.ebay.com/itm/117465237878" TargetMode="External" Id="rId231" /><Relationship Type="http://schemas.openxmlformats.org/officeDocument/2006/relationships/hyperlink" Target="https://www.ebay.com/itm/117275337878" TargetMode="External" Id="rId232" /><Relationship Type="http://schemas.openxmlformats.org/officeDocument/2006/relationships/hyperlink" Target="https://www.ebay.com/itm/206628486472" TargetMode="External" Id="rId233" /><Relationship Type="http://schemas.openxmlformats.org/officeDocument/2006/relationships/hyperlink" Target="https://www.ebay.com/itm/336850650489" TargetMode="External" Id="rId234" /><Relationship Type="http://schemas.openxmlformats.org/officeDocument/2006/relationships/hyperlink" Target="https://www.ebay.com/itm/318826733936" TargetMode="External" Id="rId235" /><Relationship Type="http://schemas.openxmlformats.org/officeDocument/2006/relationships/hyperlink" Target="https://www.ebay.com/itm/389732753480" TargetMode="External" Id="rId236" /><Relationship Type="http://schemas.openxmlformats.org/officeDocument/2006/relationships/hyperlink" Target="https://www.ebay.com/itm/327326823612" TargetMode="External" Id="rId237" /><Relationship Type="http://schemas.openxmlformats.org/officeDocument/2006/relationships/hyperlink" Target="https://www.ebay.com/itm/168798006867" TargetMode="External" Id="rId238" /><Relationship Type="http://schemas.openxmlformats.org/officeDocument/2006/relationships/hyperlink" Target="https://www.ebay.com/itm/305729926018" TargetMode="External" Id="rId239" /><Relationship Type="http://schemas.openxmlformats.org/officeDocument/2006/relationships/hyperlink" Target="https://www.ebay.com/itm/800773514419" TargetMode="External" Id="rId240" /><Relationship Type="http://schemas.openxmlformats.org/officeDocument/2006/relationships/hyperlink" Target="https://www.ebay.com/itm/389945918228" TargetMode="External" Id="rId241" /><Relationship Type="http://schemas.openxmlformats.org/officeDocument/2006/relationships/hyperlink" Target="https://www.ebay.com/itm/189020669164" TargetMode="External" Id="rId242" /><Relationship Type="http://schemas.openxmlformats.org/officeDocument/2006/relationships/hyperlink" Target="https://www.ebay.com/itm/327408972899" TargetMode="External" Id="rId243" /><Relationship Type="http://schemas.openxmlformats.org/officeDocument/2006/relationships/hyperlink" Target="https://www.ebay.com/itm/117476040544" TargetMode="External" Id="rId244" /><Relationship Type="http://schemas.openxmlformats.org/officeDocument/2006/relationships/hyperlink" Target="https://www.ebay.com/itm/307216088615" TargetMode="External" Id="rId245" /><Relationship Type="http://schemas.openxmlformats.org/officeDocument/2006/relationships/hyperlink" Target="https://www.ebay.com/itm/800814608902" TargetMode="External" Id="rId246" /><Relationship Type="http://schemas.openxmlformats.org/officeDocument/2006/relationships/hyperlink" Target="https://www.ebay.com/itm/147643723246" TargetMode="External" Id="rId247" /><Relationship Type="http://schemas.openxmlformats.org/officeDocument/2006/relationships/hyperlink" Target="https://www.ebay.com/itm/880031617123" TargetMode="External" Id="rId248" /><Relationship Type="http://schemas.openxmlformats.org/officeDocument/2006/relationships/hyperlink" Target="https://www.ebay.com/itm/278191566067" TargetMode="External" Id="rId249" /><Relationship Type="http://schemas.openxmlformats.org/officeDocument/2006/relationships/hyperlink" Target="https://www.ebay.com/itm/377526242250" TargetMode="External" Id="rId250" /><Relationship Type="http://schemas.openxmlformats.org/officeDocument/2006/relationships/hyperlink" Target="https://www.ebay.com/itm/168796327027" TargetMode="External" Id="rId251" /><Relationship Type="http://schemas.openxmlformats.org/officeDocument/2006/relationships/hyperlink" Target="https://www.ebay.com/itm/257573828939" TargetMode="External" Id="rId252" /><Relationship Type="http://schemas.openxmlformats.org/officeDocument/2006/relationships/hyperlink" Target="https://www.ebay.com/itm/840012219180" TargetMode="External" Id="rId253" /><Relationship Type="http://schemas.openxmlformats.org/officeDocument/2006/relationships/hyperlink" Target="https://www.ebay.com/itm/318668183718" TargetMode="External" Id="rId254" /><Relationship Type="http://schemas.openxmlformats.org/officeDocument/2006/relationships/hyperlink" Target="https://www.ebay.com/itm/366745827965" TargetMode="External" Id="rId255" /><Relationship Type="http://schemas.openxmlformats.org/officeDocument/2006/relationships/hyperlink" Target="https://www.ebay.com/itm/117465237878" TargetMode="External" Id="rId256" /><Relationship Type="http://schemas.openxmlformats.org/officeDocument/2006/relationships/hyperlink" Target="https://www.ebay.com/itm/960089629989" TargetMode="External" Id="rId257" /><Relationship Type="http://schemas.openxmlformats.org/officeDocument/2006/relationships/hyperlink" Target="https://www.ebay.com/itm/327413895647" TargetMode="External" Id="rId258" /><Relationship Type="http://schemas.openxmlformats.org/officeDocument/2006/relationships/hyperlink" Target="https://www.ebay.com/itm/336852243819" TargetMode="External" Id="rId259" /><Relationship Type="http://schemas.openxmlformats.org/officeDocument/2006/relationships/hyperlink" Target="https://www.ebay.com/itm/307236693052" TargetMode="External" Id="rId260" /><Relationship Type="http://schemas.openxmlformats.org/officeDocument/2006/relationships/hyperlink" Target="https://www.ebay.com/itm/267783448764" TargetMode="External" Id="rId261" /><Relationship Type="http://schemas.openxmlformats.org/officeDocument/2006/relationships/hyperlink" Target="https://www.ebay.com/itm/147636765969" TargetMode="External" Id="rId262" /><Relationship Type="http://schemas.openxmlformats.org/officeDocument/2006/relationships/hyperlink" Target="https://www.ebay.com/itm/880031658199" TargetMode="External" Id="rId263" /><Relationship Type="http://schemas.openxmlformats.org/officeDocument/2006/relationships/hyperlink" Target="https://www.ebay.com/itm/147253923369" TargetMode="External" Id="rId264" /><Relationship Type="http://schemas.openxmlformats.org/officeDocument/2006/relationships/hyperlink" Target="https://www.ebay.com/itm/336834188815" TargetMode="External" Id="rId265" /><Relationship Type="http://schemas.openxmlformats.org/officeDocument/2006/relationships/hyperlink" Target="https://www.ebay.com/itm/227510711720" TargetMode="External" Id="rId266" /><Relationship Type="http://schemas.openxmlformats.org/officeDocument/2006/relationships/hyperlink" Target="https://www.ebay.com/itm/389732753480" TargetMode="External" Id="rId267" /><Relationship Type="http://schemas.openxmlformats.org/officeDocument/2006/relationships/hyperlink" Target="https://www.ebay.com/itm/327326823612" TargetMode="External" Id="rId268" /><Relationship Type="http://schemas.openxmlformats.org/officeDocument/2006/relationships/hyperlink" Target="https://www.ebay.com/itm/187668752673" TargetMode="External" Id="rId269" /><Relationship Type="http://schemas.openxmlformats.org/officeDocument/2006/relationships/hyperlink" Target="https://www.ebay.com/itm/168805855615" TargetMode="External" Id="rId270" /><Relationship Type="http://schemas.openxmlformats.org/officeDocument/2006/relationships/hyperlink" Target="https://www.ebay.com/itm/800773514419" TargetMode="External" Id="rId271" /><Relationship Type="http://schemas.openxmlformats.org/officeDocument/2006/relationships/hyperlink" Target="https://www.ebay.com/itm/389945918228" TargetMode="External" Id="rId272" /><Relationship Type="http://schemas.openxmlformats.org/officeDocument/2006/relationships/hyperlink" Target="https://www.ebay.com/itm/206529899548" TargetMode="External" Id="rId273" /><Relationship Type="http://schemas.openxmlformats.org/officeDocument/2006/relationships/hyperlink" Target="https://www.ebay.com/itm/327408972899" TargetMode="External" Id="rId274" /><Relationship Type="http://schemas.openxmlformats.org/officeDocument/2006/relationships/hyperlink" Target="https://www.ebay.com/itm/267816522689" TargetMode="External" Id="rId275" /><Relationship Type="http://schemas.openxmlformats.org/officeDocument/2006/relationships/hyperlink" Target="https://www.ebay.com/itm/287572296725" TargetMode="External" Id="rId276" /><Relationship Type="http://schemas.openxmlformats.org/officeDocument/2006/relationships/hyperlink" Target="https://www.ebay.com/itm/800814608902" TargetMode="External" Id="rId277" /><Relationship Type="http://schemas.openxmlformats.org/officeDocument/2006/relationships/hyperlink" Target="https://www.ebay.com/itm/206636986020" TargetMode="External" Id="rId278" /><Relationship Type="http://schemas.openxmlformats.org/officeDocument/2006/relationships/hyperlink" Target="https://www.ebay.com/itm/147636765969" TargetMode="External" Id="rId279" /><Relationship Type="http://schemas.openxmlformats.org/officeDocument/2006/relationships/hyperlink" Target="https://www.ebay.com/itm/178171157775" TargetMode="External" Id="rId280" /><Relationship Type="http://schemas.openxmlformats.org/officeDocument/2006/relationships/hyperlink" Target="https://www.ebay.com/itm/880031617123" TargetMode="External" Id="rId281" /><Relationship Type="http://schemas.openxmlformats.org/officeDocument/2006/relationships/hyperlink" Target="https://www.ebay.com/itm/198733125600" TargetMode="External" Id="rId282" /><Relationship Type="http://schemas.openxmlformats.org/officeDocument/2006/relationships/hyperlink" Target="https://www.ebay.com/itm/398405350724" TargetMode="External" Id="rId283" /><Relationship Type="http://schemas.openxmlformats.org/officeDocument/2006/relationships/hyperlink" Target="https://www.ebay.com/itm/168796327027" TargetMode="External" Id="rId284" /><Relationship Type="http://schemas.openxmlformats.org/officeDocument/2006/relationships/hyperlink" Target="https://www.ebay.com/itm/257573828939" TargetMode="External" Id="rId285" /><Relationship Type="http://schemas.openxmlformats.org/officeDocument/2006/relationships/hyperlink" Target="https://www.ebay.com/itm/117476596225" TargetMode="External" Id="rId286" /><Relationship Type="http://schemas.openxmlformats.org/officeDocument/2006/relationships/hyperlink" Target="https://www.ebay.com/itm/318668183718" TargetMode="External" Id="rId287" /><Relationship Type="http://schemas.openxmlformats.org/officeDocument/2006/relationships/hyperlink" Target="https://www.ebay.com/itm/407301641146" TargetMode="External" Id="rId288" /><Relationship Type="http://schemas.openxmlformats.org/officeDocument/2006/relationships/hyperlink" Target="https://www.ebay.com/itm/880035321066" TargetMode="External" Id="rId289" /><Relationship Type="http://schemas.openxmlformats.org/officeDocument/2006/relationships/hyperlink" Target="https://www.ebay.com/itm/128145030685" TargetMode="External" Id="rId290" /><Relationship Type="http://schemas.openxmlformats.org/officeDocument/2006/relationships/hyperlink" Target="https://www.ebay.com/itm/116237423865" TargetMode="External" Id="rId291" /><Relationship Type="http://schemas.openxmlformats.org/officeDocument/2006/relationships/hyperlink" Target="https://www.ebay.com/itm/327413895647" TargetMode="External" Id="rId292" /><Relationship Type="http://schemas.openxmlformats.org/officeDocument/2006/relationships/hyperlink" Target="https://www.ebay.com/itm/336852243819" TargetMode="External" Id="rId293" /><Relationship Type="http://schemas.openxmlformats.org/officeDocument/2006/relationships/hyperlink" Target="https://www.ebay.com/itm/147644505295" TargetMode="External" Id="rId294" /><Relationship Type="http://schemas.openxmlformats.org/officeDocument/2006/relationships/hyperlink" Target="https://www.ebay.com/itm/327275170355" TargetMode="External" Id="rId295" /><Relationship Type="http://schemas.openxmlformats.org/officeDocument/2006/relationships/hyperlink" Target="https://www.ebay.com/itm/800787340076" TargetMode="External" Id="rId296" /><Relationship Type="http://schemas.openxmlformats.org/officeDocument/2006/relationships/hyperlink" Target="https://www.ebay.com/itm/266764723704" TargetMode="External" Id="rId297" /><Relationship Type="http://schemas.openxmlformats.org/officeDocument/2006/relationships/hyperlink" Target="https://www.ebay.com/itm/128148777373" TargetMode="External" Id="rId298" /><Relationship Type="http://schemas.openxmlformats.org/officeDocument/2006/relationships/hyperlink" Target="https://www.ebay.com/itm/187668752673" TargetMode="External" Id="rId299" /><Relationship Type="http://schemas.openxmlformats.org/officeDocument/2006/relationships/hyperlink" Target="https://www.ebay.com/itm/305729926018" TargetMode="External" Id="rId300" /><Relationship Type="http://schemas.openxmlformats.org/officeDocument/2006/relationships/hyperlink" Target="https://www.ebay.com/itm/800773514419" TargetMode="External" Id="rId301" /><Relationship Type="http://schemas.openxmlformats.org/officeDocument/2006/relationships/hyperlink" Target="https://www.ebay.com/itm/389945918228" TargetMode="External" Id="rId302" /><Relationship Type="http://schemas.openxmlformats.org/officeDocument/2006/relationships/hyperlink" Target="https://www.ebay.com/itm/206529899548" TargetMode="External" Id="rId303" /><Relationship Type="http://schemas.openxmlformats.org/officeDocument/2006/relationships/hyperlink" Target="https://www.ebay.com/itm/287663939921" TargetMode="External" Id="rId304" /><Relationship Type="http://schemas.openxmlformats.org/officeDocument/2006/relationships/hyperlink" Target="https://www.ebay.com/itm/820263539684" TargetMode="External" Id="rId305" /><Relationship Type="http://schemas.openxmlformats.org/officeDocument/2006/relationships/hyperlink" Target="https://www.ebay.com/itm/287572296725" TargetMode="External" Id="rId306" /><Relationship Type="http://schemas.openxmlformats.org/officeDocument/2006/relationships/hyperlink" Target="https://www.ebay.com/itm/800821980146" TargetMode="External" Id="rId307" /><Relationship Type="http://schemas.openxmlformats.org/officeDocument/2006/relationships/hyperlink" Target="https://www.ebay.com/itm/206636986020" TargetMode="External" Id="rId308" /><Relationship Type="http://schemas.openxmlformats.org/officeDocument/2006/relationships/hyperlink" Target="https://www.ebay.com/itm/147636765969" TargetMode="External" Id="rId309" /><Relationship Type="http://schemas.openxmlformats.org/officeDocument/2006/relationships/hyperlink" Target="https://www.ebay.com/itm/178171157775" TargetMode="External" Id="rId310" /><Relationship Type="http://schemas.openxmlformats.org/officeDocument/2006/relationships/hyperlink" Target="https://www.ebay.com/itm/880031617123" TargetMode="External" Id="rId311" /><Relationship Type="http://schemas.openxmlformats.org/officeDocument/2006/relationships/hyperlink" Target="https://www.ebay.com/itm/198733125600" TargetMode="External" Id="rId312" /><Relationship Type="http://schemas.openxmlformats.org/officeDocument/2006/relationships/hyperlink" Target="https://www.ebay.com/itm/227491187627" TargetMode="External" Id="rId313" /><Relationship Type="http://schemas.openxmlformats.org/officeDocument/2006/relationships/hyperlink" Target="https://www.ebay.com/itm/920061700470" TargetMode="External" Id="rId314" /><Relationship Type="http://schemas.openxmlformats.org/officeDocument/2006/relationships/hyperlink" Target="https://www.ebay.com/itm/257573828939" TargetMode="External" Id="rId315" /><Relationship Type="http://schemas.openxmlformats.org/officeDocument/2006/relationships/hyperlink" Target="https://www.ebay.com/itm/287547475225" TargetMode="External" Id="rId316" /><Relationship Type="http://schemas.openxmlformats.org/officeDocument/2006/relationships/hyperlink" Target="https://www.ebay.com/itm/128148988213" TargetMode="External" Id="rId317" /><Relationship Type="http://schemas.openxmlformats.org/officeDocument/2006/relationships/hyperlink" Target="https://www.ebay.com/itm/407301641146" TargetMode="External" Id="rId318" /><Relationship Type="http://schemas.openxmlformats.org/officeDocument/2006/relationships/hyperlink" Target="https://www.ebay.com/itm/128145030685" TargetMode="External" Id="rId319" /><Relationship Type="http://schemas.openxmlformats.org/officeDocument/2006/relationships/hyperlink" Target="https://www.ebay.com/itm/117275337878" TargetMode="External" Id="rId320" /><Relationship Type="http://schemas.openxmlformats.org/officeDocument/2006/relationships/hyperlink" Target="https://www.ebay.com/itm/327417091114" TargetMode="External" Id="rId321" /><Relationship Type="http://schemas.openxmlformats.org/officeDocument/2006/relationships/hyperlink" Target="https://www.ebay.com/itm/840039201782" TargetMode="External" Id="rId322" /><Relationship Type="http://schemas.openxmlformats.org/officeDocument/2006/relationships/hyperlink" Target="https://www.ebay.com/itm/880014108252" TargetMode="External" Id="rId323" /><Relationship Type="http://schemas.openxmlformats.org/officeDocument/2006/relationships/hyperlink" Target="https://www.ebay.com/itm/327275170355" TargetMode="External" Id="rId324" /><Relationship Type="http://schemas.openxmlformats.org/officeDocument/2006/relationships/hyperlink" Target="https://www.ebay.com/itm/257792135268" TargetMode="External" Id="rId325" /><Relationship Type="http://schemas.openxmlformats.org/officeDocument/2006/relationships/hyperlink" Target="https://www.ebay.com/itm/266764723704" TargetMode="External" Id="rId326" /><Relationship Type="http://schemas.openxmlformats.org/officeDocument/2006/relationships/hyperlink" Target="https://www.ebay.com/itm/128148777373" TargetMode="External" Id="rId327" /><Relationship Type="http://schemas.openxmlformats.org/officeDocument/2006/relationships/hyperlink" Target="https://www.ebay.com/itm/206610079456" TargetMode="External" Id="rId328" /><Relationship Type="http://schemas.openxmlformats.org/officeDocument/2006/relationships/hyperlink" Target="https://www.ebay.com/itm/305729926018" TargetMode="External" Id="rId329" /><Relationship Type="http://schemas.openxmlformats.org/officeDocument/2006/relationships/hyperlink" Target="https://www.ebay.com/itm/117481448193" TargetMode="External" Id="rId330" /><Relationship Type="http://schemas.openxmlformats.org/officeDocument/2006/relationships/hyperlink" Target="https://www.ebay.com/itm/389945918228" TargetMode="External" Id="rId331" /><Relationship Type="http://schemas.openxmlformats.org/officeDocument/2006/relationships/hyperlink" Target="https://www.ebay.com/itm/128145077866" TargetMode="External" Id="rId332" /><Relationship Type="http://schemas.openxmlformats.org/officeDocument/2006/relationships/hyperlink" Target="https://www.ebay.com/itm/287663939921" TargetMode="External" Id="rId333" /><Relationship Type="http://schemas.openxmlformats.org/officeDocument/2006/relationships/hyperlink" Target="https://www.ebay.com/itm/820263539684" TargetMode="External" Id="rId334" /><Relationship Type="http://schemas.openxmlformats.org/officeDocument/2006/relationships/hyperlink" Target="https://www.ebay.com/itm/147407453126" TargetMode="External" Id="rId335" /><Relationship Type="http://schemas.openxmlformats.org/officeDocument/2006/relationships/hyperlink" Target="https://www.ebay.com/itm/800821980146" TargetMode="External" Id="rId336" /><Relationship Type="http://schemas.openxmlformats.org/officeDocument/2006/relationships/hyperlink" Target="https://www.ebay.com/itm/237139218732" TargetMode="External" Id="rId337" /><Relationship Type="http://schemas.openxmlformats.org/officeDocument/2006/relationships/hyperlink" Target="https://www.ebay.com/itm/147636765969" TargetMode="External" Id="rId338" /><Relationship Type="http://schemas.openxmlformats.org/officeDocument/2006/relationships/hyperlink" Target="https://www.ebay.com/itm/178171157775" TargetMode="External" Id="rId339" /><Relationship Type="http://schemas.openxmlformats.org/officeDocument/2006/relationships/hyperlink" Target="https://www.ebay.com/itm/880031617123" TargetMode="External" Id="rId340" /><Relationship Type="http://schemas.openxmlformats.org/officeDocument/2006/relationships/hyperlink" Target="https://www.ebay.com/itm/198733125600" TargetMode="External" Id="rId341" /><Relationship Type="http://schemas.openxmlformats.org/officeDocument/2006/relationships/hyperlink" Target="https://www.ebay.com/itm/257812407510" TargetMode="External" Id="rId342" /><Relationship Type="http://schemas.openxmlformats.org/officeDocument/2006/relationships/hyperlink" Target="https://www.ebay.com/itm/840049268910" TargetMode="External" Id="rId343" /><Relationship Type="http://schemas.openxmlformats.org/officeDocument/2006/relationships/hyperlink" Target="https://www.ebay.com/itm/257573828939" TargetMode="External" Id="rId344" /><Relationship Type="http://schemas.openxmlformats.org/officeDocument/2006/relationships/hyperlink" Target="https://www.ebay.com/itm/128150802586" TargetMode="External" Id="rId345" /><Relationship Type="http://schemas.openxmlformats.org/officeDocument/2006/relationships/hyperlink" Target="https://www.ebay.com/itm/128148988213" TargetMode="External" Id="rId346" /><Relationship Type="http://schemas.openxmlformats.org/officeDocument/2006/relationships/hyperlink" Target="https://www.ebay.com/itm/960102500017" TargetMode="External" Id="rId347" /><Relationship Type="http://schemas.openxmlformats.org/officeDocument/2006/relationships/hyperlink" Target="https://www.ebay.com/itm/117469884175" TargetMode="External" Id="rId348" /><Relationship Type="http://schemas.openxmlformats.org/officeDocument/2006/relationships/hyperlink" Target="https://www.ebay.com/itm/206603692960" TargetMode="External" Id="rId349" /><Relationship Type="http://schemas.openxmlformats.org/officeDocument/2006/relationships/hyperlink" Target="https://www.ebay.com/itm/860075577257" TargetMode="External" Id="rId350" /><Relationship Type="http://schemas.openxmlformats.org/officeDocument/2006/relationships/hyperlink" Target="https://www.ebay.com/itm/840039201782" TargetMode="External" Id="rId351" /><Relationship Type="http://schemas.openxmlformats.org/officeDocument/2006/relationships/hyperlink" Target="https://www.ebay.com/itm/117431231554" TargetMode="External" Id="rId352" /><Relationship Type="http://schemas.openxmlformats.org/officeDocument/2006/relationships/hyperlink" Target="https://www.ebay.com/itm/327275170355" TargetMode="External" Id="rId353" /><Relationship Type="http://schemas.openxmlformats.org/officeDocument/2006/relationships/hyperlink" Target="https://www.ebay.com/itm/257792135268" TargetMode="External" Id="rId354" /><Relationship Type="http://schemas.openxmlformats.org/officeDocument/2006/relationships/hyperlink" Target="https://www.ebay.com/itm/266764723704" TargetMode="External" Id="rId355" /><Relationship Type="http://schemas.openxmlformats.org/officeDocument/2006/relationships/hyperlink" Target="https://www.ebay.com/itm/128148777373" TargetMode="External" Id="rId356" /><Relationship Type="http://schemas.openxmlformats.org/officeDocument/2006/relationships/hyperlink" Target="https://www.ebay.com/itm/187668752673" TargetMode="External" Id="rId357" /><Relationship Type="http://schemas.openxmlformats.org/officeDocument/2006/relationships/hyperlink" Target="https://www.ebay.com/itm/305729926018" TargetMode="External" Id="rId358" /><Relationship Type="http://schemas.openxmlformats.org/officeDocument/2006/relationships/hyperlink" Target="https://www.ebay.com/itm/117481448193" TargetMode="External" Id="rId359" /><Relationship Type="http://schemas.openxmlformats.org/officeDocument/2006/relationships/hyperlink" Target="https://www.ebay.com/itm/389945918228" TargetMode="External" Id="rId360" /><Relationship Type="http://schemas.openxmlformats.org/officeDocument/2006/relationships/hyperlink" Target="https://www.ebay.com/itm/128145077866" TargetMode="External" Id="rId361" /><Relationship Type="http://schemas.openxmlformats.org/officeDocument/2006/relationships/hyperlink" Target="https://www.ebay.com/itm/327408972899" TargetMode="External" Id="rId362" /><Relationship Type="http://schemas.openxmlformats.org/officeDocument/2006/relationships/hyperlink" Target="https://www.ebay.com/itm/147595555861" TargetMode="External" Id="rId363" /><Relationship Type="http://schemas.openxmlformats.org/officeDocument/2006/relationships/hyperlink" Target="https://www.ebay.com/itm/157424692080" TargetMode="External" Id="rId364" /><Relationship Type="http://schemas.openxmlformats.org/officeDocument/2006/relationships/hyperlink" Target="https://www.ebay.com/itm/800821980146" TargetMode="External" Id="rId365" /><Relationship Type="http://schemas.openxmlformats.org/officeDocument/2006/relationships/hyperlink" Target="https://www.ebay.com/itm/377593610877" TargetMode="External" Id="rId366" /><Relationship Type="http://schemas.openxmlformats.org/officeDocument/2006/relationships/hyperlink" Target="https://www.ebay.com/itm/267799061448" TargetMode="External" Id="rId367" /><Relationship Type="http://schemas.openxmlformats.org/officeDocument/2006/relationships/hyperlink" Target="https://www.ebay.com/itm/178171157775" TargetMode="External" Id="rId368" /><Relationship Type="http://schemas.openxmlformats.org/officeDocument/2006/relationships/hyperlink" Target="https://www.ebay.com/itm/117471054969" TargetMode="External" Id="rId369" /><Relationship Type="http://schemas.openxmlformats.org/officeDocument/2006/relationships/hyperlink" Target="https://www.ebay.com/itm/307246440324" TargetMode="External" Id="rId370" /><Relationship Type="http://schemas.openxmlformats.org/officeDocument/2006/relationships/hyperlink" Target="https://www.ebay.com/itm/257812407510" TargetMode="External" Id="rId371" /><Relationship Type="http://schemas.openxmlformats.org/officeDocument/2006/relationships/hyperlink" Target="https://www.ebay.com/itm/307246441841" TargetMode="External" Id="rId372" /><Relationship Type="http://schemas.openxmlformats.org/officeDocument/2006/relationships/hyperlink" Target="https://www.ebay.com/itm/257573828939" TargetMode="External" Id="rId373" /><Relationship Type="http://schemas.openxmlformats.org/officeDocument/2006/relationships/hyperlink" Target="https://www.ebay.com/itm/267822038006" TargetMode="External" Id="rId374" /><Relationship Type="http://schemas.openxmlformats.org/officeDocument/2006/relationships/hyperlink" Target="https://www.ebay.com/itm/366757503836" TargetMode="External" Id="rId375" /><Relationship Type="http://schemas.openxmlformats.org/officeDocument/2006/relationships/hyperlink" Target="https://www.ebay.com/itm/237124274383" TargetMode="External" Id="rId376" /><Relationship Type="http://schemas.openxmlformats.org/officeDocument/2006/relationships/hyperlink" Target="https://www.ebay.com/itm/960107931839" TargetMode="External" Id="rId377" /><Relationship Type="http://schemas.openxmlformats.org/officeDocument/2006/relationships/hyperlink" Target="https://www.ebay.com/itm/128145030685" TargetMode="External" Id="rId378" /><Relationship Type="http://schemas.openxmlformats.org/officeDocument/2006/relationships/hyperlink" Target="https://www.ebay.com/itm/206603692960" TargetMode="External" Id="rId379" /><Relationship Type="http://schemas.openxmlformats.org/officeDocument/2006/relationships/hyperlink" Target="https://www.ebay.com/itm/366757155202" TargetMode="External" Id="rId380" /><Relationship Type="http://schemas.openxmlformats.org/officeDocument/2006/relationships/hyperlink" Target="https://www.ebay.com/itm/840039201782" TargetMode="External" Id="rId381" /><Relationship Type="http://schemas.openxmlformats.org/officeDocument/2006/relationships/hyperlink" Target="https://www.ebay.com/itm/117431231554" TargetMode="External" Id="rId382" /><Relationship Type="http://schemas.openxmlformats.org/officeDocument/2006/relationships/hyperlink" Target="https://www.ebay.com/itm/327275170355" TargetMode="External" Id="rId383" /><Relationship Type="http://schemas.openxmlformats.org/officeDocument/2006/relationships/hyperlink" Target="https://www.ebay.com/itm/257792135268" TargetMode="External" Id="rId384" /><Relationship Type="http://schemas.openxmlformats.org/officeDocument/2006/relationships/hyperlink" Target="https://www.ebay.com/itm/266764723704" TargetMode="External" Id="rId385" /><Relationship Type="http://schemas.openxmlformats.org/officeDocument/2006/relationships/hyperlink" Target="https://www.ebay.com/itm/128148777373" TargetMode="External" Id="rId386" /><Relationship Type="http://schemas.openxmlformats.org/officeDocument/2006/relationships/hyperlink" Target="https://www.ebay.com/itm/187668752673" TargetMode="External" Id="rId387" /><Relationship Type="http://schemas.openxmlformats.org/officeDocument/2006/relationships/hyperlink" Target="https://www.ebay.com/itm/305729926018" TargetMode="External" Id="rId388" /><Relationship Type="http://schemas.openxmlformats.org/officeDocument/2006/relationships/hyperlink" Target="https://www.ebay.com/itm/117481448193" TargetMode="External" Id="rId389" /><Relationship Type="http://schemas.openxmlformats.org/officeDocument/2006/relationships/hyperlink" Target="https://www.ebay.com/itm/389945918228" TargetMode="External" Id="rId390" /><Relationship Type="http://schemas.openxmlformats.org/officeDocument/2006/relationships/hyperlink" Target="https://www.ebay.com/itm/128145077866" TargetMode="External" Id="rId391" /><Relationship Type="http://schemas.openxmlformats.org/officeDocument/2006/relationships/hyperlink" Target="https://www.ebay.com/itm/327408972899" TargetMode="External" Id="rId392" /><Relationship Type="http://schemas.openxmlformats.org/officeDocument/2006/relationships/hyperlink" Target="https://www.ebay.com/itm/147595555861" TargetMode="External" Id="rId393" /><Relationship Type="http://schemas.openxmlformats.org/officeDocument/2006/relationships/hyperlink" Target="https://www.ebay.com/itm/157424692080" TargetMode="External" Id="rId394" /><Relationship Type="http://schemas.openxmlformats.org/officeDocument/2006/relationships/hyperlink" Target="https://www.ebay.com/itm/800821980146" TargetMode="External" Id="rId395" /><Relationship Type="http://schemas.openxmlformats.org/officeDocument/2006/relationships/hyperlink" Target="https://www.ebay.com/itm/377593610877" TargetMode="External" Id="rId396" /><Relationship Type="http://schemas.openxmlformats.org/officeDocument/2006/relationships/hyperlink" Target="https://www.ebay.com/itm/267799061448" TargetMode="External" Id="rId397" /><Relationship Type="http://schemas.openxmlformats.org/officeDocument/2006/relationships/hyperlink" Target="https://www.ebay.com/itm/178171157775" TargetMode="External" Id="rId398" /><Relationship Type="http://schemas.openxmlformats.org/officeDocument/2006/relationships/hyperlink" Target="https://www.ebay.com/itm/960111927074" TargetMode="External" Id="rId399" /><Relationship Type="http://schemas.openxmlformats.org/officeDocument/2006/relationships/hyperlink" Target="https://www.ebay.com/itm/820274913467" TargetMode="External" Id="rId400" /><Relationship Type="http://schemas.openxmlformats.org/officeDocument/2006/relationships/hyperlink" Target="https://www.ebay.com/itm/257815802109" TargetMode="External" Id="rId401" /><Relationship Type="http://schemas.openxmlformats.org/officeDocument/2006/relationships/hyperlink" Target="https://www.ebay.com/itm/307246441841" TargetMode="External" Id="rId402" /><Relationship Type="http://schemas.openxmlformats.org/officeDocument/2006/relationships/hyperlink" Target="https://www.ebay.com/itm/257573828939" TargetMode="External" Id="rId403" /><Relationship Type="http://schemas.openxmlformats.org/officeDocument/2006/relationships/hyperlink" Target="https://www.ebay.com/itm/267822038006" TargetMode="External" Id="rId404" /><Relationship Type="http://schemas.openxmlformats.org/officeDocument/2006/relationships/hyperlink" Target="https://www.ebay.com/itm/366757503836" TargetMode="External" Id="rId405" /><Relationship Type="http://schemas.openxmlformats.org/officeDocument/2006/relationships/hyperlink" Target="https://www.ebay.com/itm/237124274383" TargetMode="External" Id="rId406" /><Relationship Type="http://schemas.openxmlformats.org/officeDocument/2006/relationships/hyperlink" Target="https://www.ebay.com/itm/198744140338" TargetMode="External" Id="rId407" /><Relationship Type="http://schemas.openxmlformats.org/officeDocument/2006/relationships/hyperlink" Target="https://www.ebay.com/itm/128145030685" TargetMode="External" Id="rId408" /><Relationship Type="http://schemas.openxmlformats.org/officeDocument/2006/relationships/hyperlink" Target="https://www.ebay.com/itm/206603692960" TargetMode="External" Id="rId409" /><Relationship Type="http://schemas.openxmlformats.org/officeDocument/2006/relationships/hyperlink" Target="https://www.ebay.com/itm/820274045603" TargetMode="External" Id="rId410" /><Relationship Type="http://schemas.openxmlformats.org/officeDocument/2006/relationships/hyperlink" Target="https://www.ebay.com/itm/840039201782" TargetMode="External" Id="rId411" /><Relationship Type="http://schemas.openxmlformats.org/officeDocument/2006/relationships/hyperlink" Target="https://www.ebay.com/itm/960111510917" TargetMode="External" Id="rId412" /><Relationship Type="http://schemas.openxmlformats.org/officeDocument/2006/relationships/hyperlink" Target="https://www.ebay.com/itm/168814439607" TargetMode="External" Id="rId413" /><Relationship Type="http://schemas.openxmlformats.org/officeDocument/2006/relationships/hyperlink" Target="https://www.ebay.com/itm/257792135268" TargetMode="External" Id="rId414" /><Relationship Type="http://schemas.openxmlformats.org/officeDocument/2006/relationships/hyperlink" Target="https://www.ebay.com/itm/389732753480" TargetMode="External" Id="rId415" /><Relationship Type="http://schemas.openxmlformats.org/officeDocument/2006/relationships/hyperlink" Target="https://www.ebay.com/itm/128148777373" TargetMode="External" Id="rId416" /><Relationship Type="http://schemas.openxmlformats.org/officeDocument/2006/relationships/hyperlink" Target="https://www.ebay.com/itm/187668752673" TargetMode="External" Id="rId417" /><Relationship Type="http://schemas.openxmlformats.org/officeDocument/2006/relationships/hyperlink" Target="https://www.ebay.com/itm/305729926018" TargetMode="External" Id="rId418" /><Relationship Type="http://schemas.openxmlformats.org/officeDocument/2006/relationships/hyperlink" Target="https://www.ebay.com/itm/840035484357" TargetMode="External" Id="rId419" /><Relationship Type="http://schemas.openxmlformats.org/officeDocument/2006/relationships/hyperlink" Target="https://www.ebay.com/itm/389945918228" TargetMode="External" Id="rId420" /><Relationship Type="http://schemas.openxmlformats.org/officeDocument/2006/relationships/hyperlink" Target="https://www.ebay.com/itm/128145077866" TargetMode="External" Id="rId421" /><Relationship Type="http://schemas.openxmlformats.org/officeDocument/2006/relationships/hyperlink" Target="https://www.ebay.com/itm/327408972899" TargetMode="External" Id="rId422" /><Relationship Type="http://schemas.openxmlformats.org/officeDocument/2006/relationships/hyperlink" Target="https://www.ebay.com/itm/267823787358" TargetMode="External" Id="rId423" /><Relationship Type="http://schemas.openxmlformats.org/officeDocument/2006/relationships/hyperlink" Target="https://www.ebay.com/itm/157424692080" TargetMode="External" Id="rId424" /><Relationship Type="http://schemas.openxmlformats.org/officeDocument/2006/relationships/hyperlink" Target="https://www.ebay.com/itm/800821980146" TargetMode="External" Id="rId425" /><Relationship Type="http://schemas.openxmlformats.org/officeDocument/2006/relationships/hyperlink" Target="https://www.ebay.com/itm/377593610877" TargetMode="External" Id="rId426" /><Relationship Type="http://schemas.openxmlformats.org/officeDocument/2006/relationships/hyperlink" Target="https://www.ebay.com/itm/267799061448" TargetMode="External" Id="rId427" /><Relationship Type="http://schemas.openxmlformats.org/officeDocument/2006/relationships/hyperlink" Target="https://www.ebay.com/itm/178171158022" TargetMode="External" Id="rId428" /><Relationship Type="http://schemas.openxmlformats.org/officeDocument/2006/relationships/hyperlink" Target="https://www.ebay.com/itm/117471054969" TargetMode="External" Id="rId429" /><Relationship Type="http://schemas.openxmlformats.org/officeDocument/2006/relationships/hyperlink" Target="https://www.ebay.com/itm/278191566067" TargetMode="External" Id="rId430" /><Relationship Type="http://schemas.openxmlformats.org/officeDocument/2006/relationships/hyperlink" Target="https://www.ebay.com/itm/257815802109" TargetMode="External" Id="rId431" /><Relationship Type="http://schemas.openxmlformats.org/officeDocument/2006/relationships/hyperlink" Target="https://www.ebay.com/itm/960115416660" TargetMode="External" Id="rId432" /><Relationship Type="http://schemas.openxmlformats.org/officeDocument/2006/relationships/hyperlink" Target="https://www.ebay.com/itm/257573828939" TargetMode="External" Id="rId433" /><Relationship Type="http://schemas.openxmlformats.org/officeDocument/2006/relationships/hyperlink" Target="https://www.ebay.com/itm/237144364519" TargetMode="External" Id="rId434" /><Relationship Type="http://schemas.openxmlformats.org/officeDocument/2006/relationships/hyperlink" Target="https://www.ebay.com/itm/318668183718" TargetMode="External" Id="rId435" /><Relationship Type="http://schemas.openxmlformats.org/officeDocument/2006/relationships/hyperlink" Target="https://www.ebay.com/itm/237124274383" TargetMode="External" Id="rId436" /><Relationship Type="http://schemas.openxmlformats.org/officeDocument/2006/relationships/hyperlink" Target="https://www.ebay.com/itm/128145030685" TargetMode="External" Id="rId437" /><Relationship Type="http://schemas.openxmlformats.org/officeDocument/2006/relationships/hyperlink" Target="https://www.ebay.com/itm/307249193502" TargetMode="External" Id="rId438" /><Relationship Type="http://schemas.openxmlformats.org/officeDocument/2006/relationships/hyperlink" Target="https://www.ebay.com/itm/820274045603" TargetMode="External" Id="rId439" /><Relationship Type="http://schemas.openxmlformats.org/officeDocument/2006/relationships/hyperlink" Target="https://www.ebay.com/itm/840039201782" TargetMode="External" Id="rId440" /><Relationship Type="http://schemas.openxmlformats.org/officeDocument/2006/relationships/hyperlink" Target="https://www.ebay.com/itm/318826733936" TargetMode="External" Id="rId441" /><Relationship Type="http://schemas.openxmlformats.org/officeDocument/2006/relationships/hyperlink" Target="https://www.ebay.com/itm/327275170355" TargetMode="External" Id="rId442" /><Relationship Type="http://schemas.openxmlformats.org/officeDocument/2006/relationships/hyperlink" Target="https://www.ebay.com/itm/257792135268" TargetMode="External" Id="rId443" /><Relationship Type="http://schemas.openxmlformats.org/officeDocument/2006/relationships/hyperlink" Target="https://www.ebay.com/itm/186930960267" TargetMode="External" Id="rId444" /><Relationship Type="http://schemas.openxmlformats.org/officeDocument/2006/relationships/hyperlink" Target="https://www.ebay.com/itm/336864548932" TargetMode="External" Id="rId445" /><Relationship Type="http://schemas.openxmlformats.org/officeDocument/2006/relationships/hyperlink" Target="https://www.ebay.com/itm/298166712086" TargetMode="External" Id="rId446" /><Relationship Type="http://schemas.openxmlformats.org/officeDocument/2006/relationships/hyperlink" Target="https://www.ebay.com/itm/305729926018" TargetMode="External" Id="rId447" /><Relationship Type="http://schemas.openxmlformats.org/officeDocument/2006/relationships/hyperlink" Target="https://www.ebay.com/itm/117481448193" TargetMode="External" Id="rId448" /><Relationship Type="http://schemas.openxmlformats.org/officeDocument/2006/relationships/hyperlink" Target="https://www.ebay.com/itm/389945918228" TargetMode="External" Id="rId449" /><Relationship Type="http://schemas.openxmlformats.org/officeDocument/2006/relationships/hyperlink" Target="https://www.ebay.com/itm/128145077866" TargetMode="External" Id="rId450" /><Relationship Type="http://schemas.openxmlformats.org/officeDocument/2006/relationships/hyperlink" Target="https://www.ebay.com/itm/327408972899" TargetMode="External" Id="rId451" /><Relationship Type="http://schemas.openxmlformats.org/officeDocument/2006/relationships/hyperlink" Target="https://www.ebay.com/itm/267823787358" TargetMode="External" Id="rId452" /><Relationship Type="http://schemas.openxmlformats.org/officeDocument/2006/relationships/hyperlink" Target="https://www.ebay.com/itm/157424692080" TargetMode="External" Id="rId453" /><Relationship Type="http://schemas.openxmlformats.org/officeDocument/2006/relationships/hyperlink" Target="https://www.ebay.com/itm/800821980146" TargetMode="External" Id="rId454" /><Relationship Type="http://schemas.openxmlformats.org/officeDocument/2006/relationships/hyperlink" Target="https://www.ebay.com/itm/377593610877" TargetMode="External" Id="rId455" /><Relationship Type="http://schemas.openxmlformats.org/officeDocument/2006/relationships/hyperlink" Target="https://www.ebay.com/itm/267799061448" TargetMode="External" Id="rId456" /><Relationship Type="http://schemas.openxmlformats.org/officeDocument/2006/relationships/hyperlink" Target="https://www.ebay.com/itm/178171158022" TargetMode="External" Id="rId457" /><Relationship Type="http://schemas.openxmlformats.org/officeDocument/2006/relationships/hyperlink" Target="https://www.ebay.com/itm/117471054969" TargetMode="External" Id="rId458" /><Relationship Type="http://schemas.openxmlformats.org/officeDocument/2006/relationships/hyperlink" Target="https://www.ebay.com/itm/820281781602" TargetMode="External" Id="rId459" /><Relationship Type="http://schemas.openxmlformats.org/officeDocument/2006/relationships/hyperlink" Target="https://www.ebay.com/itm/257815802109" TargetMode="External" Id="rId460" /><Relationship Type="http://schemas.openxmlformats.org/officeDocument/2006/relationships/hyperlink" Target="https://www.ebay.com/itm/307246441841" TargetMode="External" Id="rId461" /><Relationship Type="http://schemas.openxmlformats.org/officeDocument/2006/relationships/hyperlink" Target="https://www.ebay.com/itm/117488816411" TargetMode="External" Id="rId462" /><Relationship Type="http://schemas.openxmlformats.org/officeDocument/2006/relationships/hyperlink" Target="https://www.ebay.com/itm/117481837166" TargetMode="External" Id="rId463" /><Relationship Type="http://schemas.openxmlformats.org/officeDocument/2006/relationships/hyperlink" Target="https://www.ebay.com/itm/318668183718" TargetMode="External" Id="rId464" /><Relationship Type="http://schemas.openxmlformats.org/officeDocument/2006/relationships/hyperlink" Target="https://www.ebay.com/itm/237124274383" TargetMode="External" Id="rId465" /><Relationship Type="http://schemas.openxmlformats.org/officeDocument/2006/relationships/hyperlink" Target="https://www.ebay.com/itm/117469884175" TargetMode="External" Id="rId466" /><Relationship Type="http://schemas.openxmlformats.org/officeDocument/2006/relationships/hyperlink" Target="https://www.ebay.com/itm/307249193502" TargetMode="External" Id="rId467" /><Relationship Type="http://schemas.openxmlformats.org/officeDocument/2006/relationships/hyperlink" Target="https://www.ebay.com/itm/147653046730" TargetMode="External" Id="rId468" /><Relationship Type="http://schemas.openxmlformats.org/officeDocument/2006/relationships/hyperlink" Target="https://www.ebay.com/itm/307250722253" TargetMode="External" Id="rId469" /><Relationship Type="http://schemas.openxmlformats.org/officeDocument/2006/relationships/hyperlink" Target="https://www.ebay.com/itm/117431231554" TargetMode="External" Id="rId470" /><Relationship Type="http://schemas.openxmlformats.org/officeDocument/2006/relationships/hyperlink" Target="https://www.ebay.com/itm/327275170355" TargetMode="External" Id="rId471" /><Relationship Type="http://schemas.openxmlformats.org/officeDocument/2006/relationships/hyperlink" Target="https://www.ebay.com/itm/257792135268" TargetMode="External" Id="rId472" /><Relationship Type="http://schemas.openxmlformats.org/officeDocument/2006/relationships/hyperlink" Target="https://www.ebay.com/itm/389732753480" TargetMode="External" Id="rId473" /><Relationship Type="http://schemas.openxmlformats.org/officeDocument/2006/relationships/hyperlink" Target="https://www.ebay.com/itm/336864548932" TargetMode="External" Id="rId474" /><Relationship Type="http://schemas.openxmlformats.org/officeDocument/2006/relationships/hyperlink" Target="https://www.ebay.com/itm/298166712086" TargetMode="External" Id="rId475" /><Relationship Type="http://schemas.openxmlformats.org/officeDocument/2006/relationships/hyperlink" Target="https://www.ebay.com/itm/305729926018" TargetMode="External" Id="rId476" /><Relationship Type="http://schemas.openxmlformats.org/officeDocument/2006/relationships/hyperlink" Target="https://www.ebay.com/itm/117481448193" TargetMode="External" Id="rId477" /><Relationship Type="http://schemas.openxmlformats.org/officeDocument/2006/relationships/hyperlink" Target="https://www.ebay.com/itm/389945918228" TargetMode="External" Id="rId478" /><Relationship Type="http://schemas.openxmlformats.org/officeDocument/2006/relationships/hyperlink" Target="https://www.ebay.com/itm/198749932768" TargetMode="External" Id="rId479" /><Relationship Type="http://schemas.openxmlformats.org/officeDocument/2006/relationships/hyperlink" Target="https://www.ebay.com/itm/327408972899" TargetMode="External" Id="rId480" /><Relationship Type="http://schemas.openxmlformats.org/officeDocument/2006/relationships/hyperlink" Target="https://www.ebay.com/itm/147595569594" TargetMode="External" Id="rId481" /><Relationship Type="http://schemas.openxmlformats.org/officeDocument/2006/relationships/hyperlink" Target="https://www.ebay.com/itm/168233637342" TargetMode="External" Id="rId482" /><Relationship Type="http://schemas.openxmlformats.org/officeDocument/2006/relationships/hyperlink" Target="https://www.ebay.com/itm/800821980146" TargetMode="External" Id="rId483" /><Relationship Type="http://schemas.openxmlformats.org/officeDocument/2006/relationships/hyperlink" Target="https://www.ebay.com/itm/377593610877" TargetMode="External" Id="rId484" /><Relationship Type="http://schemas.openxmlformats.org/officeDocument/2006/relationships/hyperlink" Target="https://www.ebay.com/itm/267799061448" TargetMode="External" Id="rId485" /><Relationship Type="http://schemas.openxmlformats.org/officeDocument/2006/relationships/hyperlink" Target="https://www.ebay.com/itm/178171158022" TargetMode="External" Id="rId486" /><Relationship Type="http://schemas.openxmlformats.org/officeDocument/2006/relationships/hyperlink" Target="https://www.ebay.com/itm/117471054969" TargetMode="External" Id="rId487" /><Relationship Type="http://schemas.openxmlformats.org/officeDocument/2006/relationships/hyperlink" Target="https://www.ebay.com/itm/278191566067" TargetMode="External" Id="rId488" /><Relationship Type="http://schemas.openxmlformats.org/officeDocument/2006/relationships/hyperlink" Target="https://www.ebay.com/itm/257815802109" TargetMode="External" Id="rId489" /><Relationship Type="http://schemas.openxmlformats.org/officeDocument/2006/relationships/hyperlink" Target="https://www.ebay.com/itm/307246441841" TargetMode="External" Id="rId490" /><Relationship Type="http://schemas.openxmlformats.org/officeDocument/2006/relationships/hyperlink" Target="https://www.ebay.com/itm/257573828939" TargetMode="External" Id="rId491" /><Relationship Type="http://schemas.openxmlformats.org/officeDocument/2006/relationships/hyperlink" Target="https://www.ebay.com/itm/227586007159" TargetMode="External" Id="rId492" /><Relationship Type="http://schemas.openxmlformats.org/officeDocument/2006/relationships/hyperlink" Target="https://www.ebay.com/itm/960123914116" TargetMode="External" Id="rId493" /><Relationship Type="http://schemas.openxmlformats.org/officeDocument/2006/relationships/hyperlink" Target="https://www.ebay.com/itm/237124274383" TargetMode="External" Id="rId494" /><Relationship Type="http://schemas.openxmlformats.org/officeDocument/2006/relationships/hyperlink" Target="https://www.ebay.com/itm/117469884175" TargetMode="External" Id="rId495" /><Relationship Type="http://schemas.openxmlformats.org/officeDocument/2006/relationships/hyperlink" Target="https://www.ebay.com/itm/307249193502" TargetMode="External" Id="rId496" /><Relationship Type="http://schemas.openxmlformats.org/officeDocument/2006/relationships/hyperlink" Target="https://www.ebay.com/itm/820274045603" TargetMode="External" Id="rId497" /><Relationship Type="http://schemas.openxmlformats.org/officeDocument/2006/relationships/hyperlink" Target="https://www.ebay.com/itm/840039201782" TargetMode="External" Id="rId498" /><Relationship Type="http://schemas.openxmlformats.org/officeDocument/2006/relationships/hyperlink" Target="https://www.ebay.com/itm/117431231554" TargetMode="External" Id="rId499" /><Relationship Type="http://schemas.openxmlformats.org/officeDocument/2006/relationships/hyperlink" Target="https://www.ebay.com/itm/327275170355" TargetMode="External" Id="rId500" /><Relationship Type="http://schemas.openxmlformats.org/officeDocument/2006/relationships/hyperlink" Target="https://www.ebay.com/itm/257792135268" TargetMode="External" Id="rId501" /><Relationship Type="http://schemas.openxmlformats.org/officeDocument/2006/relationships/hyperlink" Target="https://www.ebay.com/itm/389732753480" TargetMode="External" Id="rId502" /><Relationship Type="http://schemas.openxmlformats.org/officeDocument/2006/relationships/hyperlink" Target="https://www.ebay.com/itm/128148777373" TargetMode="External" Id="rId503" /><Relationship Type="http://schemas.openxmlformats.org/officeDocument/2006/relationships/hyperlink" Target="https://www.ebay.com/itm/298166712086" TargetMode="External" Id="rId504" /><Relationship Type="http://schemas.openxmlformats.org/officeDocument/2006/relationships/hyperlink" Target="https://www.ebay.com/itm/305729926018" TargetMode="External" Id="rId505" /><Relationship Type="http://schemas.openxmlformats.org/officeDocument/2006/relationships/hyperlink" Target="https://www.ebay.com/itm/117481448193" TargetMode="External" Id="rId506" /><Relationship Type="http://schemas.openxmlformats.org/officeDocument/2006/relationships/hyperlink" Target="https://www.ebay.com/itm/389945918228" TargetMode="External" Id="rId507" /><Relationship Type="http://schemas.openxmlformats.org/officeDocument/2006/relationships/hyperlink" Target="https://www.ebay.com/itm/128145077866" TargetMode="External" Id="rId508" /><Relationship Type="http://schemas.openxmlformats.org/officeDocument/2006/relationships/hyperlink" Target="https://www.ebay.com/itm/327408972899" TargetMode="External" Id="rId509" /><Relationship Type="http://schemas.openxmlformats.org/officeDocument/2006/relationships/hyperlink" Target="https://www.ebay.com/itm/147595555861" TargetMode="External" Id="rId510" /><Relationship Type="http://schemas.openxmlformats.org/officeDocument/2006/relationships/hyperlink" Target="https://www.ebay.com/itm/920083302531" TargetMode="External" Id="rId511" /><Relationship Type="http://schemas.openxmlformats.org/officeDocument/2006/relationships/hyperlink" Target="https://www.ebay.com/itm/117348328956" TargetMode="External" Id="rId512" /><Relationship Type="http://schemas.openxmlformats.org/officeDocument/2006/relationships/hyperlink" Target="https://www.ebay.com/itm/227402767941" TargetMode="External" Id="rId513" /><Relationship Type="http://schemas.openxmlformats.org/officeDocument/2006/relationships/hyperlink" Target="https://www.ebay.com/itm/267799061448" TargetMode="External" Id="rId514" /><Relationship Type="http://schemas.openxmlformats.org/officeDocument/2006/relationships/hyperlink" Target="https://www.ebay.com/itm/178171158022" TargetMode="External" Id="rId515" /><Relationship Type="http://schemas.openxmlformats.org/officeDocument/2006/relationships/hyperlink" Target="https://www.ebay.com/itm/117471054969" TargetMode="External" Id="rId516" /><Relationship Type="http://schemas.openxmlformats.org/officeDocument/2006/relationships/hyperlink" Target="https://www.ebay.com/itm/278191566067" TargetMode="External" Id="rId517" /><Relationship Type="http://schemas.openxmlformats.org/officeDocument/2006/relationships/hyperlink" Target="https://www.ebay.com/itm/287650346237" TargetMode="External" Id="rId518" /><Relationship Type="http://schemas.openxmlformats.org/officeDocument/2006/relationships/hyperlink" Target="https://www.ebay.com/itm/336868626113" TargetMode="External" Id="rId519" /><Relationship Type="http://schemas.openxmlformats.org/officeDocument/2006/relationships/hyperlink" Target="https://www.ebay.com/itm/257573828939" TargetMode="External" Id="rId520" /><Relationship Type="http://schemas.openxmlformats.org/officeDocument/2006/relationships/hyperlink" Target="https://www.ebay.com/itm/227499788298" TargetMode="External" Id="rId521" /><Relationship Type="http://schemas.openxmlformats.org/officeDocument/2006/relationships/hyperlink" Target="https://www.ebay.com/itm/960126966354" TargetMode="External" Id="rId522" /><Relationship Type="http://schemas.openxmlformats.org/officeDocument/2006/relationships/hyperlink" Target="https://www.ebay.com/itm/960102500017" TargetMode="External" Id="rId523" /><Relationship Type="http://schemas.openxmlformats.org/officeDocument/2006/relationships/hyperlink" Target="https://www.ebay.com/itm/116462308934" TargetMode="External" Id="rId524" /><Relationship Type="http://schemas.openxmlformats.org/officeDocument/2006/relationships/hyperlink" Target="https://www.ebay.com/itm/116205098653" TargetMode="External" Id="rId525" /><Relationship Type="http://schemas.openxmlformats.org/officeDocument/2006/relationships/hyperlink" Target="https://www.ebay.com/itm/116237423865" TargetMode="External" Id="rId526" /><Relationship Type="http://schemas.openxmlformats.org/officeDocument/2006/relationships/hyperlink" Target="https://www.ebay.com/itm/820274045603" TargetMode="External" Id="rId527" /><Relationship Type="http://schemas.openxmlformats.org/officeDocument/2006/relationships/hyperlink" Target="https://www.ebay.com/itm/227579390661" TargetMode="External" Id="rId528" /><Relationship Type="http://schemas.openxmlformats.org/officeDocument/2006/relationships/hyperlink" Target="https://www.ebay.com/itm/318826733936" TargetMode="External" Id="rId529" /><Relationship Type="http://schemas.openxmlformats.org/officeDocument/2006/relationships/hyperlink" Target="https://www.ebay.com/itm/327275170355" TargetMode="External" Id="rId530" /><Relationship Type="http://schemas.openxmlformats.org/officeDocument/2006/relationships/hyperlink" Target="https://www.ebay.com/itm/257792135268" TargetMode="External" Id="rId531" /><Relationship Type="http://schemas.openxmlformats.org/officeDocument/2006/relationships/hyperlink" Target="https://www.ebay.com/itm/389732753480" TargetMode="External" Id="rId532" /><Relationship Type="http://schemas.openxmlformats.org/officeDocument/2006/relationships/hyperlink" Target="https://www.ebay.com/itm/128148777373" TargetMode="External" Id="rId533" /><Relationship Type="http://schemas.openxmlformats.org/officeDocument/2006/relationships/hyperlink" Target="https://www.ebay.com/itm/187668752673" TargetMode="External" Id="rId534" /><Relationship Type="http://schemas.openxmlformats.org/officeDocument/2006/relationships/hyperlink" Target="https://www.ebay.com/itm/305729926018" TargetMode="External" Id="rId535" /><Relationship Type="http://schemas.openxmlformats.org/officeDocument/2006/relationships/hyperlink" Target="https://www.ebay.com/itm/117481448193" TargetMode="External" Id="rId536" /><Relationship Type="http://schemas.openxmlformats.org/officeDocument/2006/relationships/hyperlink" Target="https://www.ebay.com/itm/389945918228" TargetMode="External" Id="rId537" /><Relationship Type="http://schemas.openxmlformats.org/officeDocument/2006/relationships/hyperlink" Target="https://www.ebay.com/itm/407316678214" TargetMode="External" Id="rId538" /><Relationship Type="http://schemas.openxmlformats.org/officeDocument/2006/relationships/hyperlink" Target="https://www.ebay.com/itm/327408972899" TargetMode="External" Id="rId539" /><Relationship Type="http://schemas.openxmlformats.org/officeDocument/2006/relationships/hyperlink" Target="https://www.ebay.com/itm/147595555861" TargetMode="External" Id="rId540" /><Relationship Type="http://schemas.openxmlformats.org/officeDocument/2006/relationships/hyperlink" Target="https://www.ebay.com/itm/147657619057" TargetMode="External" Id="rId541" /><Relationship Type="http://schemas.openxmlformats.org/officeDocument/2006/relationships/hyperlink" Target="https://www.ebay.com/itm/314016350070" TargetMode="External" Id="rId542" /><Relationship Type="http://schemas.openxmlformats.org/officeDocument/2006/relationships/hyperlink" Target="https://www.ebay.com/itm/377593610877" TargetMode="External" Id="rId543" /><Relationship Type="http://schemas.openxmlformats.org/officeDocument/2006/relationships/hyperlink" Target="https://www.ebay.com/itm/267799061448" TargetMode="External" Id="rId544" /><Relationship Type="http://schemas.openxmlformats.org/officeDocument/2006/relationships/hyperlink" Target="https://www.ebay.com/itm/178171158022" TargetMode="External" Id="rId545" /><Relationship Type="http://schemas.openxmlformats.org/officeDocument/2006/relationships/hyperlink" Target="https://msrcomputers.framer.website/" TargetMode="External" Id="rId546" /><Relationship Type="http://schemas.openxmlformats.org/officeDocument/2006/relationships/hyperlink" Target="https://msrcomputers.framer.website/" TargetMode="External" Id="rId547" /><Relationship Type="http://schemas.openxmlformats.org/officeDocument/2006/relationships/hyperlink" Target="https://msrcomputers.framer.website/" TargetMode="External" Id="rId548" /><Relationship Type="http://schemas.openxmlformats.org/officeDocument/2006/relationships/hyperlink" Target="https://www.facebook.com/marketplace/item/2555034215012611/" TargetMode="External" Id="rId549" /><Relationship Type="http://schemas.openxmlformats.org/officeDocument/2006/relationships/hyperlink" Target="https://www.facebook.com/marketplace/item/2669179450145313/" TargetMode="External" Id="rId550" /><Relationship Type="http://schemas.openxmlformats.org/officeDocument/2006/relationships/hyperlink" Target="https://www.facebook.com/marketplace/item/1361869715871206/" TargetMode="External" Id="rId551" /><Relationship Type="http://schemas.openxmlformats.org/officeDocument/2006/relationships/hyperlink" Target="https://www.facebook.com/marketplace/item/1582597166589691/" TargetMode="External" Id="rId552" /><Relationship Type="http://schemas.openxmlformats.org/officeDocument/2006/relationships/hyperlink" Target="https://www.facebook.com/marketplace/item/2167313420829167/" TargetMode="External" Id="rId553" /><Relationship Type="http://schemas.openxmlformats.org/officeDocument/2006/relationships/hyperlink" Target="https://www.facebook.com/marketplace/item/1796562071723775/" TargetMode="External" Id="rId554" /><Relationship Type="http://schemas.openxmlformats.org/officeDocument/2006/relationships/hyperlink" Target="https://www.facebook.com/marketplace/item/1414394683871926/" TargetMode="External" Id="rId555" /><Relationship Type="http://schemas.openxmlformats.org/officeDocument/2006/relationships/hyperlink" Target="https://www.facebook.com/marketplace/item/1074400352041144/" TargetMode="External" Id="rId556" /><Relationship Type="http://schemas.openxmlformats.org/officeDocument/2006/relationships/hyperlink" Target="https://www.facebook.com/marketplace/item/959874386670350/" TargetMode="External" Id="rId557" /><Relationship Type="http://schemas.openxmlformats.org/officeDocument/2006/relationships/hyperlink" Target="https://www.facebook.com/marketplace/item/2347323546077904/" TargetMode="External" Id="rId558" /><Relationship Type="http://schemas.openxmlformats.org/officeDocument/2006/relationships/hyperlink" Target="https://www.facebook.com/marketplace/item/2345958202816013/" TargetMode="External" Id="rId559" /><Relationship Type="http://schemas.openxmlformats.org/officeDocument/2006/relationships/hyperlink" Target="https://www.facebook.com/marketplace/item/1448988227128820/" TargetMode="External" Id="rId560" /><Relationship Type="http://schemas.openxmlformats.org/officeDocument/2006/relationships/hyperlink" Target="https://www.facebook.com/marketplace/item/2817371738643128/" TargetMode="External" Id="rId561" /><Relationship Type="http://schemas.openxmlformats.org/officeDocument/2006/relationships/hyperlink" Target="https://www.facebook.com/marketplace/item/2078197563584097/" TargetMode="External" Id="rId562" /><Relationship Type="http://schemas.openxmlformats.org/officeDocument/2006/relationships/hyperlink" Target="https://www.facebook.com/marketplace/item/1537210071754803/" TargetMode="External" Id="rId563" /><Relationship Type="http://schemas.openxmlformats.org/officeDocument/2006/relationships/hyperlink" Target="https://cyrexstore.com/" TargetMode="External" Id="rId564" /><Relationship Type="http://schemas.openxmlformats.org/officeDocument/2006/relationships/hyperlink" Target="https://cyrexstore.com/" TargetMode="External" Id="rId565" /><Relationship Type="http://schemas.openxmlformats.org/officeDocument/2006/relationships/hyperlink" Target="https://cyrexstore.com/" TargetMode="External" Id="rId566" /><Relationship Type="http://schemas.openxmlformats.org/officeDocument/2006/relationships/hyperlink" Target="https://compucenter.store/" TargetMode="External" Id="rId567" /><Relationship Type="http://schemas.openxmlformats.org/officeDocument/2006/relationships/hyperlink" Target="https://www.facebook.com/marketplace/item/1292124363069503/" TargetMode="External" Id="rId568" /><Relationship Type="http://schemas.openxmlformats.org/officeDocument/2006/relationships/hyperlink" Target="https://www.facebook.com/marketplace/item/1292124363069503/" TargetMode="External" Id="rId569" /><Relationship Type="http://schemas.openxmlformats.org/officeDocument/2006/relationships/hyperlink" Target="https://www.pccomponents-bo.com/" TargetMode="External" Id="rId570" /><Relationship Type="http://schemas.openxmlformats.org/officeDocument/2006/relationships/hyperlink" Target="https://www.pccomponents-bo.com/" TargetMode="External" Id="rId571" /><Relationship Type="http://schemas.openxmlformats.org/officeDocument/2006/relationships/hyperlink" Target="https://www.pccomponents-bo.com/" TargetMode="External" Id="rId572" /><Relationship Type="http://schemas.openxmlformats.org/officeDocument/2006/relationships/hyperlink" Target="https://www.facebook.com/marketplace/item/2840215069674304/" TargetMode="External" Id="rId573" /><Relationship Type="http://schemas.openxmlformats.org/officeDocument/2006/relationships/hyperlink" Target="https://www.pccomponents-bo.com/" TargetMode="External" Id="rId574" /><Relationship Type="http://schemas.openxmlformats.org/officeDocument/2006/relationships/hyperlink" Target="https://www.puntotecnologic.com/categories/procesadores" TargetMode="External" Id="rId575" /><Relationship Type="http://schemas.openxmlformats.org/officeDocument/2006/relationships/hyperlink" Target="https://www.puntotecnologic.com/categories/procesadores" TargetMode="External" Id="rId576" /><Relationship Type="http://schemas.openxmlformats.org/officeDocument/2006/relationships/hyperlink" Target="https://www.puntotecnologic.com/categories/procesadores" TargetMode="External" Id="rId577" /><Relationship Type="http://schemas.openxmlformats.org/officeDocument/2006/relationships/hyperlink" Target="https://www.puntotecnologic.com/categories/procesadores" TargetMode="External" Id="rId578" /><Relationship Type="http://schemas.openxmlformats.org/officeDocument/2006/relationships/hyperlink" Target="https://www.puntotecnologic.com/categories/procesadores" TargetMode="External" Id="rId579" /><Relationship Type="http://schemas.openxmlformats.org/officeDocument/2006/relationships/hyperlink" Target="https://www.puntotecnologic.com/categories/procesadores" TargetMode="External" Id="rId580" /><Relationship Type="http://schemas.openxmlformats.org/officeDocument/2006/relationships/hyperlink" Target="https://www.puntotecnologic.com/categories/procesadores" TargetMode="External" Id="rId581" /><Relationship Type="http://schemas.openxmlformats.org/officeDocument/2006/relationships/hyperlink" Target="https://www.puntotecnologic.com/categories/memoria-ram" TargetMode="External" Id="rId582" /><Relationship Type="http://schemas.openxmlformats.org/officeDocument/2006/relationships/hyperlink" Target="https://www.puntotecnologic.com/categories/memoria-ram" TargetMode="External" Id="rId583" /><Relationship Type="http://schemas.openxmlformats.org/officeDocument/2006/relationships/hyperlink" Target="https://www.puntotecnologic.com/categories/memoria-ram" TargetMode="External" Id="rId584" /><Relationship Type="http://schemas.openxmlformats.org/officeDocument/2006/relationships/hyperlink" Target="https://www.puntotecnologic.com/categories/memoria-ram" TargetMode="External" Id="rId585" /><Relationship Type="http://schemas.openxmlformats.org/officeDocument/2006/relationships/hyperlink" Target="https://www.puntotecnologic.com/categories/disco-solido" TargetMode="External" Id="rId586" /><Relationship Type="http://schemas.openxmlformats.org/officeDocument/2006/relationships/hyperlink" Target="https://www.puntotecnologic.com/categories/disco-solido" TargetMode="External" Id="rId587" /><Relationship Type="http://schemas.openxmlformats.org/officeDocument/2006/relationships/hyperlink" Target="https://www.puntotecnologic.com/categories/disco-solido" TargetMode="External" Id="rId588" /><Relationship Type="http://schemas.openxmlformats.org/officeDocument/2006/relationships/hyperlink" Target="https://www.puntotecnologic.com/categories/disco-solido" TargetMode="External" Id="rId589" /><Relationship Type="http://schemas.openxmlformats.org/officeDocument/2006/relationships/hyperlink" Target="https://www.puntotecnologic.com/categories/disco-solido" TargetMode="External" Id="rId590" /><Relationship Type="http://schemas.openxmlformats.org/officeDocument/2006/relationships/hyperlink" Target="https://www.facebook.com/computadorascochabamba/" TargetMode="External" Id="rId591" /><Relationship Type="http://schemas.openxmlformats.org/officeDocument/2006/relationships/hyperlink" Target="https://www.facebook.com/computadorascochabamba/" TargetMode="External" Id="rId592" /><Relationship Type="http://schemas.openxmlformats.org/officeDocument/2006/relationships/hyperlink" Target="https://www.facebook.com/computadorascochabamba/" TargetMode="External" Id="rId593" /><Relationship Type="http://schemas.openxmlformats.org/officeDocument/2006/relationships/hyperlink" Target="https://www.facebook.com/marketplace/item/2555034215012611/" TargetMode="External" Id="rId594" /><Relationship Type="http://schemas.openxmlformats.org/officeDocument/2006/relationships/hyperlink" Target="https://www.facebook.com/marketplace/item/1408789477863562/" TargetMode="External" Id="rId595" /><Relationship Type="http://schemas.openxmlformats.org/officeDocument/2006/relationships/hyperlink" Target="https://geek-store-bolivia.kyte.site/es/c/procesadores/1732582305626-dxXRD" TargetMode="External" Id="rId596" /><Relationship Type="http://schemas.openxmlformats.org/officeDocument/2006/relationships/hyperlink" Target="https://www.facebook.com/marketplace/item/1412645017712543/" TargetMode="External" Id="rId597" /><Relationship Type="http://schemas.openxmlformats.org/officeDocument/2006/relationships/hyperlink" Target="https://cyrexstore.com/tienda?category=procesadores" TargetMode="External" Id="rId598" /><Relationship Type="http://schemas.openxmlformats.org/officeDocument/2006/relationships/hyperlink" Target="https://cyrexstore.com/tienda?category=procesadores" TargetMode="External" Id="rId599" /><Relationship Type="http://schemas.openxmlformats.org/officeDocument/2006/relationships/hyperlink" Target="https://cyrexstore.com/tienda?category=procesadores" TargetMode="External" Id="rId600" /><Relationship Type="http://schemas.openxmlformats.org/officeDocument/2006/relationships/hyperlink" Target="https://www.facebook.com/marketplace/item/1412645017712543/" TargetMode="External" Id="rId601" /><Relationship Type="http://schemas.openxmlformats.org/officeDocument/2006/relationships/hyperlink" Target="https://www.facebook.com/marketplace/item/1098289102810322/" TargetMode="External" Id="rId602" /><Relationship Type="http://schemas.openxmlformats.org/officeDocument/2006/relationships/hyperlink" Target="https://www.facebook.com/marketplace/item/1448988227128820/" TargetMode="External" Id="rId603" /><Relationship Type="http://schemas.openxmlformats.org/officeDocument/2006/relationships/hyperlink" Target="https://www.facebook.com/marketplace/item/1827642128274261/" TargetMode="External" Id="rId604" /><Relationship Type="http://schemas.openxmlformats.org/officeDocument/2006/relationships/hyperlink" Target="https://www.facebook.com/marketplace/item/1705669717854463/" TargetMode="External" Id="rId605" /><Relationship Type="http://schemas.openxmlformats.org/officeDocument/2006/relationships/hyperlink" Target="https://www.facebook.com/marketplace/item/1442061974651151/" TargetMode="External" Id="rId606" /><Relationship Type="http://schemas.openxmlformats.org/officeDocument/2006/relationships/hyperlink" Target="https://www.facebook.com/marketplace/item/1625374825929437/" TargetMode="External" Id="rId607" /><Relationship Type="http://schemas.openxmlformats.org/officeDocument/2006/relationships/hyperlink" Target="https://www.facebook.com/marketplace/item/2891757594521096/" TargetMode="External" Id="rId608" /><Relationship Type="http://schemas.openxmlformats.org/officeDocument/2006/relationships/hyperlink" Target="https://www.facebook.com/marketplace/item/3707244856102112/" TargetMode="External" Id="rId609" /><Relationship Type="http://schemas.openxmlformats.org/officeDocument/2006/relationships/hyperlink" Target="https://www.facebook.com/marketplace/item/2669179450145313/" TargetMode="External" Id="rId610" /><Relationship Type="http://schemas.openxmlformats.org/officeDocument/2006/relationships/hyperlink" Target="https://www.facebook.com/marketplace/item/1361869715871206/" TargetMode="External" Id="rId611" /><Relationship Type="http://schemas.openxmlformats.org/officeDocument/2006/relationships/hyperlink" Target="https://www.facebook.com/marketplace/item/1047051831574251/" TargetMode="External" Id="rId612" /><Relationship Type="http://schemas.openxmlformats.org/officeDocument/2006/relationships/hyperlink" Target="https://www.facebook.com/marketplace/item/887277370696710/" TargetMode="External" Id="rId613" /><Relationship Type="http://schemas.openxmlformats.org/officeDocument/2006/relationships/hyperlink" Target="https://www.facebook.com/marketplace/item/1339516938090376/" TargetMode="External" Id="rId614" /><Relationship Type="http://schemas.openxmlformats.org/officeDocument/2006/relationships/hyperlink" Target="https://www.facebook.com/marketplace/item/1679211106494937/" TargetMode="External" Id="rId615" /><Relationship Type="http://schemas.openxmlformats.org/officeDocument/2006/relationships/hyperlink" Target="https://cyrexstore.com/producto/procesador-amd-ryzen-7-7700x-box" TargetMode="External" Id="rId616" /><Relationship Type="http://schemas.openxmlformats.org/officeDocument/2006/relationships/hyperlink" Target="https://www.facebook.com/marketplace/item/1080072357820250/" TargetMode="External" Id="rId617" /><Relationship Type="http://schemas.openxmlformats.org/officeDocument/2006/relationships/hyperlink" Target="https://www.facebook.com/marketplace/item/1975520143403882/" TargetMode="External" Id="rId618" /><Relationship Type="http://schemas.openxmlformats.org/officeDocument/2006/relationships/hyperlink" Target="https://www.facebook.com/marketplace/item/1643334157386642/" TargetMode="External" Id="rId619" /><Relationship Type="http://schemas.openxmlformats.org/officeDocument/2006/relationships/hyperlink" Target="https://www.facebook.com/marketplace/item/3707244856102112/" TargetMode="External" Id="rId620" /><Relationship Type="http://schemas.openxmlformats.org/officeDocument/2006/relationships/hyperlink" Target="https://www.facebook.com/marketplace/item/27971414262519546/" TargetMode="External" Id="rId621" /><Relationship Type="http://schemas.openxmlformats.org/officeDocument/2006/relationships/hyperlink" Target="https://www.puntotecnologic.com/categories/procesadores" TargetMode="External" Id="rId622" /><Relationship Type="http://schemas.openxmlformats.org/officeDocument/2006/relationships/hyperlink" Target="https://www.facebook.com/marketplace/item/1726943245105041/" TargetMode="External" Id="rId623" /><Relationship Type="http://schemas.openxmlformats.org/officeDocument/2006/relationships/hyperlink" Target="https://www.facebook.com/marketplace/item/1668384550897935/" TargetMode="External" Id="rId624" /><Relationship Type="http://schemas.openxmlformats.org/officeDocument/2006/relationships/hyperlink" Target="https://www.facebook.com/marketplace/item/1080392851443431/" TargetMode="External" Id="rId625" /><Relationship Type="http://schemas.openxmlformats.org/officeDocument/2006/relationships/hyperlink" Target="https://www.facebook.com/marketplace/cochabamba/search?query=Ryzen%207%207800X3D" TargetMode="External" Id="rId626" /><Relationship Type="http://schemas.openxmlformats.org/officeDocument/2006/relationships/hyperlink" Target="https://www.facebook.com/marketplace/cochabamba/search?query=Ryzen%207%207800X3D" TargetMode="External" Id="rId627" /><Relationship Type="http://schemas.openxmlformats.org/officeDocument/2006/relationships/hyperlink" Target="https://www.facebook.com/marketplace/cochabamba/search?query=Ryzen%207%207700X" TargetMode="External" Id="rId628" /><Relationship Type="http://schemas.openxmlformats.org/officeDocument/2006/relationships/hyperlink" Target="https://www.facebook.com/marketplace/cochabamba/search?query=DDR5%2032GB%20Corsair%20Vengeance" TargetMode="External" Id="rId629" /><Relationship Type="http://schemas.openxmlformats.org/officeDocument/2006/relationships/hyperlink" Target="https://www.facebook.com/marketplace/cochabamba/search?query=SSD%20NVMe%201TB" TargetMode="External" Id="rId630" /><Relationship Type="http://schemas.openxmlformats.org/officeDocument/2006/relationships/hyperlink" Target="https://www.facebook.com/marketplace/cochabamba/search?query=SSD%20NVMe%201TB" TargetMode="External" Id="rId631" /><Relationship Type="http://schemas.openxmlformats.org/officeDocument/2006/relationships/hyperlink" Target="https://www.facebook.com/marketplace/cochabamba/search?query=SSD%20NVMe%201TB" TargetMode="External" Id="rId632" /><Relationship Type="http://schemas.openxmlformats.org/officeDocument/2006/relationships/hyperlink" Target="https://www.facebook.com/marketplace/cochabamba/search?query=SSD%20NVMe%201TB" TargetMode="External" Id="rId633" /><Relationship Type="http://schemas.openxmlformats.org/officeDocument/2006/relationships/hyperlink" Target="https://www.facebook.com/marketplace/cochabamba/search?query=SSD%20NVMe%202TB" TargetMode="External" Id="rId634" /><Relationship Type="http://schemas.openxmlformats.org/officeDocument/2006/relationships/hyperlink" Target="https://www.facebook.com/marketplace/cochabamba/search?query=i5%2012400F" TargetMode="External" Id="rId635" /><Relationship Type="http://schemas.openxmlformats.org/officeDocument/2006/relationships/hyperlink" Target="https://www.facebook.com/marketplace/cochabamba/search?query=i5%2014400F" TargetMode="External" Id="rId636" /><Relationship Type="http://schemas.openxmlformats.org/officeDocument/2006/relationships/hyperlink" Target="https://msrcomputers.framer.website/" TargetMode="External" Id="rId637" /><Relationship Type="http://schemas.openxmlformats.org/officeDocument/2006/relationships/table" Target="/xl/tables/table3.xml" Id="rId6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16" customWidth="1" min="3" max="3"/>
    <col width="12" customWidth="1" min="4" max="4"/>
    <col width="11" customWidth="1" min="5" max="5"/>
    <col width="12" customWidth="1" min="6" max="6"/>
    <col width="13" customWidth="1" min="7" max="7"/>
    <col width="12" customWidth="1" min="8" max="8"/>
    <col width="10" customWidth="1" min="9" max="9"/>
    <col width="11" customWidth="1" min="10" max="10"/>
    <col width="8" customWidth="1" min="11" max="11"/>
    <col width="12" customWidth="1" min="12" max="12"/>
    <col width="13" customWidth="1" min="13" max="13"/>
    <col width="13" customWidth="1" min="14" max="14"/>
    <col width="13" customWidth="1" min="15" max="15"/>
    <col width="9" customWidth="1" min="16" max="16"/>
    <col width="15" customWidth="1" min="17" max="17"/>
  </cols>
  <sheetData>
    <row r="1">
      <c r="A1" s="1" t="inlineStr">
        <is>
          <t>¿Qué conviene traer? · 30/10/2026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eBay: vendedor en EE.UU., ≥ 98 % de feedback, nuevo sin open box. Marketplace y Tiendas: el precio más bajo que cuenta en Cochabamba. Costo puesto con el courier más barato, según la hoja Supuestos.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0" customHeight="1">
      <c r="A4" s="4" t="inlineStr">
        <is>
          <t>Producto</t>
        </is>
      </c>
      <c r="B4" s="4" t="inlineStr">
        <is>
          <t>Tipo</t>
        </is>
      </c>
      <c r="C4" s="4" t="inlineStr">
        <is>
          <t>Link del producto</t>
        </is>
      </c>
      <c r="D4" s="4" t="inlineStr">
        <is>
          <t>eBay nuevo USD</t>
        </is>
      </c>
      <c r="E4" s="4" t="inlineStr">
        <is>
          <t>Envío EE.UU. USD</t>
        </is>
      </c>
      <c r="F4" s="4" t="inlineStr">
        <is>
          <t>eBay usado USD</t>
        </is>
      </c>
      <c r="G4" s="4" t="inlineStr">
        <is>
          <t>Marketplace Bs</t>
        </is>
      </c>
      <c r="H4" s="4" t="inlineStr">
        <is>
          <t>Tiendas Bs</t>
        </is>
      </c>
      <c r="I4" s="4" t="inlineStr">
        <is>
          <t>Dólar BCB</t>
        </is>
      </c>
      <c r="J4" s="4" t="inlineStr">
        <is>
          <t>Dólar paralelo</t>
        </is>
      </c>
      <c r="K4" s="4" t="inlineStr">
        <is>
          <t>Peso g</t>
        </is>
      </c>
      <c r="L4" s="4" t="inlineStr">
        <is>
          <t>Courier /u USD</t>
        </is>
      </c>
      <c r="M4" s="4" t="inlineStr">
        <is>
          <t>Costo puesto Bs</t>
        </is>
      </c>
      <c r="N4" s="4" t="inlineStr">
        <is>
          <t>Mejor local Bs</t>
        </is>
      </c>
      <c r="O4" s="4" t="inlineStr">
        <is>
          <t>Ganancia /u Bs</t>
        </is>
      </c>
      <c r="P4" s="4" t="inlineStr">
        <is>
          <t>Margen</t>
        </is>
      </c>
      <c r="Q4" s="4" t="inlineStr">
        <is>
          <t>Estado</t>
        </is>
      </c>
    </row>
    <row r="5">
      <c r="A5" s="5" t="inlineStr">
        <is>
          <t>SSD NVMe 2TB</t>
        </is>
      </c>
      <c r="B5" s="5" t="inlineStr">
        <is>
          <t>SSD</t>
        </is>
      </c>
      <c r="C5" s="6" t="inlineStr">
        <is>
          <t>ver en eBay</t>
        </is>
      </c>
      <c r="D5" s="7" t="n">
        <v>185</v>
      </c>
      <c r="E5" s="7" t="n">
        <v>0</v>
      </c>
      <c r="F5" s="7" t="n">
        <v>154.99</v>
      </c>
      <c r="G5" s="8" t="n">
        <v>3100</v>
      </c>
      <c r="H5" s="8" t="n">
        <v>4060</v>
      </c>
      <c r="I5" s="9">
        <f>INDEX(Dólar!$B:$B,MATCH(MAX(Dólar!$A:$A),Dólar!$A:$A,0))</f>
        <v/>
      </c>
      <c r="J5" s="10">
        <f>INDEX(Dólar!$E:$E,MATCH(MAX(Dólar!$A:$A),Dólar!$A:$A,0))</f>
        <v/>
      </c>
      <c r="K5" s="8" t="n">
        <v>80</v>
      </c>
      <c r="L5" s="11">
        <f>IF(D5="","",MIN(MAX(Supuestos!$B$5,CEILING((K5*Supuestos!$B$3+Supuestos!$B$7)/1000,Supuestos!$B$6))*Supuestos!$B$4/Supuestos!$B$3,Supuestos!$B$8+D5*Supuestos!$B$9))</f>
        <v/>
      </c>
      <c r="M5" s="12">
        <f>IF(D5="","",(D5+E5+L5+(D5+E5)*Supuestos!$B$10)*Supuestos!$B$11)</f>
        <v/>
      </c>
      <c r="N5" s="12">
        <f>IF(COUNT(G5:H5)=0,"",MIN(G5:H5))</f>
        <v/>
      </c>
      <c r="O5" s="13">
        <f>IF(OR(M5="",N5=""),"",N5-M5)</f>
        <v/>
      </c>
      <c r="P5" s="14">
        <f>IF(O5="","",O5/N5)</f>
        <v/>
      </c>
      <c r="Q5" s="5">
        <f>IF(P5="",IF(AND(D5="",N5=""),"Sin datos",IF(D5="","Sin precio eBay","Sin precio local")),IF(P5&gt;=Supuestos!$B$12,"Conviene",IF(P5&gt;=Supuestos!$B$13,"Justo","No conviene")))</f>
        <v/>
      </c>
    </row>
    <row r="6">
      <c r="A6" s="5" t="inlineStr">
        <is>
          <t>Intel Core Ultra 7 265K</t>
        </is>
      </c>
      <c r="B6" s="5" t="inlineStr">
        <is>
          <t>CPU</t>
        </is>
      </c>
      <c r="C6" s="6" t="inlineStr">
        <is>
          <t>ver en eBay</t>
        </is>
      </c>
      <c r="D6" s="7" t="n">
        <v>248</v>
      </c>
      <c r="E6" s="7" t="n">
        <v>0</v>
      </c>
      <c r="F6" s="7" t="n">
        <v>249.99</v>
      </c>
      <c r="G6" s="2" t="n"/>
      <c r="H6" s="8" t="n">
        <v>3950</v>
      </c>
      <c r="I6" s="9">
        <f>INDEX(Dólar!$B:$B,MATCH(MAX(Dólar!$A:$A),Dólar!$A:$A,0))</f>
        <v/>
      </c>
      <c r="J6" s="10">
        <f>INDEX(Dólar!$E:$E,MATCH(MAX(Dólar!$A:$A),Dólar!$A:$A,0))</f>
        <v/>
      </c>
      <c r="K6" s="8" t="n">
        <v>300</v>
      </c>
      <c r="L6" s="11">
        <f>IF(D6="","",MIN(MAX(Supuestos!$B$5,CEILING((K6*Supuestos!$B$3+Supuestos!$B$7)/1000,Supuestos!$B$6))*Supuestos!$B$4/Supuestos!$B$3,Supuestos!$B$8+D6*Supuestos!$B$9))</f>
        <v/>
      </c>
      <c r="M6" s="12">
        <f>IF(D6="","",(D6+E6+L6+(D6+E6)*Supuestos!$B$10)*Supuestos!$B$11)</f>
        <v/>
      </c>
      <c r="N6" s="12">
        <f>IF(COUNT(G6:H6)=0,"",MIN(G6:H6))</f>
        <v/>
      </c>
      <c r="O6" s="13">
        <f>IF(OR(M6="",N6=""),"",N6-M6)</f>
        <v/>
      </c>
      <c r="P6" s="14">
        <f>IF(O6="","",O6/N6)</f>
        <v/>
      </c>
      <c r="Q6" s="5">
        <f>IF(P6="",IF(AND(D6="",N6=""),"Sin datos",IF(D6="","Sin precio eBay","Sin precio local")),IF(P6&gt;=Supuestos!$B$12,"Conviene",IF(P6&gt;=Supuestos!$B$13,"Justo","No conviene")))</f>
        <v/>
      </c>
    </row>
    <row r="7">
      <c r="A7" s="5" t="inlineStr">
        <is>
          <t>Intel Core i5-12400F</t>
        </is>
      </c>
      <c r="B7" s="5" t="inlineStr">
        <is>
          <t>CPU</t>
        </is>
      </c>
      <c r="C7" s="6" t="inlineStr">
        <is>
          <t>ver en eBay</t>
        </is>
      </c>
      <c r="D7" s="7" t="n">
        <v>140</v>
      </c>
      <c r="E7" s="7" t="n">
        <v>0</v>
      </c>
      <c r="F7" s="7" t="n">
        <v>119.99</v>
      </c>
      <c r="G7" s="8" t="n">
        <v>2350</v>
      </c>
      <c r="H7" s="8" t="n">
        <v>2260</v>
      </c>
      <c r="I7" s="9">
        <f>INDEX(Dólar!$B:$B,MATCH(MAX(Dólar!$A:$A),Dólar!$A:$A,0))</f>
        <v/>
      </c>
      <c r="J7" s="10">
        <f>INDEX(Dólar!$E:$E,MATCH(MAX(Dólar!$A:$A),Dólar!$A:$A,0))</f>
        <v/>
      </c>
      <c r="K7" s="8" t="n">
        <v>250</v>
      </c>
      <c r="L7" s="11">
        <f>IF(D7="","",MIN(MAX(Supuestos!$B$5,CEILING((K7*Supuestos!$B$3+Supuestos!$B$7)/1000,Supuestos!$B$6))*Supuestos!$B$4/Supuestos!$B$3,Supuestos!$B$8+D7*Supuestos!$B$9))</f>
        <v/>
      </c>
      <c r="M7" s="12">
        <f>IF(D7="","",(D7+E7+L7+(D7+E7)*Supuestos!$B$10)*Supuestos!$B$11)</f>
        <v/>
      </c>
      <c r="N7" s="12">
        <f>IF(COUNT(G7:H7)=0,"",MIN(G7:H7))</f>
        <v/>
      </c>
      <c r="O7" s="13">
        <f>IF(OR(M7="",N7=""),"",N7-M7)</f>
        <v/>
      </c>
      <c r="P7" s="14">
        <f>IF(O7="","",O7/N7)</f>
        <v/>
      </c>
      <c r="Q7" s="5">
        <f>IF(P7="",IF(AND(D7="",N7=""),"Sin datos",IF(D7="","Sin precio eBay","Sin precio local")),IF(P7&gt;=Supuestos!$B$12,"Conviene",IF(P7&gt;=Supuestos!$B$13,"Justo","No conviene")))</f>
        <v/>
      </c>
    </row>
    <row r="8">
      <c r="A8" s="5" t="inlineStr">
        <is>
          <t>Ryzen 7 7800X3D</t>
        </is>
      </c>
      <c r="B8" s="5" t="inlineStr">
        <is>
          <t>CPU</t>
        </is>
      </c>
      <c r="C8" s="6" t="inlineStr">
        <is>
          <t>ver en eBay</t>
        </is>
      </c>
      <c r="D8" s="7" t="n">
        <v>329</v>
      </c>
      <c r="E8" s="7" t="n">
        <v>0</v>
      </c>
      <c r="F8" s="7" t="n">
        <v>265</v>
      </c>
      <c r="G8" s="8" t="n">
        <v>4800</v>
      </c>
      <c r="H8" s="8" t="n">
        <v>4760</v>
      </c>
      <c r="I8" s="9">
        <f>INDEX(Dólar!$B:$B,MATCH(MAX(Dólar!$A:$A),Dólar!$A:$A,0))</f>
        <v/>
      </c>
      <c r="J8" s="10">
        <f>INDEX(Dólar!$E:$E,MATCH(MAX(Dólar!$A:$A),Dólar!$A:$A,0))</f>
        <v/>
      </c>
      <c r="K8" s="8" t="n">
        <v>350</v>
      </c>
      <c r="L8" s="11">
        <f>IF(D8="","",MIN(MAX(Supuestos!$B$5,CEILING((K8*Supuestos!$B$3+Supuestos!$B$7)/1000,Supuestos!$B$6))*Supuestos!$B$4/Supuestos!$B$3,Supuestos!$B$8+D8*Supuestos!$B$9))</f>
        <v/>
      </c>
      <c r="M8" s="12">
        <f>IF(D8="","",(D8+E8+L8+(D8+E8)*Supuestos!$B$10)*Supuestos!$B$11)</f>
        <v/>
      </c>
      <c r="N8" s="12">
        <f>IF(COUNT(G8:H8)=0,"",MIN(G8:H8))</f>
        <v/>
      </c>
      <c r="O8" s="13">
        <f>IF(OR(M8="",N8=""),"",N8-M8)</f>
        <v/>
      </c>
      <c r="P8" s="14">
        <f>IF(O8="","",O8/N8)</f>
        <v/>
      </c>
      <c r="Q8" s="5">
        <f>IF(P8="",IF(AND(D8="",N8=""),"Sin datos",IF(D8="","Sin precio eBay","Sin precio local")),IF(P8&gt;=Supuestos!$B$12,"Conviene",IF(P8&gt;=Supuestos!$B$13,"Justo","No conviene")))</f>
        <v/>
      </c>
    </row>
    <row r="9">
      <c r="A9" s="5" t="inlineStr">
        <is>
          <t>Intel Core i5-14400F</t>
        </is>
      </c>
      <c r="B9" s="5" t="inlineStr">
        <is>
          <t>CPU</t>
        </is>
      </c>
      <c r="C9" s="6" t="inlineStr">
        <is>
          <t>ver en eBay</t>
        </is>
      </c>
      <c r="D9" s="7" t="n">
        <v>164.49</v>
      </c>
      <c r="E9" s="7" t="n">
        <v>0</v>
      </c>
      <c r="F9" s="7" t="n">
        <v>130</v>
      </c>
      <c r="G9" s="2" t="n"/>
      <c r="H9" s="8" t="n">
        <v>2384</v>
      </c>
      <c r="I9" s="9">
        <f>INDEX(Dólar!$B:$B,MATCH(MAX(Dólar!$A:$A),Dólar!$A:$A,0))</f>
        <v/>
      </c>
      <c r="J9" s="10">
        <f>INDEX(Dólar!$E:$E,MATCH(MAX(Dólar!$A:$A),Dólar!$A:$A,0))</f>
        <v/>
      </c>
      <c r="K9" s="8" t="n">
        <v>250</v>
      </c>
      <c r="L9" s="11">
        <f>IF(D9="","",MIN(MAX(Supuestos!$B$5,CEILING((K9*Supuestos!$B$3+Supuestos!$B$7)/1000,Supuestos!$B$6))*Supuestos!$B$4/Supuestos!$B$3,Supuestos!$B$8+D9*Supuestos!$B$9))</f>
        <v/>
      </c>
      <c r="M9" s="12">
        <f>IF(D9="","",(D9+E9+L9+(D9+E9)*Supuestos!$B$10)*Supuestos!$B$11)</f>
        <v/>
      </c>
      <c r="N9" s="12">
        <f>IF(COUNT(G9:H9)=0,"",MIN(G9:H9))</f>
        <v/>
      </c>
      <c r="O9" s="13">
        <f>IF(OR(M9="",N9=""),"",N9-M9)</f>
        <v/>
      </c>
      <c r="P9" s="14">
        <f>IF(O9="","",O9/N9)</f>
        <v/>
      </c>
      <c r="Q9" s="5">
        <f>IF(P9="",IF(AND(D9="",N9=""),"Sin datos",IF(D9="","Sin precio eBay","Sin precio local")),IF(P9&gt;=Supuestos!$B$12,"Conviene",IF(P9&gt;=Supuestos!$B$13,"Justo","No conviene")))</f>
        <v/>
      </c>
    </row>
    <row r="10">
      <c r="A10" s="5" t="inlineStr">
        <is>
          <t>Ryzen 5 7600</t>
        </is>
      </c>
      <c r="B10" s="5" t="inlineStr">
        <is>
          <t>CPU</t>
        </is>
      </c>
      <c r="C10" s="6" t="inlineStr">
        <is>
          <t>ver en eBay</t>
        </is>
      </c>
      <c r="D10" s="7" t="n">
        <v>199.99</v>
      </c>
      <c r="E10" s="7" t="n">
        <v>0</v>
      </c>
      <c r="F10" s="7" t="n">
        <v>114.99</v>
      </c>
      <c r="G10" s="2" t="n"/>
      <c r="H10" s="8" t="n">
        <v>2800</v>
      </c>
      <c r="I10" s="9">
        <f>INDEX(Dólar!$B:$B,MATCH(MAX(Dólar!$A:$A),Dólar!$A:$A,0))</f>
        <v/>
      </c>
      <c r="J10" s="10">
        <f>INDEX(Dólar!$E:$E,MATCH(MAX(Dólar!$A:$A),Dólar!$A:$A,0))</f>
        <v/>
      </c>
      <c r="K10" s="8" t="n">
        <v>350</v>
      </c>
      <c r="L10" s="11">
        <f>IF(D10="","",MIN(MAX(Supuestos!$B$5,CEILING((K10*Supuestos!$B$3+Supuestos!$B$7)/1000,Supuestos!$B$6))*Supuestos!$B$4/Supuestos!$B$3,Supuestos!$B$8+D10*Supuestos!$B$9))</f>
        <v/>
      </c>
      <c r="M10" s="12">
        <f>IF(D10="","",(D10+E10+L10+(D10+E10)*Supuestos!$B$10)*Supuestos!$B$11)</f>
        <v/>
      </c>
      <c r="N10" s="12">
        <f>IF(COUNT(G10:H10)=0,"",MIN(G10:H10))</f>
        <v/>
      </c>
      <c r="O10" s="13">
        <f>IF(OR(M10="",N10=""),"",N10-M10)</f>
        <v/>
      </c>
      <c r="P10" s="14">
        <f>IF(O10="","",O10/N10)</f>
        <v/>
      </c>
      <c r="Q10" s="5">
        <f>IF(P10="",IF(AND(D10="",N10=""),"Sin datos",IF(D10="","Sin precio eBay","Sin precio local")),IF(P10&gt;=Supuestos!$B$12,"Conviene",IF(P10&gt;=Supuestos!$B$13,"Justo","No conviene")))</f>
        <v/>
      </c>
    </row>
    <row r="11">
      <c r="A11" s="5" t="inlineStr">
        <is>
          <t>Ryzen 7 7700X</t>
        </is>
      </c>
      <c r="B11" s="5" t="inlineStr">
        <is>
          <t>CPU</t>
        </is>
      </c>
      <c r="C11" s="6" t="inlineStr">
        <is>
          <t>ver en eBay</t>
        </is>
      </c>
      <c r="D11" s="7" t="n">
        <v>199</v>
      </c>
      <c r="E11" s="7" t="n">
        <v>20</v>
      </c>
      <c r="F11" s="7" t="n">
        <v>189.99</v>
      </c>
      <c r="G11" s="8" t="n">
        <v>3000</v>
      </c>
      <c r="H11" s="8" t="n">
        <v>3480</v>
      </c>
      <c r="I11" s="9">
        <f>INDEX(Dólar!$B:$B,MATCH(MAX(Dólar!$A:$A),Dólar!$A:$A,0))</f>
        <v/>
      </c>
      <c r="J11" s="10">
        <f>INDEX(Dólar!$E:$E,MATCH(MAX(Dólar!$A:$A),Dólar!$A:$A,0))</f>
        <v/>
      </c>
      <c r="K11" s="8" t="n">
        <v>350</v>
      </c>
      <c r="L11" s="11">
        <f>IF(D11="","",MIN(MAX(Supuestos!$B$5,CEILING((K11*Supuestos!$B$3+Supuestos!$B$7)/1000,Supuestos!$B$6))*Supuestos!$B$4/Supuestos!$B$3,Supuestos!$B$8+D11*Supuestos!$B$9))</f>
        <v/>
      </c>
      <c r="M11" s="12">
        <f>IF(D11="","",(D11+E11+L11+(D11+E11)*Supuestos!$B$10)*Supuestos!$B$11)</f>
        <v/>
      </c>
      <c r="N11" s="12">
        <f>IF(COUNT(G11:H11)=0,"",MIN(G11:H11))</f>
        <v/>
      </c>
      <c r="O11" s="13">
        <f>IF(OR(M11="",N11=""),"",N11-M11)</f>
        <v/>
      </c>
      <c r="P11" s="14">
        <f>IF(O11="","",O11/N11)</f>
        <v/>
      </c>
      <c r="Q11" s="5">
        <f>IF(P11="",IF(AND(D11="",N11=""),"Sin datos",IF(D11="","Sin precio eBay","Sin precio local")),IF(P11&gt;=Supuestos!$B$12,"Conviene",IF(P11&gt;=Supuestos!$B$13,"Justo","No conviene")))</f>
        <v/>
      </c>
    </row>
    <row r="12">
      <c r="A12" s="5" t="inlineStr">
        <is>
          <t>Corsair Vengeance RGB DDR5 32GB (2x16) 6000</t>
        </is>
      </c>
      <c r="B12" s="5" t="inlineStr">
        <is>
          <t>RAM</t>
        </is>
      </c>
      <c r="C12" s="6" t="inlineStr">
        <is>
          <t>ver en eBay</t>
        </is>
      </c>
      <c r="D12" s="7" t="n">
        <v>450</v>
      </c>
      <c r="E12" s="7" t="n">
        <v>0</v>
      </c>
      <c r="F12" s="7" t="n">
        <v>419.99</v>
      </c>
      <c r="G12" s="8" t="n">
        <v>5800</v>
      </c>
      <c r="H12" s="2" t="n"/>
      <c r="I12" s="9">
        <f>INDEX(Dólar!$B:$B,MATCH(MAX(Dólar!$A:$A),Dólar!$A:$A,0))</f>
        <v/>
      </c>
      <c r="J12" s="10">
        <f>INDEX(Dólar!$E:$E,MATCH(MAX(Dólar!$A:$A),Dólar!$A:$A,0))</f>
        <v/>
      </c>
      <c r="K12" s="8" t="n">
        <v>150</v>
      </c>
      <c r="L12" s="11">
        <f>IF(D12="","",MIN(MAX(Supuestos!$B$5,CEILING((K12*Supuestos!$B$3+Supuestos!$B$7)/1000,Supuestos!$B$6))*Supuestos!$B$4/Supuestos!$B$3,Supuestos!$B$8+D12*Supuestos!$B$9))</f>
        <v/>
      </c>
      <c r="M12" s="12">
        <f>IF(D12="","",(D12+E12+L12+(D12+E12)*Supuestos!$B$10)*Supuestos!$B$11)</f>
        <v/>
      </c>
      <c r="N12" s="12">
        <f>IF(COUNT(G12:H12)=0,"",MIN(G12:H12))</f>
        <v/>
      </c>
      <c r="O12" s="13">
        <f>IF(OR(M12="",N12=""),"",N12-M12)</f>
        <v/>
      </c>
      <c r="P12" s="14">
        <f>IF(O12="","",O12/N12)</f>
        <v/>
      </c>
      <c r="Q12" s="5">
        <f>IF(P12="",IF(AND(D12="",N12=""),"Sin datos",IF(D12="","Sin precio eBay","Sin precio local")),IF(P12&gt;=Supuestos!$B$12,"Conviene",IF(P12&gt;=Supuestos!$B$13,"Justo","No conviene")))</f>
        <v/>
      </c>
    </row>
    <row r="13">
      <c r="A13" s="5" t="inlineStr">
        <is>
          <t>Ryzen 9 9950X</t>
        </is>
      </c>
      <c r="B13" s="5" t="inlineStr">
        <is>
          <t>CPU</t>
        </is>
      </c>
      <c r="C13" s="6" t="inlineStr">
        <is>
          <t>ver en eBay</t>
        </is>
      </c>
      <c r="D13" s="7" t="n">
        <v>549.99</v>
      </c>
      <c r="E13" s="7" t="n">
        <v>0</v>
      </c>
      <c r="F13" s="7" t="n">
        <v>454.99</v>
      </c>
      <c r="G13" s="2" t="n"/>
      <c r="H13" s="8" t="n">
        <v>5580</v>
      </c>
      <c r="I13" s="9">
        <f>INDEX(Dólar!$B:$B,MATCH(MAX(Dólar!$A:$A),Dólar!$A:$A,0))</f>
        <v/>
      </c>
      <c r="J13" s="10">
        <f>INDEX(Dólar!$E:$E,MATCH(MAX(Dólar!$A:$A),Dólar!$A:$A,0))</f>
        <v/>
      </c>
      <c r="K13" s="8" t="n">
        <v>350</v>
      </c>
      <c r="L13" s="11">
        <f>IF(D13="","",MIN(MAX(Supuestos!$B$5,CEILING((K13*Supuestos!$B$3+Supuestos!$B$7)/1000,Supuestos!$B$6))*Supuestos!$B$4/Supuestos!$B$3,Supuestos!$B$8+D13*Supuestos!$B$9))</f>
        <v/>
      </c>
      <c r="M13" s="12">
        <f>IF(D13="","",(D13+E13+L13+(D13+E13)*Supuestos!$B$10)*Supuestos!$B$11)</f>
        <v/>
      </c>
      <c r="N13" s="12">
        <f>IF(COUNT(G13:H13)=0,"",MIN(G13:H13))</f>
        <v/>
      </c>
      <c r="O13" s="13">
        <f>IF(OR(M13="",N13=""),"",N13-M13)</f>
        <v/>
      </c>
      <c r="P13" s="14">
        <f>IF(O13="","",O13/N13)</f>
        <v/>
      </c>
      <c r="Q13" s="5">
        <f>IF(P13="",IF(AND(D13="",N13=""),"Sin datos",IF(D13="","Sin precio eBay","Sin precio local")),IF(P13&gt;=Supuestos!$B$12,"Conviene",IF(P13&gt;=Supuestos!$B$13,"Justo","No conviene")))</f>
        <v/>
      </c>
    </row>
    <row r="14">
      <c r="A14" s="5" t="inlineStr">
        <is>
          <t>Corsair Vengeance RGB DDR5 32GB (2x16) 5600</t>
        </is>
      </c>
      <c r="B14" s="5" t="inlineStr">
        <is>
          <t>RAM</t>
        </is>
      </c>
      <c r="C14" s="6" t="inlineStr">
        <is>
          <t>ver en eBay</t>
        </is>
      </c>
      <c r="D14" s="7" t="n">
        <v>459</v>
      </c>
      <c r="E14" s="7" t="n">
        <v>0</v>
      </c>
      <c r="F14" s="7" t="n">
        <v>389.99</v>
      </c>
      <c r="G14" s="8" t="n">
        <v>4500</v>
      </c>
      <c r="H14" s="2" t="n"/>
      <c r="I14" s="9">
        <f>INDEX(Dólar!$B:$B,MATCH(MAX(Dólar!$A:$A),Dólar!$A:$A,0))</f>
        <v/>
      </c>
      <c r="J14" s="10">
        <f>INDEX(Dólar!$E:$E,MATCH(MAX(Dólar!$A:$A),Dólar!$A:$A,0))</f>
        <v/>
      </c>
      <c r="K14" s="8" t="n">
        <v>150</v>
      </c>
      <c r="L14" s="11">
        <f>IF(D14="","",MIN(MAX(Supuestos!$B$5,CEILING((K14*Supuestos!$B$3+Supuestos!$B$7)/1000,Supuestos!$B$6))*Supuestos!$B$4/Supuestos!$B$3,Supuestos!$B$8+D14*Supuestos!$B$9))</f>
        <v/>
      </c>
      <c r="M14" s="12">
        <f>IF(D14="","",(D14+E14+L14+(D14+E14)*Supuestos!$B$10)*Supuestos!$B$11)</f>
        <v/>
      </c>
      <c r="N14" s="12">
        <f>IF(COUNT(G14:H14)=0,"",MIN(G14:H14))</f>
        <v/>
      </c>
      <c r="O14" s="13">
        <f>IF(OR(M14="",N14=""),"",N14-M14)</f>
        <v/>
      </c>
      <c r="P14" s="14">
        <f>IF(O14="","",O14/N14)</f>
        <v/>
      </c>
      <c r="Q14" s="5">
        <f>IF(P14="",IF(AND(D14="",N14=""),"Sin datos",IF(D14="","Sin precio eBay","Sin precio local")),IF(P14&gt;=Supuestos!$B$12,"Conviene",IF(P14&gt;=Supuestos!$B$13,"Justo","No conviene")))</f>
        <v/>
      </c>
    </row>
    <row r="15">
      <c r="A15" s="5" t="inlineStr">
        <is>
          <t>Intel Core i5-13400</t>
        </is>
      </c>
      <c r="B15" s="5" t="inlineStr">
        <is>
          <t>CPU</t>
        </is>
      </c>
      <c r="C15" s="6" t="inlineStr">
        <is>
          <t>ver en eBay</t>
        </is>
      </c>
      <c r="D15" s="7" t="n">
        <v>259.78</v>
      </c>
      <c r="E15" s="7" t="n">
        <v>0</v>
      </c>
      <c r="F15" s="7" t="n">
        <v>129.99</v>
      </c>
      <c r="G15" s="2" t="n"/>
      <c r="H15" s="8" t="n">
        <v>2300</v>
      </c>
      <c r="I15" s="9">
        <f>INDEX(Dólar!$B:$B,MATCH(MAX(Dólar!$A:$A),Dólar!$A:$A,0))</f>
        <v/>
      </c>
      <c r="J15" s="10">
        <f>INDEX(Dólar!$E:$E,MATCH(MAX(Dólar!$A:$A),Dólar!$A:$A,0))</f>
        <v/>
      </c>
      <c r="K15" s="8" t="n">
        <v>300</v>
      </c>
      <c r="L15" s="11">
        <f>IF(D15="","",MIN(MAX(Supuestos!$B$5,CEILING((K15*Supuestos!$B$3+Supuestos!$B$7)/1000,Supuestos!$B$6))*Supuestos!$B$4/Supuestos!$B$3,Supuestos!$B$8+D15*Supuestos!$B$9))</f>
        <v/>
      </c>
      <c r="M15" s="12">
        <f>IF(D15="","",(D15+E15+L15+(D15+E15)*Supuestos!$B$10)*Supuestos!$B$11)</f>
        <v/>
      </c>
      <c r="N15" s="12">
        <f>IF(COUNT(G15:H15)=0,"",MIN(G15:H15))</f>
        <v/>
      </c>
      <c r="O15" s="13">
        <f>IF(OR(M15="",N15=""),"",N15-M15)</f>
        <v/>
      </c>
      <c r="P15" s="14">
        <f>IF(O15="","",O15/N15)</f>
        <v/>
      </c>
      <c r="Q15" s="5">
        <f>IF(P15="",IF(AND(D15="",N15=""),"Sin datos",IF(D15="","Sin precio eBay","Sin precio local")),IF(P15&gt;=Supuestos!$B$12,"Conviene",IF(P15&gt;=Supuestos!$B$13,"Justo","No conviene")))</f>
        <v/>
      </c>
    </row>
    <row r="16">
      <c r="A16" s="5" t="inlineStr">
        <is>
          <t>SSD NVMe 1TB</t>
        </is>
      </c>
      <c r="B16" s="5" t="inlineStr">
        <is>
          <t>SSD</t>
        </is>
      </c>
      <c r="C16" s="6" t="inlineStr">
        <is>
          <t>ver en eBay</t>
        </is>
      </c>
      <c r="D16" s="7" t="n">
        <v>119.99</v>
      </c>
      <c r="E16" s="7" t="n">
        <v>0</v>
      </c>
      <c r="F16" s="7" t="n">
        <v>99</v>
      </c>
      <c r="G16" s="8" t="n">
        <v>1100</v>
      </c>
      <c r="H16" s="8" t="n">
        <v>1754</v>
      </c>
      <c r="I16" s="9">
        <f>INDEX(Dólar!$B:$B,MATCH(MAX(Dólar!$A:$A),Dólar!$A:$A,0))</f>
        <v/>
      </c>
      <c r="J16" s="10">
        <f>INDEX(Dólar!$E:$E,MATCH(MAX(Dólar!$A:$A),Dólar!$A:$A,0))</f>
        <v/>
      </c>
      <c r="K16" s="8" t="n">
        <v>80</v>
      </c>
      <c r="L16" s="11">
        <f>IF(D16="","",MIN(MAX(Supuestos!$B$5,CEILING((K16*Supuestos!$B$3+Supuestos!$B$7)/1000,Supuestos!$B$6))*Supuestos!$B$4/Supuestos!$B$3,Supuestos!$B$8+D16*Supuestos!$B$9))</f>
        <v/>
      </c>
      <c r="M16" s="12">
        <f>IF(D16="","",(D16+E16+L16+(D16+E16)*Supuestos!$B$10)*Supuestos!$B$11)</f>
        <v/>
      </c>
      <c r="N16" s="12">
        <f>IF(COUNT(G16:H16)=0,"",MIN(G16:H16))</f>
        <v/>
      </c>
      <c r="O16" s="13">
        <f>IF(OR(M16="",N16=""),"",N16-M16)</f>
        <v/>
      </c>
      <c r="P16" s="14">
        <f>IF(O16="","",O16/N16)</f>
        <v/>
      </c>
      <c r="Q16" s="5">
        <f>IF(P16="",IF(AND(D16="",N16=""),"Sin datos",IF(D16="","Sin precio eBay","Sin precio local")),IF(P16&gt;=Supuestos!$B$12,"Conviene",IF(P16&gt;=Supuestos!$B$13,"Justo","No conviene")))</f>
        <v/>
      </c>
    </row>
    <row r="17">
      <c r="A17" s="5" t="inlineStr">
        <is>
          <t>RAM DDR4 16GB (2x8) 3200</t>
        </is>
      </c>
      <c r="B17" s="5" t="inlineStr">
        <is>
          <t>RAM</t>
        </is>
      </c>
      <c r="C17" s="6" t="inlineStr">
        <is>
          <t>ver en eBay</t>
        </is>
      </c>
      <c r="D17" s="7" t="n">
        <v>75</v>
      </c>
      <c r="E17" s="7" t="n">
        <v>0</v>
      </c>
      <c r="F17" s="7" t="n">
        <v>59.99</v>
      </c>
      <c r="G17" s="8" t="n">
        <v>540</v>
      </c>
      <c r="H17" s="8" t="n">
        <v>2150</v>
      </c>
      <c r="I17" s="9">
        <f>INDEX(Dólar!$B:$B,MATCH(MAX(Dólar!$A:$A),Dólar!$A:$A,0))</f>
        <v/>
      </c>
      <c r="J17" s="10">
        <f>INDEX(Dólar!$E:$E,MATCH(MAX(Dólar!$A:$A),Dólar!$A:$A,0))</f>
        <v/>
      </c>
      <c r="K17" s="8" t="n">
        <v>120</v>
      </c>
      <c r="L17" s="11">
        <f>IF(D17="","",MIN(MAX(Supuestos!$B$5,CEILING((K17*Supuestos!$B$3+Supuestos!$B$7)/1000,Supuestos!$B$6))*Supuestos!$B$4/Supuestos!$B$3,Supuestos!$B$8+D17*Supuestos!$B$9))</f>
        <v/>
      </c>
      <c r="M17" s="12">
        <f>IF(D17="","",(D17+E17+L17+(D17+E17)*Supuestos!$B$10)*Supuestos!$B$11)</f>
        <v/>
      </c>
      <c r="N17" s="12">
        <f>IF(COUNT(G17:H17)=0,"",MIN(G17:H17))</f>
        <v/>
      </c>
      <c r="O17" s="13">
        <f>IF(OR(M17="",N17=""),"",N17-M17)</f>
        <v/>
      </c>
      <c r="P17" s="14">
        <f>IF(O17="","",O17/N17)</f>
        <v/>
      </c>
      <c r="Q17" s="5">
        <f>IF(P17="",IF(AND(D17="",N17=""),"Sin datos",IF(D17="","Sin precio eBay","Sin precio local")),IF(P17&gt;=Supuestos!$B$12,"Conviene",IF(P17&gt;=Supuestos!$B$13,"Justo","No conviene")))</f>
        <v/>
      </c>
    </row>
    <row r="18">
      <c r="A18" s="5" t="inlineStr">
        <is>
          <t>Ryzen 5 5600</t>
        </is>
      </c>
      <c r="B18" s="5" t="inlineStr">
        <is>
          <t>CPU</t>
        </is>
      </c>
      <c r="C18" s="6" t="inlineStr">
        <is>
          <t>ver en eBay</t>
        </is>
      </c>
      <c r="D18" s="7" t="n">
        <v>138.9</v>
      </c>
      <c r="E18" s="7" t="n">
        <v>0</v>
      </c>
      <c r="F18" s="7" t="n">
        <v>131.99</v>
      </c>
      <c r="G18" s="2" t="n"/>
      <c r="H18" s="2" t="n"/>
      <c r="I18" s="9">
        <f>INDEX(Dólar!$B:$B,MATCH(MAX(Dólar!$A:$A),Dólar!$A:$A,0))</f>
        <v/>
      </c>
      <c r="J18" s="10">
        <f>INDEX(Dólar!$E:$E,MATCH(MAX(Dólar!$A:$A),Dólar!$A:$A,0))</f>
        <v/>
      </c>
      <c r="K18" s="8" t="n">
        <v>350</v>
      </c>
      <c r="L18" s="11">
        <f>IF(D18="","",MIN(MAX(Supuestos!$B$5,CEILING((K18*Supuestos!$B$3+Supuestos!$B$7)/1000,Supuestos!$B$6))*Supuestos!$B$4/Supuestos!$B$3,Supuestos!$B$8+D18*Supuestos!$B$9))</f>
        <v/>
      </c>
      <c r="M18" s="12">
        <f>IF(D18="","",(D18+E18+L18+(D18+E18)*Supuestos!$B$10)*Supuestos!$B$11)</f>
        <v/>
      </c>
      <c r="N18" s="12">
        <f>IF(COUNT(G18:H18)=0,"",MIN(G18:H18))</f>
        <v/>
      </c>
      <c r="O18" s="13">
        <f>IF(OR(M18="",N18=""),"",N18-M18)</f>
        <v/>
      </c>
      <c r="P18" s="14">
        <f>IF(O18="","",O18/N18)</f>
        <v/>
      </c>
      <c r="Q18" s="5">
        <f>IF(P18="",IF(AND(D18="",N18=""),"Sin datos",IF(D18="","Sin precio eBay","Sin precio local")),IF(P18&gt;=Supuestos!$B$12,"Conviene",IF(P18&gt;=Supuestos!$B$13,"Justo","No conviene")))</f>
        <v/>
      </c>
    </row>
    <row r="19">
      <c r="A19" s="5" t="inlineStr">
        <is>
          <t>Ryzen 7 5700X3D</t>
        </is>
      </c>
      <c r="B19" s="5" t="inlineStr">
        <is>
          <t>CPU</t>
        </is>
      </c>
      <c r="C19" s="6" t="inlineStr">
        <is>
          <t>ver en eBay</t>
        </is>
      </c>
      <c r="D19" s="2" t="n"/>
      <c r="E19" s="2" t="n"/>
      <c r="F19" s="7" t="n">
        <v>336</v>
      </c>
      <c r="G19" s="2" t="n"/>
      <c r="H19" s="2" t="n"/>
      <c r="I19" s="9">
        <f>INDEX(Dólar!$B:$B,MATCH(MAX(Dólar!$A:$A),Dólar!$A:$A,0))</f>
        <v/>
      </c>
      <c r="J19" s="10">
        <f>INDEX(Dólar!$E:$E,MATCH(MAX(Dólar!$A:$A),Dólar!$A:$A,0))</f>
        <v/>
      </c>
      <c r="K19" s="8" t="n">
        <v>350</v>
      </c>
      <c r="L19" s="11">
        <f>IF(D19="","",MIN(MAX(Supuestos!$B$5,CEILING((K19*Supuestos!$B$3+Supuestos!$B$7)/1000,Supuestos!$B$6))*Supuestos!$B$4/Supuestos!$B$3,Supuestos!$B$8+D19*Supuestos!$B$9))</f>
        <v/>
      </c>
      <c r="M19" s="12">
        <f>IF(D19="","",(D19+E19+L19+(D19+E19)*Supuestos!$B$10)*Supuestos!$B$11)</f>
        <v/>
      </c>
      <c r="N19" s="12">
        <f>IF(COUNT(G19:H19)=0,"",MIN(G19:H19))</f>
        <v/>
      </c>
      <c r="O19" s="13">
        <f>IF(OR(M19="",N19=""),"",N19-M19)</f>
        <v/>
      </c>
      <c r="P19" s="14">
        <f>IF(O19="","",O19/N19)</f>
        <v/>
      </c>
      <c r="Q19" s="5">
        <f>IF(P19="",IF(AND(D19="",N19=""),"Sin datos",IF(D19="","Sin precio eBay","Sin precio local")),IF(P19&gt;=Supuestos!$B$12,"Conviene",IF(P19&gt;=Supuestos!$B$13,"Justo","No conviene")))</f>
        <v/>
      </c>
    </row>
    <row r="20">
      <c r="A20" s="5" t="inlineStr">
        <is>
          <t>Ryzen 5 7500F</t>
        </is>
      </c>
      <c r="B20" s="5" t="inlineStr">
        <is>
          <t>CPU</t>
        </is>
      </c>
      <c r="C20" s="6" t="inlineStr">
        <is>
          <t>ver en eBay</t>
        </is>
      </c>
      <c r="D20" s="7" t="n">
        <v>135.6</v>
      </c>
      <c r="E20" s="7" t="n">
        <v>0</v>
      </c>
      <c r="F20" s="7" t="n">
        <v>114.99</v>
      </c>
      <c r="G20" s="2" t="n"/>
      <c r="H20" s="2" t="n"/>
      <c r="I20" s="9">
        <f>INDEX(Dólar!$B:$B,MATCH(MAX(Dólar!$A:$A),Dólar!$A:$A,0))</f>
        <v/>
      </c>
      <c r="J20" s="10">
        <f>INDEX(Dólar!$E:$E,MATCH(MAX(Dólar!$A:$A),Dólar!$A:$A,0))</f>
        <v/>
      </c>
      <c r="K20" s="8" t="n">
        <v>350</v>
      </c>
      <c r="L20" s="11">
        <f>IF(D20="","",MIN(MAX(Supuestos!$B$5,CEILING((K20*Supuestos!$B$3+Supuestos!$B$7)/1000,Supuestos!$B$6))*Supuestos!$B$4/Supuestos!$B$3,Supuestos!$B$8+D20*Supuestos!$B$9))</f>
        <v/>
      </c>
      <c r="M20" s="12">
        <f>IF(D20="","",(D20+E20+L20+(D20+E20)*Supuestos!$B$10)*Supuestos!$B$11)</f>
        <v/>
      </c>
      <c r="N20" s="12">
        <f>IF(COUNT(G20:H20)=0,"",MIN(G20:H20))</f>
        <v/>
      </c>
      <c r="O20" s="13">
        <f>IF(OR(M20="",N20=""),"",N20-M20)</f>
        <v/>
      </c>
      <c r="P20" s="14">
        <f>IF(O20="","",O20/N20)</f>
        <v/>
      </c>
      <c r="Q20" s="5">
        <f>IF(P20="",IF(AND(D20="",N20=""),"Sin datos",IF(D20="","Sin precio eBay","Sin precio local")),IF(P20&gt;=Supuestos!$B$12,"Conviene",IF(P20&gt;=Supuestos!$B$13,"Justo","No conviene")))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3" t="inlineStr">
        <is>
          <t>Azul: datos de eBay, Marketplace y tiendas (de los CSV del repo). Negro: fórmulas. Para probar otros supuestos (unidades, aduana, dólar) cambia la hoja Supuestos.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</sheetData>
  <conditionalFormatting sqref="Q5:Q20">
    <cfRule type="cellIs" priority="1" operator="equal" dxfId="0">
      <formula>"Conviene"</formula>
    </cfRule>
    <cfRule type="cellIs" priority="2" operator="equal" dxfId="1">
      <formula>"Justo"</formula>
    </cfRule>
    <cfRule type="cellIs" priority="3" operator="equal" dxfId="2">
      <formula>"No conviene"</formula>
    </cfRule>
  </conditionalFormatting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  <tableParts count="1">
    <tablePart xmlns:r="http://schemas.openxmlformats.org/officeDocument/2006/relationships" r:id="rId1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7" customWidth="1" min="3" max="3"/>
    <col width="13" customWidth="1" min="4" max="4"/>
    <col width="13" customWidth="1" min="5" max="5"/>
    <col width="13" customWidth="1" min="6" max="6"/>
    <col width="12" customWidth="1" min="7" max="7"/>
    <col width="10" customWidth="1" min="8" max="8"/>
    <col width="11" customWidth="1" min="9" max="9"/>
    <col width="16" customWidth="1" min="10" max="10"/>
    <col width="13" customWidth="1" min="11" max="11"/>
    <col width="12" customWidth="1" min="12" max="12"/>
    <col width="12" customWidth="1" min="13" max="13"/>
    <col width="13" customWidth="1" min="14" max="14"/>
    <col width="11" customWidth="1" min="15" max="15"/>
  </cols>
  <sheetData>
    <row r="1" ht="30" customHeight="1">
      <c r="A1" s="4" t="inlineStr">
        <is>
          <t>Fecha</t>
        </is>
      </c>
      <c r="B1" s="4" t="inlineStr">
        <is>
          <t>Producto</t>
        </is>
      </c>
      <c r="C1" s="4" t="inlineStr">
        <is>
          <t>Tipo</t>
        </is>
      </c>
      <c r="D1" s="4" t="inlineStr">
        <is>
          <t>eBay nuevo USD</t>
        </is>
      </c>
      <c r="E1" s="4" t="inlineStr">
        <is>
          <t>eBay usado USD</t>
        </is>
      </c>
      <c r="F1" s="4" t="inlineStr">
        <is>
          <t>Marketplace Bs</t>
        </is>
      </c>
      <c r="G1" s="4" t="inlineStr">
        <is>
          <t>Tiendas Bs</t>
        </is>
      </c>
      <c r="H1" s="4" t="inlineStr">
        <is>
          <t>Dólar BCB</t>
        </is>
      </c>
      <c r="I1" s="4" t="inlineStr">
        <is>
          <t>Dólar paralelo</t>
        </is>
      </c>
      <c r="J1" s="4" t="inlineStr">
        <is>
          <t>Link del producto</t>
        </is>
      </c>
      <c r="K1" s="4" t="inlineStr">
        <is>
          <t>Fecha anterior</t>
        </is>
      </c>
      <c r="L1" s="4" t="inlineStr">
        <is>
          <t>Δ eBay nuevo</t>
        </is>
      </c>
      <c r="M1" s="4" t="inlineStr">
        <is>
          <t>Δ eBay usado</t>
        </is>
      </c>
      <c r="N1" s="4" t="inlineStr">
        <is>
          <t>Δ Marketplace</t>
        </is>
      </c>
      <c r="O1" s="4" t="inlineStr">
        <is>
          <t>Δ Tiendas</t>
        </is>
      </c>
    </row>
    <row r="2">
      <c r="A2" s="15" t="n">
        <v>46325</v>
      </c>
      <c r="B2" s="5" t="inlineStr">
        <is>
          <t>SSD NVMe 2TB</t>
        </is>
      </c>
      <c r="C2" s="5" t="inlineStr">
        <is>
          <t>SSD</t>
        </is>
      </c>
      <c r="D2" s="7" t="n">
        <v>185</v>
      </c>
      <c r="E2" s="2" t="n"/>
      <c r="F2" s="8" t="n">
        <v>3100</v>
      </c>
      <c r="G2" s="2" t="n"/>
      <c r="H2" s="9">
        <f>IFERROR(IF(INDEX(Dólar!$B:$B,MATCH(A2,Dólar!$A:$A,0))="","",INDEX(Dólar!$B:$B,MATCH(A2,Dólar!$A:$A,0))),"")</f>
        <v/>
      </c>
      <c r="I2" s="10">
        <f>IFERROR(INDEX(Dólar!$E:$E,MATCH(A2,Dólar!$A:$A,0)),"")</f>
        <v/>
      </c>
      <c r="J2" s="6" t="inlineStr">
        <is>
          <t>ver anuncio</t>
        </is>
      </c>
      <c r="K2" s="15" t="n">
        <v>46324</v>
      </c>
      <c r="L2" s="16">
        <f>IF(OR($K2="",D2=""),"",IF(COUNTIFS($B:$B,$B2,$A:$A,$K2,D:D,"&gt;=0")=0,"",D2-SUMIFS(D:D,$B:$B,$B2,$A:$A,$K2)))</f>
        <v/>
      </c>
      <c r="M2" s="16">
        <f>IF(OR($K2="",E2=""),"",IF(COUNTIFS($B:$B,$B2,$A:$A,$K2,E:E,"&gt;=0")=0,"",E2-SUMIFS(E:E,$B:$B,$B2,$A:$A,$K2)))</f>
        <v/>
      </c>
      <c r="N2" s="16">
        <f>IF(OR($K2="",F2=""),"",IF(COUNTIFS($B:$B,$B2,$A:$A,$K2,F:F,"&gt;=0")=0,"",F2-SUMIFS(F:F,$B:$B,$B2,$A:$A,$K2)))</f>
        <v/>
      </c>
      <c r="O2" s="16">
        <f>IF(OR($K2="",G2=""),"",IF(COUNTIFS($B:$B,$B2,$A:$A,$K2,G:G,"&gt;=0")=0,"",G2-SUMIFS(G:G,$B:$B,$B2,$A:$A,$K2)))</f>
        <v/>
      </c>
    </row>
    <row r="3">
      <c r="A3" s="15" t="n">
        <v>46325</v>
      </c>
      <c r="B3" s="5" t="inlineStr">
        <is>
          <t>SSD NVMe 1TB</t>
        </is>
      </c>
      <c r="C3" s="5" t="inlineStr">
        <is>
          <t>SSD</t>
        </is>
      </c>
      <c r="D3" s="7" t="n">
        <v>119.99</v>
      </c>
      <c r="E3" s="2" t="n"/>
      <c r="F3" s="8" t="n">
        <v>1675</v>
      </c>
      <c r="G3" s="2" t="n"/>
      <c r="H3" s="9">
        <f>IFERROR(IF(INDEX(Dólar!$B:$B,MATCH(A3,Dólar!$A:$A,0))="","",INDEX(Dólar!$B:$B,MATCH(A3,Dólar!$A:$A,0))),"")</f>
        <v/>
      </c>
      <c r="I3" s="10">
        <f>IFERROR(INDEX(Dólar!$E:$E,MATCH(A3,Dólar!$A:$A,0)),"")</f>
        <v/>
      </c>
      <c r="J3" s="6" t="inlineStr">
        <is>
          <t>ver anuncio</t>
        </is>
      </c>
      <c r="K3" s="15" t="n">
        <v>46324</v>
      </c>
      <c r="L3" s="16">
        <f>IF(OR($K3="",D3=""),"",IF(COUNTIFS($B:$B,$B3,$A:$A,$K3,D:D,"&gt;=0")=0,"",D3-SUMIFS(D:D,$B:$B,$B3,$A:$A,$K3)))</f>
        <v/>
      </c>
      <c r="M3" s="16">
        <f>IF(OR($K3="",E3=""),"",IF(COUNTIFS($B:$B,$B3,$A:$A,$K3,E:E,"&gt;=0")=0,"",E3-SUMIFS(E:E,$B:$B,$B3,$A:$A,$K3)))</f>
        <v/>
      </c>
      <c r="N3" s="16">
        <f>IF(OR($K3="",F3=""),"",IF(COUNTIFS($B:$B,$B3,$A:$A,$K3,F:F,"&gt;=0")=0,"",F3-SUMIFS(F:F,$B:$B,$B3,$A:$A,$K3)))</f>
        <v/>
      </c>
      <c r="O3" s="16">
        <f>IF(OR($K3="",G3=""),"",IF(COUNTIFS($B:$B,$B3,$A:$A,$K3,G:G,"&gt;=0")=0,"",G3-SUMIFS(G:G,$B:$B,$B3,$A:$A,$K3)))</f>
        <v/>
      </c>
    </row>
    <row r="4">
      <c r="A4" s="15" t="n">
        <v>46325</v>
      </c>
      <c r="B4" s="5" t="inlineStr">
        <is>
          <t>Ryzen 9 9950X</t>
        </is>
      </c>
      <c r="C4" s="5" t="inlineStr">
        <is>
          <t>CPU</t>
        </is>
      </c>
      <c r="D4" s="7" t="n">
        <v>549.99</v>
      </c>
      <c r="E4" s="2" t="n"/>
      <c r="F4" s="2" t="n"/>
      <c r="G4" s="2" t="n"/>
      <c r="H4" s="9">
        <f>IFERROR(IF(INDEX(Dólar!$B:$B,MATCH(A4,Dólar!$A:$A,0))="","",INDEX(Dólar!$B:$B,MATCH(A4,Dólar!$A:$A,0))),"")</f>
        <v/>
      </c>
      <c r="I4" s="10">
        <f>IFERROR(INDEX(Dólar!$E:$E,MATCH(A4,Dólar!$A:$A,0)),"")</f>
        <v/>
      </c>
      <c r="J4" s="6" t="inlineStr">
        <is>
          <t>ver anuncio</t>
        </is>
      </c>
      <c r="K4" s="15" t="n">
        <v>46324</v>
      </c>
      <c r="L4" s="16">
        <f>IF(OR($K4="",D4=""),"",IF(COUNTIFS($B:$B,$B4,$A:$A,$K4,D:D,"&gt;=0")=0,"",D4-SUMIFS(D:D,$B:$B,$B4,$A:$A,$K4)))</f>
        <v/>
      </c>
      <c r="M4" s="16">
        <f>IF(OR($K4="",E4=""),"",IF(COUNTIFS($B:$B,$B4,$A:$A,$K4,E:E,"&gt;=0")=0,"",E4-SUMIFS(E:E,$B:$B,$B4,$A:$A,$K4)))</f>
        <v/>
      </c>
      <c r="N4" s="16">
        <f>IF(OR($K4="",F4=""),"",IF(COUNTIFS($B:$B,$B4,$A:$A,$K4,F:F,"&gt;=0")=0,"",F4-SUMIFS(F:F,$B:$B,$B4,$A:$A,$K4)))</f>
        <v/>
      </c>
      <c r="O4" s="16">
        <f>IF(OR($K4="",G4=""),"",IF(COUNTIFS($B:$B,$B4,$A:$A,$K4,G:G,"&gt;=0")=0,"",G4-SUMIFS(G:G,$B:$B,$B4,$A:$A,$K4)))</f>
        <v/>
      </c>
    </row>
    <row r="5">
      <c r="A5" s="15" t="n">
        <v>46325</v>
      </c>
      <c r="B5" s="5" t="inlineStr">
        <is>
          <t>Ryzen 7 7800X3D</t>
        </is>
      </c>
      <c r="C5" s="5" t="inlineStr">
        <is>
          <t>CPU</t>
        </is>
      </c>
      <c r="D5" s="7" t="n">
        <v>329</v>
      </c>
      <c r="E5" s="2" t="n"/>
      <c r="F5" s="8" t="n">
        <v>5190</v>
      </c>
      <c r="G5" s="2" t="n"/>
      <c r="H5" s="9">
        <f>IFERROR(IF(INDEX(Dólar!$B:$B,MATCH(A5,Dólar!$A:$A,0))="","",INDEX(Dólar!$B:$B,MATCH(A5,Dólar!$A:$A,0))),"")</f>
        <v/>
      </c>
      <c r="I5" s="10">
        <f>IFERROR(INDEX(Dólar!$E:$E,MATCH(A5,Dólar!$A:$A,0)),"")</f>
        <v/>
      </c>
      <c r="J5" s="6" t="inlineStr">
        <is>
          <t>ver anuncio</t>
        </is>
      </c>
      <c r="K5" s="15" t="n">
        <v>46324</v>
      </c>
      <c r="L5" s="16">
        <f>IF(OR($K5="",D5=""),"",IF(COUNTIFS($B:$B,$B5,$A:$A,$K5,D:D,"&gt;=0")=0,"",D5-SUMIFS(D:D,$B:$B,$B5,$A:$A,$K5)))</f>
        <v/>
      </c>
      <c r="M5" s="16">
        <f>IF(OR($K5="",E5=""),"",IF(COUNTIFS($B:$B,$B5,$A:$A,$K5,E:E,"&gt;=0")=0,"",E5-SUMIFS(E:E,$B:$B,$B5,$A:$A,$K5)))</f>
        <v/>
      </c>
      <c r="N5" s="16">
        <f>IF(OR($K5="",F5=""),"",IF(COUNTIFS($B:$B,$B5,$A:$A,$K5,F:F,"&gt;=0")=0,"",F5-SUMIFS(F:F,$B:$B,$B5,$A:$A,$K5)))</f>
        <v/>
      </c>
      <c r="O5" s="16">
        <f>IF(OR($K5="",G5=""),"",IF(COUNTIFS($B:$B,$B5,$A:$A,$K5,G:G,"&gt;=0")=0,"",G5-SUMIFS(G:G,$B:$B,$B5,$A:$A,$K5)))</f>
        <v/>
      </c>
    </row>
    <row r="6">
      <c r="A6" s="15" t="n">
        <v>46325</v>
      </c>
      <c r="B6" s="5" t="inlineStr">
        <is>
          <t>Ryzen 7 7700X</t>
        </is>
      </c>
      <c r="C6" s="5" t="inlineStr">
        <is>
          <t>CPU</t>
        </is>
      </c>
      <c r="D6" s="7" t="n">
        <v>219</v>
      </c>
      <c r="E6" s="2" t="n"/>
      <c r="F6" s="8" t="n">
        <v>3000</v>
      </c>
      <c r="G6" s="2" t="n"/>
      <c r="H6" s="9">
        <f>IFERROR(IF(INDEX(Dólar!$B:$B,MATCH(A6,Dólar!$A:$A,0))="","",INDEX(Dólar!$B:$B,MATCH(A6,Dólar!$A:$A,0))),"")</f>
        <v/>
      </c>
      <c r="I6" s="10">
        <f>IFERROR(INDEX(Dólar!$E:$E,MATCH(A6,Dólar!$A:$A,0)),"")</f>
        <v/>
      </c>
      <c r="J6" s="6" t="inlineStr">
        <is>
          <t>ver anuncio</t>
        </is>
      </c>
      <c r="K6" s="15" t="n">
        <v>46324</v>
      </c>
      <c r="L6" s="16">
        <f>IF(OR($K6="",D6=""),"",IF(COUNTIFS($B:$B,$B6,$A:$A,$K6,D:D,"&gt;=0")=0,"",D6-SUMIFS(D:D,$B:$B,$B6,$A:$A,$K6)))</f>
        <v/>
      </c>
      <c r="M6" s="16">
        <f>IF(OR($K6="",E6=""),"",IF(COUNTIFS($B:$B,$B6,$A:$A,$K6,E:E,"&gt;=0")=0,"",E6-SUMIFS(E:E,$B:$B,$B6,$A:$A,$K6)))</f>
        <v/>
      </c>
      <c r="N6" s="16">
        <f>IF(OR($K6="",F6=""),"",IF(COUNTIFS($B:$B,$B6,$A:$A,$K6,F:F,"&gt;=0")=0,"",F6-SUMIFS(F:F,$B:$B,$B6,$A:$A,$K6)))</f>
        <v/>
      </c>
      <c r="O6" s="16">
        <f>IF(OR($K6="",G6=""),"",IF(COUNTIFS($B:$B,$B6,$A:$A,$K6,G:G,"&gt;=0")=0,"",G6-SUMIFS(G:G,$B:$B,$B6,$A:$A,$K6)))</f>
        <v/>
      </c>
    </row>
    <row r="7">
      <c r="A7" s="15" t="n">
        <v>46325</v>
      </c>
      <c r="B7" s="5" t="inlineStr">
        <is>
          <t>Ryzen 5 7600</t>
        </is>
      </c>
      <c r="C7" s="5" t="inlineStr">
        <is>
          <t>CPU</t>
        </is>
      </c>
      <c r="D7" s="7" t="n">
        <v>199.99</v>
      </c>
      <c r="E7" s="2" t="n"/>
      <c r="F7" s="2" t="n"/>
      <c r="G7" s="2" t="n"/>
      <c r="H7" s="9">
        <f>IFERROR(IF(INDEX(Dólar!$B:$B,MATCH(A7,Dólar!$A:$A,0))="","",INDEX(Dólar!$B:$B,MATCH(A7,Dólar!$A:$A,0))),"")</f>
        <v/>
      </c>
      <c r="I7" s="10">
        <f>IFERROR(INDEX(Dólar!$E:$E,MATCH(A7,Dólar!$A:$A,0)),"")</f>
        <v/>
      </c>
      <c r="J7" s="6" t="inlineStr">
        <is>
          <t>ver anuncio</t>
        </is>
      </c>
      <c r="K7" s="15" t="n">
        <v>46324</v>
      </c>
      <c r="L7" s="16">
        <f>IF(OR($K7="",D7=""),"",IF(COUNTIFS($B:$B,$B7,$A:$A,$K7,D:D,"&gt;=0")=0,"",D7-SUMIFS(D:D,$B:$B,$B7,$A:$A,$K7)))</f>
        <v/>
      </c>
      <c r="M7" s="16">
        <f>IF(OR($K7="",E7=""),"",IF(COUNTIFS($B:$B,$B7,$A:$A,$K7,E:E,"&gt;=0")=0,"",E7-SUMIFS(E:E,$B:$B,$B7,$A:$A,$K7)))</f>
        <v/>
      </c>
      <c r="N7" s="16">
        <f>IF(OR($K7="",F7=""),"",IF(COUNTIFS($B:$B,$B7,$A:$A,$K7,F:F,"&gt;=0")=0,"",F7-SUMIFS(F:F,$B:$B,$B7,$A:$A,$K7)))</f>
        <v/>
      </c>
      <c r="O7" s="16">
        <f>IF(OR($K7="",G7=""),"",IF(COUNTIFS($B:$B,$B7,$A:$A,$K7,G:G,"&gt;=0")=0,"",G7-SUMIFS(G:G,$B:$B,$B7,$A:$A,$K7)))</f>
        <v/>
      </c>
    </row>
    <row r="8">
      <c r="A8" s="15" t="n">
        <v>46325</v>
      </c>
      <c r="B8" s="5" t="inlineStr">
        <is>
          <t>Ryzen 5 7500F</t>
        </is>
      </c>
      <c r="C8" s="5" t="inlineStr">
        <is>
          <t>CPU</t>
        </is>
      </c>
      <c r="D8" s="7" t="n">
        <v>135.6</v>
      </c>
      <c r="E8" s="2" t="n"/>
      <c r="F8" s="2" t="n"/>
      <c r="G8" s="2" t="n"/>
      <c r="H8" s="9">
        <f>IFERROR(IF(INDEX(Dólar!$B:$B,MATCH(A8,Dólar!$A:$A,0))="","",INDEX(Dólar!$B:$B,MATCH(A8,Dólar!$A:$A,0))),"")</f>
        <v/>
      </c>
      <c r="I8" s="10">
        <f>IFERROR(INDEX(Dólar!$E:$E,MATCH(A8,Dólar!$A:$A,0)),"")</f>
        <v/>
      </c>
      <c r="J8" s="6" t="inlineStr">
        <is>
          <t>ver anuncio</t>
        </is>
      </c>
      <c r="K8" s="15" t="n">
        <v>46324</v>
      </c>
      <c r="L8" s="16">
        <f>IF(OR($K8="",D8=""),"",IF(COUNTIFS($B:$B,$B8,$A:$A,$K8,D:D,"&gt;=0")=0,"",D8-SUMIFS(D:D,$B:$B,$B8,$A:$A,$K8)))</f>
        <v/>
      </c>
      <c r="M8" s="16">
        <f>IF(OR($K8="",E8=""),"",IF(COUNTIFS($B:$B,$B8,$A:$A,$K8,E:E,"&gt;=0")=0,"",E8-SUMIFS(E:E,$B:$B,$B8,$A:$A,$K8)))</f>
        <v/>
      </c>
      <c r="N8" s="16">
        <f>IF(OR($K8="",F8=""),"",IF(COUNTIFS($B:$B,$B8,$A:$A,$K8,F:F,"&gt;=0")=0,"",F8-SUMIFS(F:F,$B:$B,$B8,$A:$A,$K8)))</f>
        <v/>
      </c>
      <c r="O8" s="16">
        <f>IF(OR($K8="",G8=""),"",IF(COUNTIFS($B:$B,$B8,$A:$A,$K8,G:G,"&gt;=0")=0,"",G8-SUMIFS(G:G,$B:$B,$B8,$A:$A,$K8)))</f>
        <v/>
      </c>
    </row>
    <row r="9">
      <c r="A9" s="15" t="n">
        <v>46325</v>
      </c>
      <c r="B9" s="5" t="inlineStr">
        <is>
          <t>Ryzen 5 5600</t>
        </is>
      </c>
      <c r="C9" s="5" t="inlineStr">
        <is>
          <t>CPU</t>
        </is>
      </c>
      <c r="D9" s="7" t="n">
        <v>138.9</v>
      </c>
      <c r="E9" s="2" t="n"/>
      <c r="F9" s="2" t="n"/>
      <c r="G9" s="2" t="n"/>
      <c r="H9" s="9">
        <f>IFERROR(IF(INDEX(Dólar!$B:$B,MATCH(A9,Dólar!$A:$A,0))="","",INDEX(Dólar!$B:$B,MATCH(A9,Dólar!$A:$A,0))),"")</f>
        <v/>
      </c>
      <c r="I9" s="10">
        <f>IFERROR(INDEX(Dólar!$E:$E,MATCH(A9,Dólar!$A:$A,0)),"")</f>
        <v/>
      </c>
      <c r="J9" s="6" t="inlineStr">
        <is>
          <t>ver anuncio</t>
        </is>
      </c>
      <c r="K9" s="15" t="n">
        <v>46324</v>
      </c>
      <c r="L9" s="16">
        <f>IF(OR($K9="",D9=""),"",IF(COUNTIFS($B:$B,$B9,$A:$A,$K9,D:D,"&gt;=0")=0,"",D9-SUMIFS(D:D,$B:$B,$B9,$A:$A,$K9)))</f>
        <v/>
      </c>
      <c r="M9" s="16">
        <f>IF(OR($K9="",E9=""),"",IF(COUNTIFS($B:$B,$B9,$A:$A,$K9,E:E,"&gt;=0")=0,"",E9-SUMIFS(E:E,$B:$B,$B9,$A:$A,$K9)))</f>
        <v/>
      </c>
      <c r="N9" s="16">
        <f>IF(OR($K9="",F9=""),"",IF(COUNTIFS($B:$B,$B9,$A:$A,$K9,F:F,"&gt;=0")=0,"",F9-SUMIFS(F:F,$B:$B,$B9,$A:$A,$K9)))</f>
        <v/>
      </c>
      <c r="O9" s="16">
        <f>IF(OR($K9="",G9=""),"",IF(COUNTIFS($B:$B,$B9,$A:$A,$K9,G:G,"&gt;=0")=0,"",G9-SUMIFS(G:G,$B:$B,$B9,$A:$A,$K9)))</f>
        <v/>
      </c>
    </row>
    <row r="10">
      <c r="A10" s="15" t="n">
        <v>46325</v>
      </c>
      <c r="B10" s="5" t="inlineStr">
        <is>
          <t>RAM DDR4 16GB (2x8) 3200</t>
        </is>
      </c>
      <c r="C10" s="5" t="inlineStr">
        <is>
          <t>RAM</t>
        </is>
      </c>
      <c r="D10" s="7" t="n">
        <v>75</v>
      </c>
      <c r="E10" s="2" t="n"/>
      <c r="F10" s="2" t="n"/>
      <c r="G10" s="2" t="n"/>
      <c r="H10" s="9">
        <f>IFERROR(IF(INDEX(Dólar!$B:$B,MATCH(A10,Dólar!$A:$A,0))="","",INDEX(Dólar!$B:$B,MATCH(A10,Dólar!$A:$A,0))),"")</f>
        <v/>
      </c>
      <c r="I10" s="10">
        <f>IFERROR(INDEX(Dólar!$E:$E,MATCH(A10,Dólar!$A:$A,0)),"")</f>
        <v/>
      </c>
      <c r="J10" s="6" t="inlineStr">
        <is>
          <t>ver anuncio</t>
        </is>
      </c>
      <c r="K10" s="15" t="n">
        <v>46324</v>
      </c>
      <c r="L10" s="16">
        <f>IF(OR($K10="",D10=""),"",IF(COUNTIFS($B:$B,$B10,$A:$A,$K10,D:D,"&gt;=0")=0,"",D10-SUMIFS(D:D,$B:$B,$B10,$A:$A,$K10)))</f>
        <v/>
      </c>
      <c r="M10" s="16">
        <f>IF(OR($K10="",E10=""),"",IF(COUNTIFS($B:$B,$B10,$A:$A,$K10,E:E,"&gt;=0")=0,"",E10-SUMIFS(E:E,$B:$B,$B10,$A:$A,$K10)))</f>
        <v/>
      </c>
      <c r="N10" s="16">
        <f>IF(OR($K10="",F10=""),"",IF(COUNTIFS($B:$B,$B10,$A:$A,$K10,F:F,"&gt;=0")=0,"",F10-SUMIFS(F:F,$B:$B,$B10,$A:$A,$K10)))</f>
        <v/>
      </c>
      <c r="O10" s="16">
        <f>IF(OR($K10="",G10=""),"",IF(COUNTIFS($B:$B,$B10,$A:$A,$K10,G:G,"&gt;=0")=0,"",G10-SUMIFS(G:G,$B:$B,$B10,$A:$A,$K10)))</f>
        <v/>
      </c>
    </row>
    <row r="11">
      <c r="A11" s="15" t="n">
        <v>46325</v>
      </c>
      <c r="B11" s="5" t="inlineStr">
        <is>
          <t>Intel Core i5-14400F</t>
        </is>
      </c>
      <c r="C11" s="5" t="inlineStr">
        <is>
          <t>CPU</t>
        </is>
      </c>
      <c r="D11" s="7" t="n">
        <v>164.49</v>
      </c>
      <c r="E11" s="2" t="n"/>
      <c r="F11" s="2" t="n"/>
      <c r="G11" s="2" t="n"/>
      <c r="H11" s="9">
        <f>IFERROR(IF(INDEX(Dólar!$B:$B,MATCH(A11,Dólar!$A:$A,0))="","",INDEX(Dólar!$B:$B,MATCH(A11,Dólar!$A:$A,0))),"")</f>
        <v/>
      </c>
      <c r="I11" s="10">
        <f>IFERROR(INDEX(Dólar!$E:$E,MATCH(A11,Dólar!$A:$A,0)),"")</f>
        <v/>
      </c>
      <c r="J11" s="6" t="inlineStr">
        <is>
          <t>ver anuncio</t>
        </is>
      </c>
      <c r="K11" s="15" t="n">
        <v>46324</v>
      </c>
      <c r="L11" s="16">
        <f>IF(OR($K11="",D11=""),"",IF(COUNTIFS($B:$B,$B11,$A:$A,$K11,D:D,"&gt;=0")=0,"",D11-SUMIFS(D:D,$B:$B,$B11,$A:$A,$K11)))</f>
        <v/>
      </c>
      <c r="M11" s="16">
        <f>IF(OR($K11="",E11=""),"",IF(COUNTIFS($B:$B,$B11,$A:$A,$K11,E:E,"&gt;=0")=0,"",E11-SUMIFS(E:E,$B:$B,$B11,$A:$A,$K11)))</f>
        <v/>
      </c>
      <c r="N11" s="16">
        <f>IF(OR($K11="",F11=""),"",IF(COUNTIFS($B:$B,$B11,$A:$A,$K11,F:F,"&gt;=0")=0,"",F11-SUMIFS(F:F,$B:$B,$B11,$A:$A,$K11)))</f>
        <v/>
      </c>
      <c r="O11" s="16">
        <f>IF(OR($K11="",G11=""),"",IF(COUNTIFS($B:$B,$B11,$A:$A,$K11,G:G,"&gt;=0")=0,"",G11-SUMIFS(G:G,$B:$B,$B11,$A:$A,$K11)))</f>
        <v/>
      </c>
    </row>
    <row r="12">
      <c r="A12" s="15" t="n">
        <v>46325</v>
      </c>
      <c r="B12" s="5" t="inlineStr">
        <is>
          <t>Intel Core i5-13400</t>
        </is>
      </c>
      <c r="C12" s="5" t="inlineStr">
        <is>
          <t>CPU</t>
        </is>
      </c>
      <c r="D12" s="2" t="n"/>
      <c r="E12" s="2" t="n"/>
      <c r="F12" s="2" t="n"/>
      <c r="G12" s="2" t="n"/>
      <c r="H12" s="9">
        <f>IFERROR(IF(INDEX(Dólar!$B:$B,MATCH(A12,Dólar!$A:$A,0))="","",INDEX(Dólar!$B:$B,MATCH(A12,Dólar!$A:$A,0))),"")</f>
        <v/>
      </c>
      <c r="I12" s="10">
        <f>IFERROR(INDEX(Dólar!$E:$E,MATCH(A12,Dólar!$A:$A,0)),"")</f>
        <v/>
      </c>
      <c r="J12" s="2" t="n"/>
      <c r="K12" s="15" t="n">
        <v>46324</v>
      </c>
      <c r="L12" s="16">
        <f>IF(OR($K12="",D12=""),"",IF(COUNTIFS($B:$B,$B12,$A:$A,$K12,D:D,"&gt;=0")=0,"",D12-SUMIFS(D:D,$B:$B,$B12,$A:$A,$K12)))</f>
        <v/>
      </c>
      <c r="M12" s="16">
        <f>IF(OR($K12="",E12=""),"",IF(COUNTIFS($B:$B,$B12,$A:$A,$K12,E:E,"&gt;=0")=0,"",E12-SUMIFS(E:E,$B:$B,$B12,$A:$A,$K12)))</f>
        <v/>
      </c>
      <c r="N12" s="16">
        <f>IF(OR($K12="",F12=""),"",IF(COUNTIFS($B:$B,$B12,$A:$A,$K12,F:F,"&gt;=0")=0,"",F12-SUMIFS(F:F,$B:$B,$B12,$A:$A,$K12)))</f>
        <v/>
      </c>
      <c r="O12" s="16">
        <f>IF(OR($K12="",G12=""),"",IF(COUNTIFS($B:$B,$B12,$A:$A,$K12,G:G,"&gt;=0")=0,"",G12-SUMIFS(G:G,$B:$B,$B12,$A:$A,$K12)))</f>
        <v/>
      </c>
    </row>
    <row r="13">
      <c r="A13" s="15" t="n">
        <v>46325</v>
      </c>
      <c r="B13" s="5" t="inlineStr">
        <is>
          <t>Intel Core i5-12400F</t>
        </is>
      </c>
      <c r="C13" s="5" t="inlineStr">
        <is>
          <t>CPU</t>
        </is>
      </c>
      <c r="D13" s="7" t="n">
        <v>140</v>
      </c>
      <c r="E13" s="2" t="n"/>
      <c r="F13" s="2" t="n"/>
      <c r="G13" s="2" t="n"/>
      <c r="H13" s="9">
        <f>IFERROR(IF(INDEX(Dólar!$B:$B,MATCH(A13,Dólar!$A:$A,0))="","",INDEX(Dólar!$B:$B,MATCH(A13,Dólar!$A:$A,0))),"")</f>
        <v/>
      </c>
      <c r="I13" s="10">
        <f>IFERROR(INDEX(Dólar!$E:$E,MATCH(A13,Dólar!$A:$A,0)),"")</f>
        <v/>
      </c>
      <c r="J13" s="6" t="inlineStr">
        <is>
          <t>ver anuncio</t>
        </is>
      </c>
      <c r="K13" s="15" t="n">
        <v>46324</v>
      </c>
      <c r="L13" s="16">
        <f>IF(OR($K13="",D13=""),"",IF(COUNTIFS($B:$B,$B13,$A:$A,$K13,D:D,"&gt;=0")=0,"",D13-SUMIFS(D:D,$B:$B,$B13,$A:$A,$K13)))</f>
        <v/>
      </c>
      <c r="M13" s="16">
        <f>IF(OR($K13="",E13=""),"",IF(COUNTIFS($B:$B,$B13,$A:$A,$K13,E:E,"&gt;=0")=0,"",E13-SUMIFS(E:E,$B:$B,$B13,$A:$A,$K13)))</f>
        <v/>
      </c>
      <c r="N13" s="16">
        <f>IF(OR($K13="",F13=""),"",IF(COUNTIFS($B:$B,$B13,$A:$A,$K13,F:F,"&gt;=0")=0,"",F13-SUMIFS(F:F,$B:$B,$B13,$A:$A,$K13)))</f>
        <v/>
      </c>
      <c r="O13" s="16">
        <f>IF(OR($K13="",G13=""),"",IF(COUNTIFS($B:$B,$B13,$A:$A,$K13,G:G,"&gt;=0")=0,"",G13-SUMIFS(G:G,$B:$B,$B13,$A:$A,$K13)))</f>
        <v/>
      </c>
    </row>
    <row r="14">
      <c r="A14" s="15" t="n">
        <v>46325</v>
      </c>
      <c r="B14" s="5" t="inlineStr">
        <is>
          <t>Intel Core Ultra 7 265K</t>
        </is>
      </c>
      <c r="C14" s="5" t="inlineStr">
        <is>
          <t>CPU</t>
        </is>
      </c>
      <c r="D14" s="7" t="n">
        <v>248</v>
      </c>
      <c r="E14" s="2" t="n"/>
      <c r="F14" s="2" t="n"/>
      <c r="G14" s="2" t="n"/>
      <c r="H14" s="9">
        <f>IFERROR(IF(INDEX(Dólar!$B:$B,MATCH(A14,Dólar!$A:$A,0))="","",INDEX(Dólar!$B:$B,MATCH(A14,Dólar!$A:$A,0))),"")</f>
        <v/>
      </c>
      <c r="I14" s="10">
        <f>IFERROR(INDEX(Dólar!$E:$E,MATCH(A14,Dólar!$A:$A,0)),"")</f>
        <v/>
      </c>
      <c r="J14" s="6" t="inlineStr">
        <is>
          <t>ver anuncio</t>
        </is>
      </c>
      <c r="K14" s="15" t="n">
        <v>46324</v>
      </c>
      <c r="L14" s="16">
        <f>IF(OR($K14="",D14=""),"",IF(COUNTIFS($B:$B,$B14,$A:$A,$K14,D:D,"&gt;=0")=0,"",D14-SUMIFS(D:D,$B:$B,$B14,$A:$A,$K14)))</f>
        <v/>
      </c>
      <c r="M14" s="16">
        <f>IF(OR($K14="",E14=""),"",IF(COUNTIFS($B:$B,$B14,$A:$A,$K14,E:E,"&gt;=0")=0,"",E14-SUMIFS(E:E,$B:$B,$B14,$A:$A,$K14)))</f>
        <v/>
      </c>
      <c r="N14" s="16">
        <f>IF(OR($K14="",F14=""),"",IF(COUNTIFS($B:$B,$B14,$A:$A,$K14,F:F,"&gt;=0")=0,"",F14-SUMIFS(F:F,$B:$B,$B14,$A:$A,$K14)))</f>
        <v/>
      </c>
      <c r="O14" s="16">
        <f>IF(OR($K14="",G14=""),"",IF(COUNTIFS($B:$B,$B14,$A:$A,$K14,G:G,"&gt;=0")=0,"",G14-SUMIFS(G:G,$B:$B,$B14,$A:$A,$K14)))</f>
        <v/>
      </c>
    </row>
    <row r="15">
      <c r="A15" s="15" t="n">
        <v>46325</v>
      </c>
      <c r="B15" s="5" t="inlineStr">
        <is>
          <t>Corsair Vengeance RGB DDR5 32GB (2x16) 6000</t>
        </is>
      </c>
      <c r="C15" s="5" t="inlineStr">
        <is>
          <t>RAM</t>
        </is>
      </c>
      <c r="D15" s="7" t="n">
        <v>450</v>
      </c>
      <c r="E15" s="2" t="n"/>
      <c r="F15" s="8" t="n">
        <v>6200</v>
      </c>
      <c r="G15" s="2" t="n"/>
      <c r="H15" s="9">
        <f>IFERROR(IF(INDEX(Dólar!$B:$B,MATCH(A15,Dólar!$A:$A,0))="","",INDEX(Dólar!$B:$B,MATCH(A15,Dólar!$A:$A,0))),"")</f>
        <v/>
      </c>
      <c r="I15" s="10">
        <f>IFERROR(INDEX(Dólar!$E:$E,MATCH(A15,Dólar!$A:$A,0)),"")</f>
        <v/>
      </c>
      <c r="J15" s="6" t="inlineStr">
        <is>
          <t>ver anuncio</t>
        </is>
      </c>
      <c r="K15" s="15" t="n">
        <v>46324</v>
      </c>
      <c r="L15" s="16">
        <f>IF(OR($K15="",D15=""),"",IF(COUNTIFS($B:$B,$B15,$A:$A,$K15,D:D,"&gt;=0")=0,"",D15-SUMIFS(D:D,$B:$B,$B15,$A:$A,$K15)))</f>
        <v/>
      </c>
      <c r="M15" s="16">
        <f>IF(OR($K15="",E15=""),"",IF(COUNTIFS($B:$B,$B15,$A:$A,$K15,E:E,"&gt;=0")=0,"",E15-SUMIFS(E:E,$B:$B,$B15,$A:$A,$K15)))</f>
        <v/>
      </c>
      <c r="N15" s="16">
        <f>IF(OR($K15="",F15=""),"",IF(COUNTIFS($B:$B,$B15,$A:$A,$K15,F:F,"&gt;=0")=0,"",F15-SUMIFS(F:F,$B:$B,$B15,$A:$A,$K15)))</f>
        <v/>
      </c>
      <c r="O15" s="16">
        <f>IF(OR($K15="",G15=""),"",IF(COUNTIFS($B:$B,$B15,$A:$A,$K15,G:G,"&gt;=0")=0,"",G15-SUMIFS(G:G,$B:$B,$B15,$A:$A,$K15)))</f>
        <v/>
      </c>
    </row>
    <row r="16">
      <c r="A16" s="15" t="n">
        <v>46325</v>
      </c>
      <c r="B16" s="5" t="inlineStr">
        <is>
          <t>Corsair Vengeance RGB DDR5 32GB (2x16) 5600</t>
        </is>
      </c>
      <c r="C16" s="5" t="inlineStr">
        <is>
          <t>RAM</t>
        </is>
      </c>
      <c r="D16" s="7" t="n">
        <v>459</v>
      </c>
      <c r="E16" s="2" t="n"/>
      <c r="F16" s="2" t="n"/>
      <c r="G16" s="2" t="n"/>
      <c r="H16" s="9">
        <f>IFERROR(IF(INDEX(Dólar!$B:$B,MATCH(A16,Dólar!$A:$A,0))="","",INDEX(Dólar!$B:$B,MATCH(A16,Dólar!$A:$A,0))),"")</f>
        <v/>
      </c>
      <c r="I16" s="10">
        <f>IFERROR(INDEX(Dólar!$E:$E,MATCH(A16,Dólar!$A:$A,0)),"")</f>
        <v/>
      </c>
      <c r="J16" s="6" t="inlineStr">
        <is>
          <t>ver anuncio</t>
        </is>
      </c>
      <c r="K16" s="15" t="n">
        <v>46324</v>
      </c>
      <c r="L16" s="16">
        <f>IF(OR($K16="",D16=""),"",IF(COUNTIFS($B:$B,$B16,$A:$A,$K16,D:D,"&gt;=0")=0,"",D16-SUMIFS(D:D,$B:$B,$B16,$A:$A,$K16)))</f>
        <v/>
      </c>
      <c r="M16" s="16">
        <f>IF(OR($K16="",E16=""),"",IF(COUNTIFS($B:$B,$B16,$A:$A,$K16,E:E,"&gt;=0")=0,"",E16-SUMIFS(E:E,$B:$B,$B16,$A:$A,$K16)))</f>
        <v/>
      </c>
      <c r="N16" s="16">
        <f>IF(OR($K16="",F16=""),"",IF(COUNTIFS($B:$B,$B16,$A:$A,$K16,F:F,"&gt;=0")=0,"",F16-SUMIFS(F:F,$B:$B,$B16,$A:$A,$K16)))</f>
        <v/>
      </c>
      <c r="O16" s="16">
        <f>IF(OR($K16="",G16=""),"",IF(COUNTIFS($B:$B,$B16,$A:$A,$K16,G:G,"&gt;=0")=0,"",G16-SUMIFS(G:G,$B:$B,$B16,$A:$A,$K16)))</f>
        <v/>
      </c>
    </row>
    <row r="17">
      <c r="A17" s="15" t="n">
        <v>46324</v>
      </c>
      <c r="B17" s="5" t="inlineStr">
        <is>
          <t>SSD NVMe 2TB</t>
        </is>
      </c>
      <c r="C17" s="5" t="inlineStr">
        <is>
          <t>SSD</t>
        </is>
      </c>
      <c r="D17" s="7" t="n">
        <v>209.99</v>
      </c>
      <c r="E17" s="7" t="n">
        <v>154.99</v>
      </c>
      <c r="F17" s="2" t="n"/>
      <c r="G17" s="2" t="n"/>
      <c r="H17" s="9">
        <f>IFERROR(IF(INDEX(Dólar!$B:$B,MATCH(A17,Dólar!$A:$A,0))="","",INDEX(Dólar!$B:$B,MATCH(A17,Dólar!$A:$A,0))),"")</f>
        <v/>
      </c>
      <c r="I17" s="10">
        <f>IFERROR(INDEX(Dólar!$E:$E,MATCH(A17,Dólar!$A:$A,0)),"")</f>
        <v/>
      </c>
      <c r="J17" s="6" t="inlineStr">
        <is>
          <t>ver anuncio</t>
        </is>
      </c>
      <c r="K17" s="15" t="n">
        <v>46323</v>
      </c>
      <c r="L17" s="16">
        <f>IF(OR($K17="",D17=""),"",IF(COUNTIFS($B:$B,$B17,$A:$A,$K17,D:D,"&gt;=0")=0,"",D17-SUMIFS(D:D,$B:$B,$B17,$A:$A,$K17)))</f>
        <v/>
      </c>
      <c r="M17" s="16">
        <f>IF(OR($K17="",E17=""),"",IF(COUNTIFS($B:$B,$B17,$A:$A,$K17,E:E,"&gt;=0")=0,"",E17-SUMIFS(E:E,$B:$B,$B17,$A:$A,$K17)))</f>
        <v/>
      </c>
      <c r="N17" s="16">
        <f>IF(OR($K17="",F17=""),"",IF(COUNTIFS($B:$B,$B17,$A:$A,$K17,F:F,"&gt;=0")=0,"",F17-SUMIFS(F:F,$B:$B,$B17,$A:$A,$K17)))</f>
        <v/>
      </c>
      <c r="O17" s="16">
        <f>IF(OR($K17="",G17=""),"",IF(COUNTIFS($B:$B,$B17,$A:$A,$K17,G:G,"&gt;=0")=0,"",G17-SUMIFS(G:G,$B:$B,$B17,$A:$A,$K17)))</f>
        <v/>
      </c>
    </row>
    <row r="18">
      <c r="A18" s="15" t="n">
        <v>46324</v>
      </c>
      <c r="B18" s="5" t="inlineStr">
        <is>
          <t>SSD NVMe 1TB</t>
        </is>
      </c>
      <c r="C18" s="5" t="inlineStr">
        <is>
          <t>SSD</t>
        </is>
      </c>
      <c r="D18" s="7" t="n">
        <v>135</v>
      </c>
      <c r="E18" s="7" t="n">
        <v>99</v>
      </c>
      <c r="F18" s="2" t="n"/>
      <c r="G18" s="2" t="n"/>
      <c r="H18" s="9">
        <f>IFERROR(IF(INDEX(Dólar!$B:$B,MATCH(A18,Dólar!$A:$A,0))="","",INDEX(Dólar!$B:$B,MATCH(A18,Dólar!$A:$A,0))),"")</f>
        <v/>
      </c>
      <c r="I18" s="10">
        <f>IFERROR(INDEX(Dólar!$E:$E,MATCH(A18,Dólar!$A:$A,0)),"")</f>
        <v/>
      </c>
      <c r="J18" s="6" t="inlineStr">
        <is>
          <t>ver anuncio</t>
        </is>
      </c>
      <c r="K18" s="15" t="n">
        <v>46323</v>
      </c>
      <c r="L18" s="16">
        <f>IF(OR($K18="",D18=""),"",IF(COUNTIFS($B:$B,$B18,$A:$A,$K18,D:D,"&gt;=0")=0,"",D18-SUMIFS(D:D,$B:$B,$B18,$A:$A,$K18)))</f>
        <v/>
      </c>
      <c r="M18" s="16">
        <f>IF(OR($K18="",E18=""),"",IF(COUNTIFS($B:$B,$B18,$A:$A,$K18,E:E,"&gt;=0")=0,"",E18-SUMIFS(E:E,$B:$B,$B18,$A:$A,$K18)))</f>
        <v/>
      </c>
      <c r="N18" s="16">
        <f>IF(OR($K18="",F18=""),"",IF(COUNTIFS($B:$B,$B18,$A:$A,$K18,F:F,"&gt;=0")=0,"",F18-SUMIFS(F:F,$B:$B,$B18,$A:$A,$K18)))</f>
        <v/>
      </c>
      <c r="O18" s="16">
        <f>IF(OR($K18="",G18=""),"",IF(COUNTIFS($B:$B,$B18,$A:$A,$K18,G:G,"&gt;=0")=0,"",G18-SUMIFS(G:G,$B:$B,$B18,$A:$A,$K18)))</f>
        <v/>
      </c>
    </row>
    <row r="19">
      <c r="A19" s="15" t="n">
        <v>46324</v>
      </c>
      <c r="B19" s="5" t="inlineStr">
        <is>
          <t>Ryzen 9 9950X</t>
        </is>
      </c>
      <c r="C19" s="5" t="inlineStr">
        <is>
          <t>CPU</t>
        </is>
      </c>
      <c r="D19" s="7" t="n">
        <v>549.99</v>
      </c>
      <c r="E19" s="7" t="n">
        <v>454.99</v>
      </c>
      <c r="F19" s="2" t="n"/>
      <c r="G19" s="2" t="n"/>
      <c r="H19" s="9">
        <f>IFERROR(IF(INDEX(Dólar!$B:$B,MATCH(A19,Dólar!$A:$A,0))="","",INDEX(Dólar!$B:$B,MATCH(A19,Dólar!$A:$A,0))),"")</f>
        <v/>
      </c>
      <c r="I19" s="10">
        <f>IFERROR(INDEX(Dólar!$E:$E,MATCH(A19,Dólar!$A:$A,0)),"")</f>
        <v/>
      </c>
      <c r="J19" s="6" t="inlineStr">
        <is>
          <t>ver anuncio</t>
        </is>
      </c>
      <c r="K19" s="15" t="n">
        <v>46323</v>
      </c>
      <c r="L19" s="16">
        <f>IF(OR($K19="",D19=""),"",IF(COUNTIFS($B:$B,$B19,$A:$A,$K19,D:D,"&gt;=0")=0,"",D19-SUMIFS(D:D,$B:$B,$B19,$A:$A,$K19)))</f>
        <v/>
      </c>
      <c r="M19" s="16">
        <f>IF(OR($K19="",E19=""),"",IF(COUNTIFS($B:$B,$B19,$A:$A,$K19,E:E,"&gt;=0")=0,"",E19-SUMIFS(E:E,$B:$B,$B19,$A:$A,$K19)))</f>
        <v/>
      </c>
      <c r="N19" s="16">
        <f>IF(OR($K19="",F19=""),"",IF(COUNTIFS($B:$B,$B19,$A:$A,$K19,F:F,"&gt;=0")=0,"",F19-SUMIFS(F:F,$B:$B,$B19,$A:$A,$K19)))</f>
        <v/>
      </c>
      <c r="O19" s="16">
        <f>IF(OR($K19="",G19=""),"",IF(COUNTIFS($B:$B,$B19,$A:$A,$K19,G:G,"&gt;=0")=0,"",G19-SUMIFS(G:G,$B:$B,$B19,$A:$A,$K19)))</f>
        <v/>
      </c>
    </row>
    <row r="20">
      <c r="A20" s="15" t="n">
        <v>46324</v>
      </c>
      <c r="B20" s="5" t="inlineStr">
        <is>
          <t>Ryzen 7 7800X3D</t>
        </is>
      </c>
      <c r="C20" s="5" t="inlineStr">
        <is>
          <t>CPU</t>
        </is>
      </c>
      <c r="D20" s="7" t="n">
        <v>325</v>
      </c>
      <c r="E20" s="7" t="n">
        <v>265</v>
      </c>
      <c r="F20" s="2" t="n"/>
      <c r="G20" s="2" t="n"/>
      <c r="H20" s="9">
        <f>IFERROR(IF(INDEX(Dólar!$B:$B,MATCH(A20,Dólar!$A:$A,0))="","",INDEX(Dólar!$B:$B,MATCH(A20,Dólar!$A:$A,0))),"")</f>
        <v/>
      </c>
      <c r="I20" s="10">
        <f>IFERROR(INDEX(Dólar!$E:$E,MATCH(A20,Dólar!$A:$A,0)),"")</f>
        <v/>
      </c>
      <c r="J20" s="6" t="inlineStr">
        <is>
          <t>ver anuncio</t>
        </is>
      </c>
      <c r="K20" s="15" t="n">
        <v>46323</v>
      </c>
      <c r="L20" s="16">
        <f>IF(OR($K20="",D20=""),"",IF(COUNTIFS($B:$B,$B20,$A:$A,$K20,D:D,"&gt;=0")=0,"",D20-SUMIFS(D:D,$B:$B,$B20,$A:$A,$K20)))</f>
        <v/>
      </c>
      <c r="M20" s="16">
        <f>IF(OR($K20="",E20=""),"",IF(COUNTIFS($B:$B,$B20,$A:$A,$K20,E:E,"&gt;=0")=0,"",E20-SUMIFS(E:E,$B:$B,$B20,$A:$A,$K20)))</f>
        <v/>
      </c>
      <c r="N20" s="16">
        <f>IF(OR($K20="",F20=""),"",IF(COUNTIFS($B:$B,$B20,$A:$A,$K20,F:F,"&gt;=0")=0,"",F20-SUMIFS(F:F,$B:$B,$B20,$A:$A,$K20)))</f>
        <v/>
      </c>
      <c r="O20" s="16">
        <f>IF(OR($K20="",G20=""),"",IF(COUNTIFS($B:$B,$B20,$A:$A,$K20,G:G,"&gt;=0")=0,"",G20-SUMIFS(G:G,$B:$B,$B20,$A:$A,$K20)))</f>
        <v/>
      </c>
    </row>
    <row r="21">
      <c r="A21" s="15" t="n">
        <v>46324</v>
      </c>
      <c r="B21" s="5" t="inlineStr">
        <is>
          <t>Ryzen 7 7700X</t>
        </is>
      </c>
      <c r="C21" s="5" t="inlineStr">
        <is>
          <t>CPU</t>
        </is>
      </c>
      <c r="D21" s="7" t="n">
        <v>219</v>
      </c>
      <c r="E21" s="7" t="n">
        <v>189.99</v>
      </c>
      <c r="F21" s="2" t="n"/>
      <c r="G21" s="2" t="n"/>
      <c r="H21" s="9">
        <f>IFERROR(IF(INDEX(Dólar!$B:$B,MATCH(A21,Dólar!$A:$A,0))="","",INDEX(Dólar!$B:$B,MATCH(A21,Dólar!$A:$A,0))),"")</f>
        <v/>
      </c>
      <c r="I21" s="10">
        <f>IFERROR(INDEX(Dólar!$E:$E,MATCH(A21,Dólar!$A:$A,0)),"")</f>
        <v/>
      </c>
      <c r="J21" s="6" t="inlineStr">
        <is>
          <t>ver anuncio</t>
        </is>
      </c>
      <c r="K21" s="15" t="n">
        <v>46323</v>
      </c>
      <c r="L21" s="16">
        <f>IF(OR($K21="",D21=""),"",IF(COUNTIFS($B:$B,$B21,$A:$A,$K21,D:D,"&gt;=0")=0,"",D21-SUMIFS(D:D,$B:$B,$B21,$A:$A,$K21)))</f>
        <v/>
      </c>
      <c r="M21" s="16">
        <f>IF(OR($K21="",E21=""),"",IF(COUNTIFS($B:$B,$B21,$A:$A,$K21,E:E,"&gt;=0")=0,"",E21-SUMIFS(E:E,$B:$B,$B21,$A:$A,$K21)))</f>
        <v/>
      </c>
      <c r="N21" s="16">
        <f>IF(OR($K21="",F21=""),"",IF(COUNTIFS($B:$B,$B21,$A:$A,$K21,F:F,"&gt;=0")=0,"",F21-SUMIFS(F:F,$B:$B,$B21,$A:$A,$K21)))</f>
        <v/>
      </c>
      <c r="O21" s="16">
        <f>IF(OR($K21="",G21=""),"",IF(COUNTIFS($B:$B,$B21,$A:$A,$K21,G:G,"&gt;=0")=0,"",G21-SUMIFS(G:G,$B:$B,$B21,$A:$A,$K21)))</f>
        <v/>
      </c>
    </row>
    <row r="22">
      <c r="A22" s="15" t="n">
        <v>46324</v>
      </c>
      <c r="B22" s="5" t="inlineStr">
        <is>
          <t>Ryzen 7 5700X3D</t>
        </is>
      </c>
      <c r="C22" s="5" t="inlineStr">
        <is>
          <t>CPU</t>
        </is>
      </c>
      <c r="D22" s="2" t="n"/>
      <c r="E22" s="7" t="n">
        <v>336</v>
      </c>
      <c r="F22" s="2" t="n"/>
      <c r="G22" s="2" t="n"/>
      <c r="H22" s="9">
        <f>IFERROR(IF(INDEX(Dólar!$B:$B,MATCH(A22,Dólar!$A:$A,0))="","",INDEX(Dólar!$B:$B,MATCH(A22,Dólar!$A:$A,0))),"")</f>
        <v/>
      </c>
      <c r="I22" s="10">
        <f>IFERROR(INDEX(Dólar!$E:$E,MATCH(A22,Dólar!$A:$A,0)),"")</f>
        <v/>
      </c>
      <c r="J22" s="6" t="inlineStr">
        <is>
          <t>ver anuncio</t>
        </is>
      </c>
      <c r="K22" s="15" t="n">
        <v>46323</v>
      </c>
      <c r="L22" s="16">
        <f>IF(OR($K22="",D22=""),"",IF(COUNTIFS($B:$B,$B22,$A:$A,$K22,D:D,"&gt;=0")=0,"",D22-SUMIFS(D:D,$B:$B,$B22,$A:$A,$K22)))</f>
        <v/>
      </c>
      <c r="M22" s="16">
        <f>IF(OR($K22="",E22=""),"",IF(COUNTIFS($B:$B,$B22,$A:$A,$K22,E:E,"&gt;=0")=0,"",E22-SUMIFS(E:E,$B:$B,$B22,$A:$A,$K22)))</f>
        <v/>
      </c>
      <c r="N22" s="16">
        <f>IF(OR($K22="",F22=""),"",IF(COUNTIFS($B:$B,$B22,$A:$A,$K22,F:F,"&gt;=0")=0,"",F22-SUMIFS(F:F,$B:$B,$B22,$A:$A,$K22)))</f>
        <v/>
      </c>
      <c r="O22" s="16">
        <f>IF(OR($K22="",G22=""),"",IF(COUNTIFS($B:$B,$B22,$A:$A,$K22,G:G,"&gt;=0")=0,"",G22-SUMIFS(G:G,$B:$B,$B22,$A:$A,$K22)))</f>
        <v/>
      </c>
    </row>
    <row r="23">
      <c r="A23" s="15" t="n">
        <v>46324</v>
      </c>
      <c r="B23" s="5" t="inlineStr">
        <is>
          <t>Ryzen 5 7600</t>
        </is>
      </c>
      <c r="C23" s="5" t="inlineStr">
        <is>
          <t>CPU</t>
        </is>
      </c>
      <c r="D23" s="7" t="n">
        <v>199.99</v>
      </c>
      <c r="E23" s="7" t="n">
        <v>114.99</v>
      </c>
      <c r="F23" s="2" t="n"/>
      <c r="G23" s="2" t="n"/>
      <c r="H23" s="9">
        <f>IFERROR(IF(INDEX(Dólar!$B:$B,MATCH(A23,Dólar!$A:$A,0))="","",INDEX(Dólar!$B:$B,MATCH(A23,Dólar!$A:$A,0))),"")</f>
        <v/>
      </c>
      <c r="I23" s="10">
        <f>IFERROR(INDEX(Dólar!$E:$E,MATCH(A23,Dólar!$A:$A,0)),"")</f>
        <v/>
      </c>
      <c r="J23" s="6" t="inlineStr">
        <is>
          <t>ver anuncio</t>
        </is>
      </c>
      <c r="K23" s="15" t="n">
        <v>46323</v>
      </c>
      <c r="L23" s="16">
        <f>IF(OR($K23="",D23=""),"",IF(COUNTIFS($B:$B,$B23,$A:$A,$K23,D:D,"&gt;=0")=0,"",D23-SUMIFS(D:D,$B:$B,$B23,$A:$A,$K23)))</f>
        <v/>
      </c>
      <c r="M23" s="16">
        <f>IF(OR($K23="",E23=""),"",IF(COUNTIFS($B:$B,$B23,$A:$A,$K23,E:E,"&gt;=0")=0,"",E23-SUMIFS(E:E,$B:$B,$B23,$A:$A,$K23)))</f>
        <v/>
      </c>
      <c r="N23" s="16">
        <f>IF(OR($K23="",F23=""),"",IF(COUNTIFS($B:$B,$B23,$A:$A,$K23,F:F,"&gt;=0")=0,"",F23-SUMIFS(F:F,$B:$B,$B23,$A:$A,$K23)))</f>
        <v/>
      </c>
      <c r="O23" s="16">
        <f>IF(OR($K23="",G23=""),"",IF(COUNTIFS($B:$B,$B23,$A:$A,$K23,G:G,"&gt;=0")=0,"",G23-SUMIFS(G:G,$B:$B,$B23,$A:$A,$K23)))</f>
        <v/>
      </c>
    </row>
    <row r="24">
      <c r="A24" s="15" t="n">
        <v>46324</v>
      </c>
      <c r="B24" s="5" t="inlineStr">
        <is>
          <t>Ryzen 5 7500F</t>
        </is>
      </c>
      <c r="C24" s="5" t="inlineStr">
        <is>
          <t>CPU</t>
        </is>
      </c>
      <c r="D24" s="7" t="n">
        <v>135.6</v>
      </c>
      <c r="E24" s="7" t="n">
        <v>114.99</v>
      </c>
      <c r="F24" s="2" t="n"/>
      <c r="G24" s="2" t="n"/>
      <c r="H24" s="9">
        <f>IFERROR(IF(INDEX(Dólar!$B:$B,MATCH(A24,Dólar!$A:$A,0))="","",INDEX(Dólar!$B:$B,MATCH(A24,Dólar!$A:$A,0))),"")</f>
        <v/>
      </c>
      <c r="I24" s="10">
        <f>IFERROR(INDEX(Dólar!$E:$E,MATCH(A24,Dólar!$A:$A,0)),"")</f>
        <v/>
      </c>
      <c r="J24" s="6" t="inlineStr">
        <is>
          <t>ver anuncio</t>
        </is>
      </c>
      <c r="K24" s="15" t="n">
        <v>46323</v>
      </c>
      <c r="L24" s="16">
        <f>IF(OR($K24="",D24=""),"",IF(COUNTIFS($B:$B,$B24,$A:$A,$K24,D:D,"&gt;=0")=0,"",D24-SUMIFS(D:D,$B:$B,$B24,$A:$A,$K24)))</f>
        <v/>
      </c>
      <c r="M24" s="16">
        <f>IF(OR($K24="",E24=""),"",IF(COUNTIFS($B:$B,$B24,$A:$A,$K24,E:E,"&gt;=0")=0,"",E24-SUMIFS(E:E,$B:$B,$B24,$A:$A,$K24)))</f>
        <v/>
      </c>
      <c r="N24" s="16">
        <f>IF(OR($K24="",F24=""),"",IF(COUNTIFS($B:$B,$B24,$A:$A,$K24,F:F,"&gt;=0")=0,"",F24-SUMIFS(F:F,$B:$B,$B24,$A:$A,$K24)))</f>
        <v/>
      </c>
      <c r="O24" s="16">
        <f>IF(OR($K24="",G24=""),"",IF(COUNTIFS($B:$B,$B24,$A:$A,$K24,G:G,"&gt;=0")=0,"",G24-SUMIFS(G:G,$B:$B,$B24,$A:$A,$K24)))</f>
        <v/>
      </c>
    </row>
    <row r="25">
      <c r="A25" s="15" t="n">
        <v>46324</v>
      </c>
      <c r="B25" s="5" t="inlineStr">
        <is>
          <t>Ryzen 5 5600</t>
        </is>
      </c>
      <c r="C25" s="5" t="inlineStr">
        <is>
          <t>CPU</t>
        </is>
      </c>
      <c r="D25" s="7" t="n">
        <v>138.9</v>
      </c>
      <c r="E25" s="7" t="n">
        <v>131.99</v>
      </c>
      <c r="F25" s="2" t="n"/>
      <c r="G25" s="2" t="n"/>
      <c r="H25" s="9">
        <f>IFERROR(IF(INDEX(Dólar!$B:$B,MATCH(A25,Dólar!$A:$A,0))="","",INDEX(Dólar!$B:$B,MATCH(A25,Dólar!$A:$A,0))),"")</f>
        <v/>
      </c>
      <c r="I25" s="10">
        <f>IFERROR(INDEX(Dólar!$E:$E,MATCH(A25,Dólar!$A:$A,0)),"")</f>
        <v/>
      </c>
      <c r="J25" s="6" t="inlineStr">
        <is>
          <t>ver anuncio</t>
        </is>
      </c>
      <c r="K25" s="15" t="n">
        <v>46323</v>
      </c>
      <c r="L25" s="16">
        <f>IF(OR($K25="",D25=""),"",IF(COUNTIFS($B:$B,$B25,$A:$A,$K25,D:D,"&gt;=0")=0,"",D25-SUMIFS(D:D,$B:$B,$B25,$A:$A,$K25)))</f>
        <v/>
      </c>
      <c r="M25" s="16">
        <f>IF(OR($K25="",E25=""),"",IF(COUNTIFS($B:$B,$B25,$A:$A,$K25,E:E,"&gt;=0")=0,"",E25-SUMIFS(E:E,$B:$B,$B25,$A:$A,$K25)))</f>
        <v/>
      </c>
      <c r="N25" s="16">
        <f>IF(OR($K25="",F25=""),"",IF(COUNTIFS($B:$B,$B25,$A:$A,$K25,F:F,"&gt;=0")=0,"",F25-SUMIFS(F:F,$B:$B,$B25,$A:$A,$K25)))</f>
        <v/>
      </c>
      <c r="O25" s="16">
        <f>IF(OR($K25="",G25=""),"",IF(COUNTIFS($B:$B,$B25,$A:$A,$K25,G:G,"&gt;=0")=0,"",G25-SUMIFS(G:G,$B:$B,$B25,$A:$A,$K25)))</f>
        <v/>
      </c>
    </row>
    <row r="26">
      <c r="A26" s="15" t="n">
        <v>46324</v>
      </c>
      <c r="B26" s="5" t="inlineStr">
        <is>
          <t>RAM DDR4 16GB (2x8) 3200</t>
        </is>
      </c>
      <c r="C26" s="5" t="inlineStr">
        <is>
          <t>RAM</t>
        </is>
      </c>
      <c r="D26" s="7" t="n">
        <v>89.98999999999999</v>
      </c>
      <c r="E26" s="7" t="n">
        <v>59.99</v>
      </c>
      <c r="F26" s="2" t="n"/>
      <c r="G26" s="2" t="n"/>
      <c r="H26" s="9">
        <f>IFERROR(IF(INDEX(Dólar!$B:$B,MATCH(A26,Dólar!$A:$A,0))="","",INDEX(Dólar!$B:$B,MATCH(A26,Dólar!$A:$A,0))),"")</f>
        <v/>
      </c>
      <c r="I26" s="10">
        <f>IFERROR(INDEX(Dólar!$E:$E,MATCH(A26,Dólar!$A:$A,0)),"")</f>
        <v/>
      </c>
      <c r="J26" s="6" t="inlineStr">
        <is>
          <t>ver anuncio</t>
        </is>
      </c>
      <c r="K26" s="15" t="n">
        <v>46323</v>
      </c>
      <c r="L26" s="16">
        <f>IF(OR($K26="",D26=""),"",IF(COUNTIFS($B:$B,$B26,$A:$A,$K26,D:D,"&gt;=0")=0,"",D26-SUMIFS(D:D,$B:$B,$B26,$A:$A,$K26)))</f>
        <v/>
      </c>
      <c r="M26" s="16">
        <f>IF(OR($K26="",E26=""),"",IF(COUNTIFS($B:$B,$B26,$A:$A,$K26,E:E,"&gt;=0")=0,"",E26-SUMIFS(E:E,$B:$B,$B26,$A:$A,$K26)))</f>
        <v/>
      </c>
      <c r="N26" s="16">
        <f>IF(OR($K26="",F26=""),"",IF(COUNTIFS($B:$B,$B26,$A:$A,$K26,F:F,"&gt;=0")=0,"",F26-SUMIFS(F:F,$B:$B,$B26,$A:$A,$K26)))</f>
        <v/>
      </c>
      <c r="O26" s="16">
        <f>IF(OR($K26="",G26=""),"",IF(COUNTIFS($B:$B,$B26,$A:$A,$K26,G:G,"&gt;=0")=0,"",G26-SUMIFS(G:G,$B:$B,$B26,$A:$A,$K26)))</f>
        <v/>
      </c>
    </row>
    <row r="27">
      <c r="A27" s="15" t="n">
        <v>46324</v>
      </c>
      <c r="B27" s="5" t="inlineStr">
        <is>
          <t>Intel Core i5-14400F</t>
        </is>
      </c>
      <c r="C27" s="5" t="inlineStr">
        <is>
          <t>CPU</t>
        </is>
      </c>
      <c r="D27" s="7" t="n">
        <v>164.49</v>
      </c>
      <c r="E27" s="7" t="n">
        <v>130</v>
      </c>
      <c r="F27" s="2" t="n"/>
      <c r="G27" s="2" t="n"/>
      <c r="H27" s="9">
        <f>IFERROR(IF(INDEX(Dólar!$B:$B,MATCH(A27,Dólar!$A:$A,0))="","",INDEX(Dólar!$B:$B,MATCH(A27,Dólar!$A:$A,0))),"")</f>
        <v/>
      </c>
      <c r="I27" s="10">
        <f>IFERROR(INDEX(Dólar!$E:$E,MATCH(A27,Dólar!$A:$A,0)),"")</f>
        <v/>
      </c>
      <c r="J27" s="6" t="inlineStr">
        <is>
          <t>ver anuncio</t>
        </is>
      </c>
      <c r="K27" s="15" t="n">
        <v>46323</v>
      </c>
      <c r="L27" s="16">
        <f>IF(OR($K27="",D27=""),"",IF(COUNTIFS($B:$B,$B27,$A:$A,$K27,D:D,"&gt;=0")=0,"",D27-SUMIFS(D:D,$B:$B,$B27,$A:$A,$K27)))</f>
        <v/>
      </c>
      <c r="M27" s="16">
        <f>IF(OR($K27="",E27=""),"",IF(COUNTIFS($B:$B,$B27,$A:$A,$K27,E:E,"&gt;=0")=0,"",E27-SUMIFS(E:E,$B:$B,$B27,$A:$A,$K27)))</f>
        <v/>
      </c>
      <c r="N27" s="16">
        <f>IF(OR($K27="",F27=""),"",IF(COUNTIFS($B:$B,$B27,$A:$A,$K27,F:F,"&gt;=0")=0,"",F27-SUMIFS(F:F,$B:$B,$B27,$A:$A,$K27)))</f>
        <v/>
      </c>
      <c r="O27" s="16">
        <f>IF(OR($K27="",G27=""),"",IF(COUNTIFS($B:$B,$B27,$A:$A,$K27,G:G,"&gt;=0")=0,"",G27-SUMIFS(G:G,$B:$B,$B27,$A:$A,$K27)))</f>
        <v/>
      </c>
    </row>
    <row r="28">
      <c r="A28" s="15" t="n">
        <v>46324</v>
      </c>
      <c r="B28" s="5" t="inlineStr">
        <is>
          <t>Intel Core i5-13400</t>
        </is>
      </c>
      <c r="C28" s="5" t="inlineStr">
        <is>
          <t>CPU</t>
        </is>
      </c>
      <c r="D28" s="2" t="n"/>
      <c r="E28" s="7" t="n">
        <v>129.99</v>
      </c>
      <c r="F28" s="2" t="n"/>
      <c r="G28" s="2" t="n"/>
      <c r="H28" s="9">
        <f>IFERROR(IF(INDEX(Dólar!$B:$B,MATCH(A28,Dólar!$A:$A,0))="","",INDEX(Dólar!$B:$B,MATCH(A28,Dólar!$A:$A,0))),"")</f>
        <v/>
      </c>
      <c r="I28" s="10">
        <f>IFERROR(INDEX(Dólar!$E:$E,MATCH(A28,Dólar!$A:$A,0)),"")</f>
        <v/>
      </c>
      <c r="J28" s="6" t="inlineStr">
        <is>
          <t>ver anuncio</t>
        </is>
      </c>
      <c r="K28" s="15" t="n">
        <v>46323</v>
      </c>
      <c r="L28" s="16">
        <f>IF(OR($K28="",D28=""),"",IF(COUNTIFS($B:$B,$B28,$A:$A,$K28,D:D,"&gt;=0")=0,"",D28-SUMIFS(D:D,$B:$B,$B28,$A:$A,$K28)))</f>
        <v/>
      </c>
      <c r="M28" s="16">
        <f>IF(OR($K28="",E28=""),"",IF(COUNTIFS($B:$B,$B28,$A:$A,$K28,E:E,"&gt;=0")=0,"",E28-SUMIFS(E:E,$B:$B,$B28,$A:$A,$K28)))</f>
        <v/>
      </c>
      <c r="N28" s="16">
        <f>IF(OR($K28="",F28=""),"",IF(COUNTIFS($B:$B,$B28,$A:$A,$K28,F:F,"&gt;=0")=0,"",F28-SUMIFS(F:F,$B:$B,$B28,$A:$A,$K28)))</f>
        <v/>
      </c>
      <c r="O28" s="16">
        <f>IF(OR($K28="",G28=""),"",IF(COUNTIFS($B:$B,$B28,$A:$A,$K28,G:G,"&gt;=0")=0,"",G28-SUMIFS(G:G,$B:$B,$B28,$A:$A,$K28)))</f>
        <v/>
      </c>
    </row>
    <row r="29">
      <c r="A29" s="15" t="n">
        <v>46324</v>
      </c>
      <c r="B29" s="5" t="inlineStr">
        <is>
          <t>Intel Core i5-12400F</t>
        </is>
      </c>
      <c r="C29" s="5" t="inlineStr">
        <is>
          <t>CPU</t>
        </is>
      </c>
      <c r="D29" s="7" t="n">
        <v>140</v>
      </c>
      <c r="E29" s="7" t="n">
        <v>119.99</v>
      </c>
      <c r="F29" s="2" t="n"/>
      <c r="G29" s="2" t="n"/>
      <c r="H29" s="9">
        <f>IFERROR(IF(INDEX(Dólar!$B:$B,MATCH(A29,Dólar!$A:$A,0))="","",INDEX(Dólar!$B:$B,MATCH(A29,Dólar!$A:$A,0))),"")</f>
        <v/>
      </c>
      <c r="I29" s="10">
        <f>IFERROR(INDEX(Dólar!$E:$E,MATCH(A29,Dólar!$A:$A,0)),"")</f>
        <v/>
      </c>
      <c r="J29" s="6" t="inlineStr">
        <is>
          <t>ver anuncio</t>
        </is>
      </c>
      <c r="K29" s="15" t="n">
        <v>46323</v>
      </c>
      <c r="L29" s="16">
        <f>IF(OR($K29="",D29=""),"",IF(COUNTIFS($B:$B,$B29,$A:$A,$K29,D:D,"&gt;=0")=0,"",D29-SUMIFS(D:D,$B:$B,$B29,$A:$A,$K29)))</f>
        <v/>
      </c>
      <c r="M29" s="16">
        <f>IF(OR($K29="",E29=""),"",IF(COUNTIFS($B:$B,$B29,$A:$A,$K29,E:E,"&gt;=0")=0,"",E29-SUMIFS(E:E,$B:$B,$B29,$A:$A,$K29)))</f>
        <v/>
      </c>
      <c r="N29" s="16">
        <f>IF(OR($K29="",F29=""),"",IF(COUNTIFS($B:$B,$B29,$A:$A,$K29,F:F,"&gt;=0")=0,"",F29-SUMIFS(F:F,$B:$B,$B29,$A:$A,$K29)))</f>
        <v/>
      </c>
      <c r="O29" s="16">
        <f>IF(OR($K29="",G29=""),"",IF(COUNTIFS($B:$B,$B29,$A:$A,$K29,G:G,"&gt;=0")=0,"",G29-SUMIFS(G:G,$B:$B,$B29,$A:$A,$K29)))</f>
        <v/>
      </c>
    </row>
    <row r="30">
      <c r="A30" s="15" t="n">
        <v>46324</v>
      </c>
      <c r="B30" s="5" t="inlineStr">
        <is>
          <t>Intel Core Ultra 7 265K</t>
        </is>
      </c>
      <c r="C30" s="5" t="inlineStr">
        <is>
          <t>CPU</t>
        </is>
      </c>
      <c r="D30" s="7" t="n">
        <v>259.99</v>
      </c>
      <c r="E30" s="7" t="n">
        <v>249.99</v>
      </c>
      <c r="F30" s="2" t="n"/>
      <c r="G30" s="2" t="n"/>
      <c r="H30" s="9">
        <f>IFERROR(IF(INDEX(Dólar!$B:$B,MATCH(A30,Dólar!$A:$A,0))="","",INDEX(Dólar!$B:$B,MATCH(A30,Dólar!$A:$A,0))),"")</f>
        <v/>
      </c>
      <c r="I30" s="10">
        <f>IFERROR(INDEX(Dólar!$E:$E,MATCH(A30,Dólar!$A:$A,0)),"")</f>
        <v/>
      </c>
      <c r="J30" s="6" t="inlineStr">
        <is>
          <t>ver anuncio</t>
        </is>
      </c>
      <c r="K30" s="15" t="n">
        <v>46323</v>
      </c>
      <c r="L30" s="16">
        <f>IF(OR($K30="",D30=""),"",IF(COUNTIFS($B:$B,$B30,$A:$A,$K30,D:D,"&gt;=0")=0,"",D30-SUMIFS(D:D,$B:$B,$B30,$A:$A,$K30)))</f>
        <v/>
      </c>
      <c r="M30" s="16">
        <f>IF(OR($K30="",E30=""),"",IF(COUNTIFS($B:$B,$B30,$A:$A,$K30,E:E,"&gt;=0")=0,"",E30-SUMIFS(E:E,$B:$B,$B30,$A:$A,$K30)))</f>
        <v/>
      </c>
      <c r="N30" s="16">
        <f>IF(OR($K30="",F30=""),"",IF(COUNTIFS($B:$B,$B30,$A:$A,$K30,F:F,"&gt;=0")=0,"",F30-SUMIFS(F:F,$B:$B,$B30,$A:$A,$K30)))</f>
        <v/>
      </c>
      <c r="O30" s="16">
        <f>IF(OR($K30="",G30=""),"",IF(COUNTIFS($B:$B,$B30,$A:$A,$K30,G:G,"&gt;=0")=0,"",G30-SUMIFS(G:G,$B:$B,$B30,$A:$A,$K30)))</f>
        <v/>
      </c>
    </row>
    <row r="31">
      <c r="A31" s="15" t="n">
        <v>46324</v>
      </c>
      <c r="B31" s="5" t="inlineStr">
        <is>
          <t>Corsair Vengeance RGB DDR5 32GB (2x16) 6000</t>
        </is>
      </c>
      <c r="C31" s="5" t="inlineStr">
        <is>
          <t>RAM</t>
        </is>
      </c>
      <c r="D31" s="7" t="n">
        <v>450</v>
      </c>
      <c r="E31" s="7" t="n">
        <v>419.99</v>
      </c>
      <c r="F31" s="2" t="n"/>
      <c r="G31" s="2" t="n"/>
      <c r="H31" s="9">
        <f>IFERROR(IF(INDEX(Dólar!$B:$B,MATCH(A31,Dólar!$A:$A,0))="","",INDEX(Dólar!$B:$B,MATCH(A31,Dólar!$A:$A,0))),"")</f>
        <v/>
      </c>
      <c r="I31" s="10">
        <f>IFERROR(INDEX(Dólar!$E:$E,MATCH(A31,Dólar!$A:$A,0)),"")</f>
        <v/>
      </c>
      <c r="J31" s="6" t="inlineStr">
        <is>
          <t>ver anuncio</t>
        </is>
      </c>
      <c r="K31" s="15" t="n">
        <v>46323</v>
      </c>
      <c r="L31" s="16">
        <f>IF(OR($K31="",D31=""),"",IF(COUNTIFS($B:$B,$B31,$A:$A,$K31,D:D,"&gt;=0")=0,"",D31-SUMIFS(D:D,$B:$B,$B31,$A:$A,$K31)))</f>
        <v/>
      </c>
      <c r="M31" s="16">
        <f>IF(OR($K31="",E31=""),"",IF(COUNTIFS($B:$B,$B31,$A:$A,$K31,E:E,"&gt;=0")=0,"",E31-SUMIFS(E:E,$B:$B,$B31,$A:$A,$K31)))</f>
        <v/>
      </c>
      <c r="N31" s="16">
        <f>IF(OR($K31="",F31=""),"",IF(COUNTIFS($B:$B,$B31,$A:$A,$K31,F:F,"&gt;=0")=0,"",F31-SUMIFS(F:F,$B:$B,$B31,$A:$A,$K31)))</f>
        <v/>
      </c>
      <c r="O31" s="16">
        <f>IF(OR($K31="",G31=""),"",IF(COUNTIFS($B:$B,$B31,$A:$A,$K31,G:G,"&gt;=0")=0,"",G31-SUMIFS(G:G,$B:$B,$B31,$A:$A,$K31)))</f>
        <v/>
      </c>
    </row>
    <row r="32">
      <c r="A32" s="15" t="n">
        <v>46324</v>
      </c>
      <c r="B32" s="5" t="inlineStr">
        <is>
          <t>Corsair Vengeance RGB DDR5 32GB (2x16) 5600</t>
        </is>
      </c>
      <c r="C32" s="5" t="inlineStr">
        <is>
          <t>RAM</t>
        </is>
      </c>
      <c r="D32" s="7" t="n">
        <v>459</v>
      </c>
      <c r="E32" s="7" t="n">
        <v>389.99</v>
      </c>
      <c r="F32" s="2" t="n"/>
      <c r="G32" s="2" t="n"/>
      <c r="H32" s="9">
        <f>IFERROR(IF(INDEX(Dólar!$B:$B,MATCH(A32,Dólar!$A:$A,0))="","",INDEX(Dólar!$B:$B,MATCH(A32,Dólar!$A:$A,0))),"")</f>
        <v/>
      </c>
      <c r="I32" s="10">
        <f>IFERROR(INDEX(Dólar!$E:$E,MATCH(A32,Dólar!$A:$A,0)),"")</f>
        <v/>
      </c>
      <c r="J32" s="6" t="inlineStr">
        <is>
          <t>ver anuncio</t>
        </is>
      </c>
      <c r="K32" s="15" t="n">
        <v>46323</v>
      </c>
      <c r="L32" s="16">
        <f>IF(OR($K32="",D32=""),"",IF(COUNTIFS($B:$B,$B32,$A:$A,$K32,D:D,"&gt;=0")=0,"",D32-SUMIFS(D:D,$B:$B,$B32,$A:$A,$K32)))</f>
        <v/>
      </c>
      <c r="M32" s="16">
        <f>IF(OR($K32="",E32=""),"",IF(COUNTIFS($B:$B,$B32,$A:$A,$K32,E:E,"&gt;=0")=0,"",E32-SUMIFS(E:E,$B:$B,$B32,$A:$A,$K32)))</f>
        <v/>
      </c>
      <c r="N32" s="16">
        <f>IF(OR($K32="",F32=""),"",IF(COUNTIFS($B:$B,$B32,$A:$A,$K32,F:F,"&gt;=0")=0,"",F32-SUMIFS(F:F,$B:$B,$B32,$A:$A,$K32)))</f>
        <v/>
      </c>
      <c r="O32" s="16">
        <f>IF(OR($K32="",G32=""),"",IF(COUNTIFS($B:$B,$B32,$A:$A,$K32,G:G,"&gt;=0")=0,"",G32-SUMIFS(G:G,$B:$B,$B32,$A:$A,$K32)))</f>
        <v/>
      </c>
    </row>
    <row r="33">
      <c r="A33" s="15" t="n">
        <v>46323</v>
      </c>
      <c r="B33" s="5" t="inlineStr">
        <is>
          <t>SSD NVMe 2TB</t>
        </is>
      </c>
      <c r="C33" s="5" t="inlineStr">
        <is>
          <t>SSD</t>
        </is>
      </c>
      <c r="D33" s="7" t="n">
        <v>185</v>
      </c>
      <c r="E33" s="7" t="n">
        <v>179.99</v>
      </c>
      <c r="F33" s="2" t="n"/>
      <c r="G33" s="2" t="n"/>
      <c r="H33" s="9">
        <f>IFERROR(IF(INDEX(Dólar!$B:$B,MATCH(A33,Dólar!$A:$A,0))="","",INDEX(Dólar!$B:$B,MATCH(A33,Dólar!$A:$A,0))),"")</f>
        <v/>
      </c>
      <c r="I33" s="10">
        <f>IFERROR(INDEX(Dólar!$E:$E,MATCH(A33,Dólar!$A:$A,0)),"")</f>
        <v/>
      </c>
      <c r="J33" s="6" t="inlineStr">
        <is>
          <t>ver anuncio</t>
        </is>
      </c>
      <c r="K33" s="15" t="n">
        <v>46322</v>
      </c>
      <c r="L33" s="16">
        <f>IF(OR($K33="",D33=""),"",IF(COUNTIFS($B:$B,$B33,$A:$A,$K33,D:D,"&gt;=0")=0,"",D33-SUMIFS(D:D,$B:$B,$B33,$A:$A,$K33)))</f>
        <v/>
      </c>
      <c r="M33" s="16">
        <f>IF(OR($K33="",E33=""),"",IF(COUNTIFS($B:$B,$B33,$A:$A,$K33,E:E,"&gt;=0")=0,"",E33-SUMIFS(E:E,$B:$B,$B33,$A:$A,$K33)))</f>
        <v/>
      </c>
      <c r="N33" s="16">
        <f>IF(OR($K33="",F33=""),"",IF(COUNTIFS($B:$B,$B33,$A:$A,$K33,F:F,"&gt;=0")=0,"",F33-SUMIFS(F:F,$B:$B,$B33,$A:$A,$K33)))</f>
        <v/>
      </c>
      <c r="O33" s="16">
        <f>IF(OR($K33="",G33=""),"",IF(COUNTIFS($B:$B,$B33,$A:$A,$K33,G:G,"&gt;=0")=0,"",G33-SUMIFS(G:G,$B:$B,$B33,$A:$A,$K33)))</f>
        <v/>
      </c>
    </row>
    <row r="34">
      <c r="A34" s="15" t="n">
        <v>46323</v>
      </c>
      <c r="B34" s="5" t="inlineStr">
        <is>
          <t>SSD NVMe 1TB</t>
        </is>
      </c>
      <c r="C34" s="5" t="inlineStr">
        <is>
          <t>SSD</t>
        </is>
      </c>
      <c r="D34" s="7" t="n">
        <v>114.99</v>
      </c>
      <c r="E34" s="7" t="n">
        <v>85</v>
      </c>
      <c r="F34" s="8" t="n">
        <v>1100</v>
      </c>
      <c r="G34" s="2" t="n"/>
      <c r="H34" s="9">
        <f>IFERROR(IF(INDEX(Dólar!$B:$B,MATCH(A34,Dólar!$A:$A,0))="","",INDEX(Dólar!$B:$B,MATCH(A34,Dólar!$A:$A,0))),"")</f>
        <v/>
      </c>
      <c r="I34" s="10">
        <f>IFERROR(INDEX(Dólar!$E:$E,MATCH(A34,Dólar!$A:$A,0)),"")</f>
        <v/>
      </c>
      <c r="J34" s="6" t="inlineStr">
        <is>
          <t>ver anuncio</t>
        </is>
      </c>
      <c r="K34" s="15" t="n">
        <v>46322</v>
      </c>
      <c r="L34" s="16">
        <f>IF(OR($K34="",D34=""),"",IF(COUNTIFS($B:$B,$B34,$A:$A,$K34,D:D,"&gt;=0")=0,"",D34-SUMIFS(D:D,$B:$B,$B34,$A:$A,$K34)))</f>
        <v/>
      </c>
      <c r="M34" s="16">
        <f>IF(OR($K34="",E34=""),"",IF(COUNTIFS($B:$B,$B34,$A:$A,$K34,E:E,"&gt;=0")=0,"",E34-SUMIFS(E:E,$B:$B,$B34,$A:$A,$K34)))</f>
        <v/>
      </c>
      <c r="N34" s="16">
        <f>IF(OR($K34="",F34=""),"",IF(COUNTIFS($B:$B,$B34,$A:$A,$K34,F:F,"&gt;=0")=0,"",F34-SUMIFS(F:F,$B:$B,$B34,$A:$A,$K34)))</f>
        <v/>
      </c>
      <c r="O34" s="16">
        <f>IF(OR($K34="",G34=""),"",IF(COUNTIFS($B:$B,$B34,$A:$A,$K34,G:G,"&gt;=0")=0,"",G34-SUMIFS(G:G,$B:$B,$B34,$A:$A,$K34)))</f>
        <v/>
      </c>
    </row>
    <row r="35">
      <c r="A35" s="15" t="n">
        <v>46323</v>
      </c>
      <c r="B35" s="5" t="inlineStr">
        <is>
          <t>Ryzen 9 9950X</t>
        </is>
      </c>
      <c r="C35" s="5" t="inlineStr">
        <is>
          <t>CPU</t>
        </is>
      </c>
      <c r="D35" s="7" t="n">
        <v>549.99</v>
      </c>
      <c r="E35" s="7" t="n">
        <v>454.99</v>
      </c>
      <c r="F35" s="2" t="n"/>
      <c r="G35" s="2" t="n"/>
      <c r="H35" s="9">
        <f>IFERROR(IF(INDEX(Dólar!$B:$B,MATCH(A35,Dólar!$A:$A,0))="","",INDEX(Dólar!$B:$B,MATCH(A35,Dólar!$A:$A,0))),"")</f>
        <v/>
      </c>
      <c r="I35" s="10">
        <f>IFERROR(INDEX(Dólar!$E:$E,MATCH(A35,Dólar!$A:$A,0)),"")</f>
        <v/>
      </c>
      <c r="J35" s="6" t="inlineStr">
        <is>
          <t>ver anuncio</t>
        </is>
      </c>
      <c r="K35" s="15" t="n">
        <v>46322</v>
      </c>
      <c r="L35" s="16">
        <f>IF(OR($K35="",D35=""),"",IF(COUNTIFS($B:$B,$B35,$A:$A,$K35,D:D,"&gt;=0")=0,"",D35-SUMIFS(D:D,$B:$B,$B35,$A:$A,$K35)))</f>
        <v/>
      </c>
      <c r="M35" s="16">
        <f>IF(OR($K35="",E35=""),"",IF(COUNTIFS($B:$B,$B35,$A:$A,$K35,E:E,"&gt;=0")=0,"",E35-SUMIFS(E:E,$B:$B,$B35,$A:$A,$K35)))</f>
        <v/>
      </c>
      <c r="N35" s="16">
        <f>IF(OR($K35="",F35=""),"",IF(COUNTIFS($B:$B,$B35,$A:$A,$K35,F:F,"&gt;=0")=0,"",F35-SUMIFS(F:F,$B:$B,$B35,$A:$A,$K35)))</f>
        <v/>
      </c>
      <c r="O35" s="16">
        <f>IF(OR($K35="",G35=""),"",IF(COUNTIFS($B:$B,$B35,$A:$A,$K35,G:G,"&gt;=0")=0,"",G35-SUMIFS(G:G,$B:$B,$B35,$A:$A,$K35)))</f>
        <v/>
      </c>
    </row>
    <row r="36">
      <c r="A36" s="15" t="n">
        <v>46323</v>
      </c>
      <c r="B36" s="5" t="inlineStr">
        <is>
          <t>Ryzen 7 7800X3D</t>
        </is>
      </c>
      <c r="C36" s="5" t="inlineStr">
        <is>
          <t>CPU</t>
        </is>
      </c>
      <c r="D36" s="7" t="n">
        <v>325</v>
      </c>
      <c r="E36" s="7" t="n">
        <v>275</v>
      </c>
      <c r="F36" s="2" t="n"/>
      <c r="G36" s="2" t="n"/>
      <c r="H36" s="9">
        <f>IFERROR(IF(INDEX(Dólar!$B:$B,MATCH(A36,Dólar!$A:$A,0))="","",INDEX(Dólar!$B:$B,MATCH(A36,Dólar!$A:$A,0))),"")</f>
        <v/>
      </c>
      <c r="I36" s="10">
        <f>IFERROR(INDEX(Dólar!$E:$E,MATCH(A36,Dólar!$A:$A,0)),"")</f>
        <v/>
      </c>
      <c r="J36" s="6" t="inlineStr">
        <is>
          <t>ver anuncio</t>
        </is>
      </c>
      <c r="K36" s="15" t="n">
        <v>46322</v>
      </c>
      <c r="L36" s="16">
        <f>IF(OR($K36="",D36=""),"",IF(COUNTIFS($B:$B,$B36,$A:$A,$K36,D:D,"&gt;=0")=0,"",D36-SUMIFS(D:D,$B:$B,$B36,$A:$A,$K36)))</f>
        <v/>
      </c>
      <c r="M36" s="16">
        <f>IF(OR($K36="",E36=""),"",IF(COUNTIFS($B:$B,$B36,$A:$A,$K36,E:E,"&gt;=0")=0,"",E36-SUMIFS(E:E,$B:$B,$B36,$A:$A,$K36)))</f>
        <v/>
      </c>
      <c r="N36" s="16">
        <f>IF(OR($K36="",F36=""),"",IF(COUNTIFS($B:$B,$B36,$A:$A,$K36,F:F,"&gt;=0")=0,"",F36-SUMIFS(F:F,$B:$B,$B36,$A:$A,$K36)))</f>
        <v/>
      </c>
      <c r="O36" s="16">
        <f>IF(OR($K36="",G36=""),"",IF(COUNTIFS($B:$B,$B36,$A:$A,$K36,G:G,"&gt;=0")=0,"",G36-SUMIFS(G:G,$B:$B,$B36,$A:$A,$K36)))</f>
        <v/>
      </c>
    </row>
    <row r="37">
      <c r="A37" s="15" t="n">
        <v>46323</v>
      </c>
      <c r="B37" s="5" t="inlineStr">
        <is>
          <t>Ryzen 7 7700X</t>
        </is>
      </c>
      <c r="C37" s="5" t="inlineStr">
        <is>
          <t>CPU</t>
        </is>
      </c>
      <c r="D37" s="7" t="n">
        <v>219</v>
      </c>
      <c r="E37" s="7" t="n">
        <v>189.99</v>
      </c>
      <c r="F37" s="8" t="n">
        <v>4000</v>
      </c>
      <c r="G37" s="2" t="n"/>
      <c r="H37" s="9">
        <f>IFERROR(IF(INDEX(Dólar!$B:$B,MATCH(A37,Dólar!$A:$A,0))="","",INDEX(Dólar!$B:$B,MATCH(A37,Dólar!$A:$A,0))),"")</f>
        <v/>
      </c>
      <c r="I37" s="10">
        <f>IFERROR(INDEX(Dólar!$E:$E,MATCH(A37,Dólar!$A:$A,0)),"")</f>
        <v/>
      </c>
      <c r="J37" s="6" t="inlineStr">
        <is>
          <t>ver anuncio</t>
        </is>
      </c>
      <c r="K37" s="15" t="n">
        <v>46322</v>
      </c>
      <c r="L37" s="16">
        <f>IF(OR($K37="",D37=""),"",IF(COUNTIFS($B:$B,$B37,$A:$A,$K37,D:D,"&gt;=0")=0,"",D37-SUMIFS(D:D,$B:$B,$B37,$A:$A,$K37)))</f>
        <v/>
      </c>
      <c r="M37" s="16">
        <f>IF(OR($K37="",E37=""),"",IF(COUNTIFS($B:$B,$B37,$A:$A,$K37,E:E,"&gt;=0")=0,"",E37-SUMIFS(E:E,$B:$B,$B37,$A:$A,$K37)))</f>
        <v/>
      </c>
      <c r="N37" s="16">
        <f>IF(OR($K37="",F37=""),"",IF(COUNTIFS($B:$B,$B37,$A:$A,$K37,F:F,"&gt;=0")=0,"",F37-SUMIFS(F:F,$B:$B,$B37,$A:$A,$K37)))</f>
        <v/>
      </c>
      <c r="O37" s="16">
        <f>IF(OR($K37="",G37=""),"",IF(COUNTIFS($B:$B,$B37,$A:$A,$K37,G:G,"&gt;=0")=0,"",G37-SUMIFS(G:G,$B:$B,$B37,$A:$A,$K37)))</f>
        <v/>
      </c>
    </row>
    <row r="38">
      <c r="A38" s="15" t="n">
        <v>46323</v>
      </c>
      <c r="B38" s="5" t="inlineStr">
        <is>
          <t>Ryzen 7 5700X3D</t>
        </is>
      </c>
      <c r="C38" s="5" t="inlineStr">
        <is>
          <t>CPU</t>
        </is>
      </c>
      <c r="D38" s="2" t="n"/>
      <c r="E38" s="7" t="n">
        <v>336</v>
      </c>
      <c r="F38" s="2" t="n"/>
      <c r="G38" s="2" t="n"/>
      <c r="H38" s="9">
        <f>IFERROR(IF(INDEX(Dólar!$B:$B,MATCH(A38,Dólar!$A:$A,0))="","",INDEX(Dólar!$B:$B,MATCH(A38,Dólar!$A:$A,0))),"")</f>
        <v/>
      </c>
      <c r="I38" s="10">
        <f>IFERROR(INDEX(Dólar!$E:$E,MATCH(A38,Dólar!$A:$A,0)),"")</f>
        <v/>
      </c>
      <c r="J38" s="6" t="inlineStr">
        <is>
          <t>ver anuncio</t>
        </is>
      </c>
      <c r="K38" s="15" t="n">
        <v>46322</v>
      </c>
      <c r="L38" s="16">
        <f>IF(OR($K38="",D38=""),"",IF(COUNTIFS($B:$B,$B38,$A:$A,$K38,D:D,"&gt;=0")=0,"",D38-SUMIFS(D:D,$B:$B,$B38,$A:$A,$K38)))</f>
        <v/>
      </c>
      <c r="M38" s="16">
        <f>IF(OR($K38="",E38=""),"",IF(COUNTIFS($B:$B,$B38,$A:$A,$K38,E:E,"&gt;=0")=0,"",E38-SUMIFS(E:E,$B:$B,$B38,$A:$A,$K38)))</f>
        <v/>
      </c>
      <c r="N38" s="16">
        <f>IF(OR($K38="",F38=""),"",IF(COUNTIFS($B:$B,$B38,$A:$A,$K38,F:F,"&gt;=0")=0,"",F38-SUMIFS(F:F,$B:$B,$B38,$A:$A,$K38)))</f>
        <v/>
      </c>
      <c r="O38" s="16">
        <f>IF(OR($K38="",G38=""),"",IF(COUNTIFS($B:$B,$B38,$A:$A,$K38,G:G,"&gt;=0")=0,"",G38-SUMIFS(G:G,$B:$B,$B38,$A:$A,$K38)))</f>
        <v/>
      </c>
    </row>
    <row r="39">
      <c r="A39" s="15" t="n">
        <v>46323</v>
      </c>
      <c r="B39" s="5" t="inlineStr">
        <is>
          <t>Ryzen 5 7600</t>
        </is>
      </c>
      <c r="C39" s="5" t="inlineStr">
        <is>
          <t>CPU</t>
        </is>
      </c>
      <c r="D39" s="7" t="n">
        <v>146.98</v>
      </c>
      <c r="E39" s="7" t="n">
        <v>119</v>
      </c>
      <c r="F39" s="2" t="n"/>
      <c r="G39" s="2" t="n"/>
      <c r="H39" s="9">
        <f>IFERROR(IF(INDEX(Dólar!$B:$B,MATCH(A39,Dólar!$A:$A,0))="","",INDEX(Dólar!$B:$B,MATCH(A39,Dólar!$A:$A,0))),"")</f>
        <v/>
      </c>
      <c r="I39" s="10">
        <f>IFERROR(INDEX(Dólar!$E:$E,MATCH(A39,Dólar!$A:$A,0)),"")</f>
        <v/>
      </c>
      <c r="J39" s="6" t="inlineStr">
        <is>
          <t>ver anuncio</t>
        </is>
      </c>
      <c r="K39" s="15" t="n">
        <v>46322</v>
      </c>
      <c r="L39" s="16">
        <f>IF(OR($K39="",D39=""),"",IF(COUNTIFS($B:$B,$B39,$A:$A,$K39,D:D,"&gt;=0")=0,"",D39-SUMIFS(D:D,$B:$B,$B39,$A:$A,$K39)))</f>
        <v/>
      </c>
      <c r="M39" s="16">
        <f>IF(OR($K39="",E39=""),"",IF(COUNTIFS($B:$B,$B39,$A:$A,$K39,E:E,"&gt;=0")=0,"",E39-SUMIFS(E:E,$B:$B,$B39,$A:$A,$K39)))</f>
        <v/>
      </c>
      <c r="N39" s="16">
        <f>IF(OR($K39="",F39=""),"",IF(COUNTIFS($B:$B,$B39,$A:$A,$K39,F:F,"&gt;=0")=0,"",F39-SUMIFS(F:F,$B:$B,$B39,$A:$A,$K39)))</f>
        <v/>
      </c>
      <c r="O39" s="16">
        <f>IF(OR($K39="",G39=""),"",IF(COUNTIFS($B:$B,$B39,$A:$A,$K39,G:G,"&gt;=0")=0,"",G39-SUMIFS(G:G,$B:$B,$B39,$A:$A,$K39)))</f>
        <v/>
      </c>
    </row>
    <row r="40">
      <c r="A40" s="15" t="n">
        <v>46323</v>
      </c>
      <c r="B40" s="5" t="inlineStr">
        <is>
          <t>Ryzen 5 7500F</t>
        </is>
      </c>
      <c r="C40" s="5" t="inlineStr">
        <is>
          <t>CPU</t>
        </is>
      </c>
      <c r="D40" s="7" t="n">
        <v>135.6</v>
      </c>
      <c r="E40" s="7" t="n">
        <v>129.99</v>
      </c>
      <c r="F40" s="2" t="n"/>
      <c r="G40" s="2" t="n"/>
      <c r="H40" s="9">
        <f>IFERROR(IF(INDEX(Dólar!$B:$B,MATCH(A40,Dólar!$A:$A,0))="","",INDEX(Dólar!$B:$B,MATCH(A40,Dólar!$A:$A,0))),"")</f>
        <v/>
      </c>
      <c r="I40" s="10">
        <f>IFERROR(INDEX(Dólar!$E:$E,MATCH(A40,Dólar!$A:$A,0)),"")</f>
        <v/>
      </c>
      <c r="J40" s="6" t="inlineStr">
        <is>
          <t>ver anuncio</t>
        </is>
      </c>
      <c r="K40" s="15" t="n">
        <v>46322</v>
      </c>
      <c r="L40" s="16">
        <f>IF(OR($K40="",D40=""),"",IF(COUNTIFS($B:$B,$B40,$A:$A,$K40,D:D,"&gt;=0")=0,"",D40-SUMIFS(D:D,$B:$B,$B40,$A:$A,$K40)))</f>
        <v/>
      </c>
      <c r="M40" s="16">
        <f>IF(OR($K40="",E40=""),"",IF(COUNTIFS($B:$B,$B40,$A:$A,$K40,E:E,"&gt;=0")=0,"",E40-SUMIFS(E:E,$B:$B,$B40,$A:$A,$K40)))</f>
        <v/>
      </c>
      <c r="N40" s="16">
        <f>IF(OR($K40="",F40=""),"",IF(COUNTIFS($B:$B,$B40,$A:$A,$K40,F:F,"&gt;=0")=0,"",F40-SUMIFS(F:F,$B:$B,$B40,$A:$A,$K40)))</f>
        <v/>
      </c>
      <c r="O40" s="16">
        <f>IF(OR($K40="",G40=""),"",IF(COUNTIFS($B:$B,$B40,$A:$A,$K40,G:G,"&gt;=0")=0,"",G40-SUMIFS(G:G,$B:$B,$B40,$A:$A,$K40)))</f>
        <v/>
      </c>
    </row>
    <row r="41">
      <c r="A41" s="15" t="n">
        <v>46323</v>
      </c>
      <c r="B41" s="5" t="inlineStr">
        <is>
          <t>Ryzen 5 5600</t>
        </is>
      </c>
      <c r="C41" s="5" t="inlineStr">
        <is>
          <t>CPU</t>
        </is>
      </c>
      <c r="D41" s="7" t="n">
        <v>138.9</v>
      </c>
      <c r="E41" s="7" t="n">
        <v>131.99</v>
      </c>
      <c r="F41" s="2" t="n"/>
      <c r="G41" s="2" t="n"/>
      <c r="H41" s="9">
        <f>IFERROR(IF(INDEX(Dólar!$B:$B,MATCH(A41,Dólar!$A:$A,0))="","",INDEX(Dólar!$B:$B,MATCH(A41,Dólar!$A:$A,0))),"")</f>
        <v/>
      </c>
      <c r="I41" s="10">
        <f>IFERROR(INDEX(Dólar!$E:$E,MATCH(A41,Dólar!$A:$A,0)),"")</f>
        <v/>
      </c>
      <c r="J41" s="6" t="inlineStr">
        <is>
          <t>ver anuncio</t>
        </is>
      </c>
      <c r="K41" s="15" t="n">
        <v>46322</v>
      </c>
      <c r="L41" s="16">
        <f>IF(OR($K41="",D41=""),"",IF(COUNTIFS($B:$B,$B41,$A:$A,$K41,D:D,"&gt;=0")=0,"",D41-SUMIFS(D:D,$B:$B,$B41,$A:$A,$K41)))</f>
        <v/>
      </c>
      <c r="M41" s="16">
        <f>IF(OR($K41="",E41=""),"",IF(COUNTIFS($B:$B,$B41,$A:$A,$K41,E:E,"&gt;=0")=0,"",E41-SUMIFS(E:E,$B:$B,$B41,$A:$A,$K41)))</f>
        <v/>
      </c>
      <c r="N41" s="16">
        <f>IF(OR($K41="",F41=""),"",IF(COUNTIFS($B:$B,$B41,$A:$A,$K41,F:F,"&gt;=0")=0,"",F41-SUMIFS(F:F,$B:$B,$B41,$A:$A,$K41)))</f>
        <v/>
      </c>
      <c r="O41" s="16">
        <f>IF(OR($K41="",G41=""),"",IF(COUNTIFS($B:$B,$B41,$A:$A,$K41,G:G,"&gt;=0")=0,"",G41-SUMIFS(G:G,$B:$B,$B41,$A:$A,$K41)))</f>
        <v/>
      </c>
    </row>
    <row r="42">
      <c r="A42" s="15" t="n">
        <v>46323</v>
      </c>
      <c r="B42" s="5" t="inlineStr">
        <is>
          <t>RAM DDR4 16GB (2x8) 3200</t>
        </is>
      </c>
      <c r="C42" s="5" t="inlineStr">
        <is>
          <t>RAM</t>
        </is>
      </c>
      <c r="D42" s="7" t="n">
        <v>100</v>
      </c>
      <c r="E42" s="7" t="n">
        <v>59.99</v>
      </c>
      <c r="F42" s="2" t="n"/>
      <c r="G42" s="2" t="n"/>
      <c r="H42" s="9">
        <f>IFERROR(IF(INDEX(Dólar!$B:$B,MATCH(A42,Dólar!$A:$A,0))="","",INDEX(Dólar!$B:$B,MATCH(A42,Dólar!$A:$A,0))),"")</f>
        <v/>
      </c>
      <c r="I42" s="10">
        <f>IFERROR(INDEX(Dólar!$E:$E,MATCH(A42,Dólar!$A:$A,0)),"")</f>
        <v/>
      </c>
      <c r="J42" s="6" t="inlineStr">
        <is>
          <t>ver anuncio</t>
        </is>
      </c>
      <c r="K42" s="15" t="n">
        <v>46322</v>
      </c>
      <c r="L42" s="16">
        <f>IF(OR($K42="",D42=""),"",IF(COUNTIFS($B:$B,$B42,$A:$A,$K42,D:D,"&gt;=0")=0,"",D42-SUMIFS(D:D,$B:$B,$B42,$A:$A,$K42)))</f>
        <v/>
      </c>
      <c r="M42" s="16">
        <f>IF(OR($K42="",E42=""),"",IF(COUNTIFS($B:$B,$B42,$A:$A,$K42,E:E,"&gt;=0")=0,"",E42-SUMIFS(E:E,$B:$B,$B42,$A:$A,$K42)))</f>
        <v/>
      </c>
      <c r="N42" s="16">
        <f>IF(OR($K42="",F42=""),"",IF(COUNTIFS($B:$B,$B42,$A:$A,$K42,F:F,"&gt;=0")=0,"",F42-SUMIFS(F:F,$B:$B,$B42,$A:$A,$K42)))</f>
        <v/>
      </c>
      <c r="O42" s="16">
        <f>IF(OR($K42="",G42=""),"",IF(COUNTIFS($B:$B,$B42,$A:$A,$K42,G:G,"&gt;=0")=0,"",G42-SUMIFS(G:G,$B:$B,$B42,$A:$A,$K42)))</f>
        <v/>
      </c>
    </row>
    <row r="43">
      <c r="A43" s="15" t="n">
        <v>46323</v>
      </c>
      <c r="B43" s="5" t="inlineStr">
        <is>
          <t>Intel Core i5-14400F</t>
        </is>
      </c>
      <c r="C43" s="5" t="inlineStr">
        <is>
          <t>CPU</t>
        </is>
      </c>
      <c r="D43" s="7" t="n">
        <v>164.49</v>
      </c>
      <c r="E43" s="7" t="n">
        <v>129.99</v>
      </c>
      <c r="F43" s="2" t="n"/>
      <c r="G43" s="2" t="n"/>
      <c r="H43" s="9">
        <f>IFERROR(IF(INDEX(Dólar!$B:$B,MATCH(A43,Dólar!$A:$A,0))="","",INDEX(Dólar!$B:$B,MATCH(A43,Dólar!$A:$A,0))),"")</f>
        <v/>
      </c>
      <c r="I43" s="10">
        <f>IFERROR(INDEX(Dólar!$E:$E,MATCH(A43,Dólar!$A:$A,0)),"")</f>
        <v/>
      </c>
      <c r="J43" s="6" t="inlineStr">
        <is>
          <t>ver anuncio</t>
        </is>
      </c>
      <c r="K43" s="15" t="n">
        <v>46322</v>
      </c>
      <c r="L43" s="16">
        <f>IF(OR($K43="",D43=""),"",IF(COUNTIFS($B:$B,$B43,$A:$A,$K43,D:D,"&gt;=0")=0,"",D43-SUMIFS(D:D,$B:$B,$B43,$A:$A,$K43)))</f>
        <v/>
      </c>
      <c r="M43" s="16">
        <f>IF(OR($K43="",E43=""),"",IF(COUNTIFS($B:$B,$B43,$A:$A,$K43,E:E,"&gt;=0")=0,"",E43-SUMIFS(E:E,$B:$B,$B43,$A:$A,$K43)))</f>
        <v/>
      </c>
      <c r="N43" s="16">
        <f>IF(OR($K43="",F43=""),"",IF(COUNTIFS($B:$B,$B43,$A:$A,$K43,F:F,"&gt;=0")=0,"",F43-SUMIFS(F:F,$B:$B,$B43,$A:$A,$K43)))</f>
        <v/>
      </c>
      <c r="O43" s="16">
        <f>IF(OR($K43="",G43=""),"",IF(COUNTIFS($B:$B,$B43,$A:$A,$K43,G:G,"&gt;=0")=0,"",G43-SUMIFS(G:G,$B:$B,$B43,$A:$A,$K43)))</f>
        <v/>
      </c>
    </row>
    <row r="44">
      <c r="A44" s="15" t="n">
        <v>46323</v>
      </c>
      <c r="B44" s="5" t="inlineStr">
        <is>
          <t>Intel Core i5-13400</t>
        </is>
      </c>
      <c r="C44" s="5" t="inlineStr">
        <is>
          <t>CPU</t>
        </is>
      </c>
      <c r="D44" s="2" t="n"/>
      <c r="E44" s="7" t="n">
        <v>149.99</v>
      </c>
      <c r="F44" s="2" t="n"/>
      <c r="G44" s="2" t="n"/>
      <c r="H44" s="9">
        <f>IFERROR(IF(INDEX(Dólar!$B:$B,MATCH(A44,Dólar!$A:$A,0))="","",INDEX(Dólar!$B:$B,MATCH(A44,Dólar!$A:$A,0))),"")</f>
        <v/>
      </c>
      <c r="I44" s="10">
        <f>IFERROR(INDEX(Dólar!$E:$E,MATCH(A44,Dólar!$A:$A,0)),"")</f>
        <v/>
      </c>
      <c r="J44" s="6" t="inlineStr">
        <is>
          <t>ver anuncio</t>
        </is>
      </c>
      <c r="K44" s="15" t="n">
        <v>46322</v>
      </c>
      <c r="L44" s="16">
        <f>IF(OR($K44="",D44=""),"",IF(COUNTIFS($B:$B,$B44,$A:$A,$K44,D:D,"&gt;=0")=0,"",D44-SUMIFS(D:D,$B:$B,$B44,$A:$A,$K44)))</f>
        <v/>
      </c>
      <c r="M44" s="16">
        <f>IF(OR($K44="",E44=""),"",IF(COUNTIFS($B:$B,$B44,$A:$A,$K44,E:E,"&gt;=0")=0,"",E44-SUMIFS(E:E,$B:$B,$B44,$A:$A,$K44)))</f>
        <v/>
      </c>
      <c r="N44" s="16">
        <f>IF(OR($K44="",F44=""),"",IF(COUNTIFS($B:$B,$B44,$A:$A,$K44,F:F,"&gt;=0")=0,"",F44-SUMIFS(F:F,$B:$B,$B44,$A:$A,$K44)))</f>
        <v/>
      </c>
      <c r="O44" s="16">
        <f>IF(OR($K44="",G44=""),"",IF(COUNTIFS($B:$B,$B44,$A:$A,$K44,G:G,"&gt;=0")=0,"",G44-SUMIFS(G:G,$B:$B,$B44,$A:$A,$K44)))</f>
        <v/>
      </c>
    </row>
    <row r="45">
      <c r="A45" s="15" t="n">
        <v>46323</v>
      </c>
      <c r="B45" s="5" t="inlineStr">
        <is>
          <t>Intel Core i5-12400F</t>
        </is>
      </c>
      <c r="C45" s="5" t="inlineStr">
        <is>
          <t>CPU</t>
        </is>
      </c>
      <c r="D45" s="7" t="n">
        <v>140</v>
      </c>
      <c r="E45" s="7" t="n">
        <v>124.85</v>
      </c>
      <c r="F45" s="2" t="n"/>
      <c r="G45" s="2" t="n"/>
      <c r="H45" s="9">
        <f>IFERROR(IF(INDEX(Dólar!$B:$B,MATCH(A45,Dólar!$A:$A,0))="","",INDEX(Dólar!$B:$B,MATCH(A45,Dólar!$A:$A,0))),"")</f>
        <v/>
      </c>
      <c r="I45" s="10">
        <f>IFERROR(INDEX(Dólar!$E:$E,MATCH(A45,Dólar!$A:$A,0)),"")</f>
        <v/>
      </c>
      <c r="J45" s="6" t="inlineStr">
        <is>
          <t>ver anuncio</t>
        </is>
      </c>
      <c r="K45" s="15" t="n">
        <v>46322</v>
      </c>
      <c r="L45" s="16">
        <f>IF(OR($K45="",D45=""),"",IF(COUNTIFS($B:$B,$B45,$A:$A,$K45,D:D,"&gt;=0")=0,"",D45-SUMIFS(D:D,$B:$B,$B45,$A:$A,$K45)))</f>
        <v/>
      </c>
      <c r="M45" s="16">
        <f>IF(OR($K45="",E45=""),"",IF(COUNTIFS($B:$B,$B45,$A:$A,$K45,E:E,"&gt;=0")=0,"",E45-SUMIFS(E:E,$B:$B,$B45,$A:$A,$K45)))</f>
        <v/>
      </c>
      <c r="N45" s="16">
        <f>IF(OR($K45="",F45=""),"",IF(COUNTIFS($B:$B,$B45,$A:$A,$K45,F:F,"&gt;=0")=0,"",F45-SUMIFS(F:F,$B:$B,$B45,$A:$A,$K45)))</f>
        <v/>
      </c>
      <c r="O45" s="16">
        <f>IF(OR($K45="",G45=""),"",IF(COUNTIFS($B:$B,$B45,$A:$A,$K45,G:G,"&gt;=0")=0,"",G45-SUMIFS(G:G,$B:$B,$B45,$A:$A,$K45)))</f>
        <v/>
      </c>
    </row>
    <row r="46">
      <c r="A46" s="15" t="n">
        <v>46323</v>
      </c>
      <c r="B46" s="5" t="inlineStr">
        <is>
          <t>Intel Core Ultra 7 265K</t>
        </is>
      </c>
      <c r="C46" s="5" t="inlineStr">
        <is>
          <t>CPU</t>
        </is>
      </c>
      <c r="D46" s="7" t="n">
        <v>250</v>
      </c>
      <c r="E46" s="2" t="n"/>
      <c r="F46" s="2" t="n"/>
      <c r="G46" s="2" t="n"/>
      <c r="H46" s="9">
        <f>IFERROR(IF(INDEX(Dólar!$B:$B,MATCH(A46,Dólar!$A:$A,0))="","",INDEX(Dólar!$B:$B,MATCH(A46,Dólar!$A:$A,0))),"")</f>
        <v/>
      </c>
      <c r="I46" s="10">
        <f>IFERROR(INDEX(Dólar!$E:$E,MATCH(A46,Dólar!$A:$A,0)),"")</f>
        <v/>
      </c>
      <c r="J46" s="6" t="inlineStr">
        <is>
          <t>ver anuncio</t>
        </is>
      </c>
      <c r="K46" s="15" t="n">
        <v>46322</v>
      </c>
      <c r="L46" s="16">
        <f>IF(OR($K46="",D46=""),"",IF(COUNTIFS($B:$B,$B46,$A:$A,$K46,D:D,"&gt;=0")=0,"",D46-SUMIFS(D:D,$B:$B,$B46,$A:$A,$K46)))</f>
        <v/>
      </c>
      <c r="M46" s="16">
        <f>IF(OR($K46="",E46=""),"",IF(COUNTIFS($B:$B,$B46,$A:$A,$K46,E:E,"&gt;=0")=0,"",E46-SUMIFS(E:E,$B:$B,$B46,$A:$A,$K46)))</f>
        <v/>
      </c>
      <c r="N46" s="16">
        <f>IF(OR($K46="",F46=""),"",IF(COUNTIFS($B:$B,$B46,$A:$A,$K46,F:F,"&gt;=0")=0,"",F46-SUMIFS(F:F,$B:$B,$B46,$A:$A,$K46)))</f>
        <v/>
      </c>
      <c r="O46" s="16">
        <f>IF(OR($K46="",G46=""),"",IF(COUNTIFS($B:$B,$B46,$A:$A,$K46,G:G,"&gt;=0")=0,"",G46-SUMIFS(G:G,$B:$B,$B46,$A:$A,$K46)))</f>
        <v/>
      </c>
    </row>
    <row r="47">
      <c r="A47" s="15" t="n">
        <v>46323</v>
      </c>
      <c r="B47" s="5" t="inlineStr">
        <is>
          <t>Corsair Vengeance RGB DDR5 32GB (2x16) 6000</t>
        </is>
      </c>
      <c r="C47" s="5" t="inlineStr">
        <is>
          <t>RAM</t>
        </is>
      </c>
      <c r="D47" s="7" t="n">
        <v>450</v>
      </c>
      <c r="E47" s="7" t="n">
        <v>399.99</v>
      </c>
      <c r="F47" s="2" t="n"/>
      <c r="G47" s="2" t="n"/>
      <c r="H47" s="9">
        <f>IFERROR(IF(INDEX(Dólar!$B:$B,MATCH(A47,Dólar!$A:$A,0))="","",INDEX(Dólar!$B:$B,MATCH(A47,Dólar!$A:$A,0))),"")</f>
        <v/>
      </c>
      <c r="I47" s="10">
        <f>IFERROR(INDEX(Dólar!$E:$E,MATCH(A47,Dólar!$A:$A,0)),"")</f>
        <v/>
      </c>
      <c r="J47" s="6" t="inlineStr">
        <is>
          <t>ver anuncio</t>
        </is>
      </c>
      <c r="K47" s="15" t="n">
        <v>46322</v>
      </c>
      <c r="L47" s="16">
        <f>IF(OR($K47="",D47=""),"",IF(COUNTIFS($B:$B,$B47,$A:$A,$K47,D:D,"&gt;=0")=0,"",D47-SUMIFS(D:D,$B:$B,$B47,$A:$A,$K47)))</f>
        <v/>
      </c>
      <c r="M47" s="16">
        <f>IF(OR($K47="",E47=""),"",IF(COUNTIFS($B:$B,$B47,$A:$A,$K47,E:E,"&gt;=0")=0,"",E47-SUMIFS(E:E,$B:$B,$B47,$A:$A,$K47)))</f>
        <v/>
      </c>
      <c r="N47" s="16">
        <f>IF(OR($K47="",F47=""),"",IF(COUNTIFS($B:$B,$B47,$A:$A,$K47,F:F,"&gt;=0")=0,"",F47-SUMIFS(F:F,$B:$B,$B47,$A:$A,$K47)))</f>
        <v/>
      </c>
      <c r="O47" s="16">
        <f>IF(OR($K47="",G47=""),"",IF(COUNTIFS($B:$B,$B47,$A:$A,$K47,G:G,"&gt;=0")=0,"",G47-SUMIFS(G:G,$B:$B,$B47,$A:$A,$K47)))</f>
        <v/>
      </c>
    </row>
    <row r="48">
      <c r="A48" s="15" t="n">
        <v>46323</v>
      </c>
      <c r="B48" s="5" t="inlineStr">
        <is>
          <t>Corsair Vengeance RGB DDR5 32GB (2x16) 5600</t>
        </is>
      </c>
      <c r="C48" s="5" t="inlineStr">
        <is>
          <t>RAM</t>
        </is>
      </c>
      <c r="D48" s="7" t="n">
        <v>459</v>
      </c>
      <c r="E48" s="7" t="n">
        <v>399.99</v>
      </c>
      <c r="F48" s="2" t="n"/>
      <c r="G48" s="2" t="n"/>
      <c r="H48" s="9">
        <f>IFERROR(IF(INDEX(Dólar!$B:$B,MATCH(A48,Dólar!$A:$A,0))="","",INDEX(Dólar!$B:$B,MATCH(A48,Dólar!$A:$A,0))),"")</f>
        <v/>
      </c>
      <c r="I48" s="10">
        <f>IFERROR(INDEX(Dólar!$E:$E,MATCH(A48,Dólar!$A:$A,0)),"")</f>
        <v/>
      </c>
      <c r="J48" s="6" t="inlineStr">
        <is>
          <t>ver anuncio</t>
        </is>
      </c>
      <c r="K48" s="15" t="n">
        <v>46322</v>
      </c>
      <c r="L48" s="16">
        <f>IF(OR($K48="",D48=""),"",IF(COUNTIFS($B:$B,$B48,$A:$A,$K48,D:D,"&gt;=0")=0,"",D48-SUMIFS(D:D,$B:$B,$B48,$A:$A,$K48)))</f>
        <v/>
      </c>
      <c r="M48" s="16">
        <f>IF(OR($K48="",E48=""),"",IF(COUNTIFS($B:$B,$B48,$A:$A,$K48,E:E,"&gt;=0")=0,"",E48-SUMIFS(E:E,$B:$B,$B48,$A:$A,$K48)))</f>
        <v/>
      </c>
      <c r="N48" s="16">
        <f>IF(OR($K48="",F48=""),"",IF(COUNTIFS($B:$B,$B48,$A:$A,$K48,F:F,"&gt;=0")=0,"",F48-SUMIFS(F:F,$B:$B,$B48,$A:$A,$K48)))</f>
        <v/>
      </c>
      <c r="O48" s="16">
        <f>IF(OR($K48="",G48=""),"",IF(COUNTIFS($B:$B,$B48,$A:$A,$K48,G:G,"&gt;=0")=0,"",G48-SUMIFS(G:G,$B:$B,$B48,$A:$A,$K48)))</f>
        <v/>
      </c>
    </row>
    <row r="49">
      <c r="A49" s="15" t="n">
        <v>46322</v>
      </c>
      <c r="B49" s="5" t="inlineStr">
        <is>
          <t>SSD NVMe 2TB</t>
        </is>
      </c>
      <c r="C49" s="5" t="inlineStr">
        <is>
          <t>SSD</t>
        </is>
      </c>
      <c r="D49" s="7" t="n">
        <v>185</v>
      </c>
      <c r="E49" s="7" t="n">
        <v>179.99</v>
      </c>
      <c r="F49" s="2" t="n"/>
      <c r="G49" s="2" t="n"/>
      <c r="H49" s="9">
        <f>IFERROR(IF(INDEX(Dólar!$B:$B,MATCH(A49,Dólar!$A:$A,0))="","",INDEX(Dólar!$B:$B,MATCH(A49,Dólar!$A:$A,0))),"")</f>
        <v/>
      </c>
      <c r="I49" s="10">
        <f>IFERROR(INDEX(Dólar!$E:$E,MATCH(A49,Dólar!$A:$A,0)),"")</f>
        <v/>
      </c>
      <c r="J49" s="6" t="inlineStr">
        <is>
          <t>ver anuncio</t>
        </is>
      </c>
      <c r="K49" s="15" t="n">
        <v>46321</v>
      </c>
      <c r="L49" s="16">
        <f>IF(OR($K49="",D49=""),"",IF(COUNTIFS($B:$B,$B49,$A:$A,$K49,D:D,"&gt;=0")=0,"",D49-SUMIFS(D:D,$B:$B,$B49,$A:$A,$K49)))</f>
        <v/>
      </c>
      <c r="M49" s="16">
        <f>IF(OR($K49="",E49=""),"",IF(COUNTIFS($B:$B,$B49,$A:$A,$K49,E:E,"&gt;=0")=0,"",E49-SUMIFS(E:E,$B:$B,$B49,$A:$A,$K49)))</f>
        <v/>
      </c>
      <c r="N49" s="16">
        <f>IF(OR($K49="",F49=""),"",IF(COUNTIFS($B:$B,$B49,$A:$A,$K49,F:F,"&gt;=0")=0,"",F49-SUMIFS(F:F,$B:$B,$B49,$A:$A,$K49)))</f>
        <v/>
      </c>
      <c r="O49" s="16">
        <f>IF(OR($K49="",G49=""),"",IF(COUNTIFS($B:$B,$B49,$A:$A,$K49,G:G,"&gt;=0")=0,"",G49-SUMIFS(G:G,$B:$B,$B49,$A:$A,$K49)))</f>
        <v/>
      </c>
    </row>
    <row r="50">
      <c r="A50" s="15" t="n">
        <v>46322</v>
      </c>
      <c r="B50" s="5" t="inlineStr">
        <is>
          <t>SSD NVMe 1TB</t>
        </is>
      </c>
      <c r="C50" s="5" t="inlineStr">
        <is>
          <t>SSD</t>
        </is>
      </c>
      <c r="D50" s="7" t="n">
        <v>114.99</v>
      </c>
      <c r="E50" s="7" t="n">
        <v>89.95</v>
      </c>
      <c r="F50" s="2" t="n"/>
      <c r="G50" s="2" t="n"/>
      <c r="H50" s="9">
        <f>IFERROR(IF(INDEX(Dólar!$B:$B,MATCH(A50,Dólar!$A:$A,0))="","",INDEX(Dólar!$B:$B,MATCH(A50,Dólar!$A:$A,0))),"")</f>
        <v/>
      </c>
      <c r="I50" s="10">
        <f>IFERROR(INDEX(Dólar!$E:$E,MATCH(A50,Dólar!$A:$A,0)),"")</f>
        <v/>
      </c>
      <c r="J50" s="6" t="inlineStr">
        <is>
          <t>ver anuncio</t>
        </is>
      </c>
      <c r="K50" s="15" t="n">
        <v>46321</v>
      </c>
      <c r="L50" s="16">
        <f>IF(OR($K50="",D50=""),"",IF(COUNTIFS($B:$B,$B50,$A:$A,$K50,D:D,"&gt;=0")=0,"",D50-SUMIFS(D:D,$B:$B,$B50,$A:$A,$K50)))</f>
        <v/>
      </c>
      <c r="M50" s="16">
        <f>IF(OR($K50="",E50=""),"",IF(COUNTIFS($B:$B,$B50,$A:$A,$K50,E:E,"&gt;=0")=0,"",E50-SUMIFS(E:E,$B:$B,$B50,$A:$A,$K50)))</f>
        <v/>
      </c>
      <c r="N50" s="16">
        <f>IF(OR($K50="",F50=""),"",IF(COUNTIFS($B:$B,$B50,$A:$A,$K50,F:F,"&gt;=0")=0,"",F50-SUMIFS(F:F,$B:$B,$B50,$A:$A,$K50)))</f>
        <v/>
      </c>
      <c r="O50" s="16">
        <f>IF(OR($K50="",G50=""),"",IF(COUNTIFS($B:$B,$B50,$A:$A,$K50,G:G,"&gt;=0")=0,"",G50-SUMIFS(G:G,$B:$B,$B50,$A:$A,$K50)))</f>
        <v/>
      </c>
    </row>
    <row r="51">
      <c r="A51" s="15" t="n">
        <v>46322</v>
      </c>
      <c r="B51" s="5" t="inlineStr">
        <is>
          <t>Ryzen 9 9950X</t>
        </is>
      </c>
      <c r="C51" s="5" t="inlineStr">
        <is>
          <t>CPU</t>
        </is>
      </c>
      <c r="D51" s="7" t="n">
        <v>549.99</v>
      </c>
      <c r="E51" s="7" t="n">
        <v>430</v>
      </c>
      <c r="F51" s="2" t="n"/>
      <c r="G51" s="2" t="n"/>
      <c r="H51" s="9">
        <f>IFERROR(IF(INDEX(Dólar!$B:$B,MATCH(A51,Dólar!$A:$A,0))="","",INDEX(Dólar!$B:$B,MATCH(A51,Dólar!$A:$A,0))),"")</f>
        <v/>
      </c>
      <c r="I51" s="10">
        <f>IFERROR(INDEX(Dólar!$E:$E,MATCH(A51,Dólar!$A:$A,0)),"")</f>
        <v/>
      </c>
      <c r="J51" s="6" t="inlineStr">
        <is>
          <t>ver anuncio</t>
        </is>
      </c>
      <c r="K51" s="15" t="n">
        <v>46321</v>
      </c>
      <c r="L51" s="16">
        <f>IF(OR($K51="",D51=""),"",IF(COUNTIFS($B:$B,$B51,$A:$A,$K51,D:D,"&gt;=0")=0,"",D51-SUMIFS(D:D,$B:$B,$B51,$A:$A,$K51)))</f>
        <v/>
      </c>
      <c r="M51" s="16">
        <f>IF(OR($K51="",E51=""),"",IF(COUNTIFS($B:$B,$B51,$A:$A,$K51,E:E,"&gt;=0")=0,"",E51-SUMIFS(E:E,$B:$B,$B51,$A:$A,$K51)))</f>
        <v/>
      </c>
      <c r="N51" s="16">
        <f>IF(OR($K51="",F51=""),"",IF(COUNTIFS($B:$B,$B51,$A:$A,$K51,F:F,"&gt;=0")=0,"",F51-SUMIFS(F:F,$B:$B,$B51,$A:$A,$K51)))</f>
        <v/>
      </c>
      <c r="O51" s="16">
        <f>IF(OR($K51="",G51=""),"",IF(COUNTIFS($B:$B,$B51,$A:$A,$K51,G:G,"&gt;=0")=0,"",G51-SUMIFS(G:G,$B:$B,$B51,$A:$A,$K51)))</f>
        <v/>
      </c>
    </row>
    <row r="52">
      <c r="A52" s="15" t="n">
        <v>46322</v>
      </c>
      <c r="B52" s="5" t="inlineStr">
        <is>
          <t>Ryzen 7 7800X3D</t>
        </is>
      </c>
      <c r="C52" s="5" t="inlineStr">
        <is>
          <t>CPU</t>
        </is>
      </c>
      <c r="D52" s="7" t="n">
        <v>325</v>
      </c>
      <c r="E52" s="7" t="n">
        <v>275</v>
      </c>
      <c r="F52" s="2" t="n"/>
      <c r="G52" s="2" t="n"/>
      <c r="H52" s="9">
        <f>IFERROR(IF(INDEX(Dólar!$B:$B,MATCH(A52,Dólar!$A:$A,0))="","",INDEX(Dólar!$B:$B,MATCH(A52,Dólar!$A:$A,0))),"")</f>
        <v/>
      </c>
      <c r="I52" s="10">
        <f>IFERROR(INDEX(Dólar!$E:$E,MATCH(A52,Dólar!$A:$A,0)),"")</f>
        <v/>
      </c>
      <c r="J52" s="6" t="inlineStr">
        <is>
          <t>ver anuncio</t>
        </is>
      </c>
      <c r="K52" s="15" t="n">
        <v>46321</v>
      </c>
      <c r="L52" s="16">
        <f>IF(OR($K52="",D52=""),"",IF(COUNTIFS($B:$B,$B52,$A:$A,$K52,D:D,"&gt;=0")=0,"",D52-SUMIFS(D:D,$B:$B,$B52,$A:$A,$K52)))</f>
        <v/>
      </c>
      <c r="M52" s="16">
        <f>IF(OR($K52="",E52=""),"",IF(COUNTIFS($B:$B,$B52,$A:$A,$K52,E:E,"&gt;=0")=0,"",E52-SUMIFS(E:E,$B:$B,$B52,$A:$A,$K52)))</f>
        <v/>
      </c>
      <c r="N52" s="16">
        <f>IF(OR($K52="",F52=""),"",IF(COUNTIFS($B:$B,$B52,$A:$A,$K52,F:F,"&gt;=0")=0,"",F52-SUMIFS(F:F,$B:$B,$B52,$A:$A,$K52)))</f>
        <v/>
      </c>
      <c r="O52" s="16">
        <f>IF(OR($K52="",G52=""),"",IF(COUNTIFS($B:$B,$B52,$A:$A,$K52,G:G,"&gt;=0")=0,"",G52-SUMIFS(G:G,$B:$B,$B52,$A:$A,$K52)))</f>
        <v/>
      </c>
    </row>
    <row r="53">
      <c r="A53" s="15" t="n">
        <v>46322</v>
      </c>
      <c r="B53" s="5" t="inlineStr">
        <is>
          <t>Ryzen 7 7700X</t>
        </is>
      </c>
      <c r="C53" s="5" t="inlineStr">
        <is>
          <t>CPU</t>
        </is>
      </c>
      <c r="D53" s="7" t="n">
        <v>219</v>
      </c>
      <c r="E53" s="7" t="n">
        <v>189.99</v>
      </c>
      <c r="F53" s="2" t="n"/>
      <c r="G53" s="2" t="n"/>
      <c r="H53" s="9">
        <f>IFERROR(IF(INDEX(Dólar!$B:$B,MATCH(A53,Dólar!$A:$A,0))="","",INDEX(Dólar!$B:$B,MATCH(A53,Dólar!$A:$A,0))),"")</f>
        <v/>
      </c>
      <c r="I53" s="10">
        <f>IFERROR(INDEX(Dólar!$E:$E,MATCH(A53,Dólar!$A:$A,0)),"")</f>
        <v/>
      </c>
      <c r="J53" s="6" t="inlineStr">
        <is>
          <t>ver anuncio</t>
        </is>
      </c>
      <c r="K53" s="15" t="n">
        <v>46321</v>
      </c>
      <c r="L53" s="16">
        <f>IF(OR($K53="",D53=""),"",IF(COUNTIFS($B:$B,$B53,$A:$A,$K53,D:D,"&gt;=0")=0,"",D53-SUMIFS(D:D,$B:$B,$B53,$A:$A,$K53)))</f>
        <v/>
      </c>
      <c r="M53" s="16">
        <f>IF(OR($K53="",E53=""),"",IF(COUNTIFS($B:$B,$B53,$A:$A,$K53,E:E,"&gt;=0")=0,"",E53-SUMIFS(E:E,$B:$B,$B53,$A:$A,$K53)))</f>
        <v/>
      </c>
      <c r="N53" s="16">
        <f>IF(OR($K53="",F53=""),"",IF(COUNTIFS($B:$B,$B53,$A:$A,$K53,F:F,"&gt;=0")=0,"",F53-SUMIFS(F:F,$B:$B,$B53,$A:$A,$K53)))</f>
        <v/>
      </c>
      <c r="O53" s="16">
        <f>IF(OR($K53="",G53=""),"",IF(COUNTIFS($B:$B,$B53,$A:$A,$K53,G:G,"&gt;=0")=0,"",G53-SUMIFS(G:G,$B:$B,$B53,$A:$A,$K53)))</f>
        <v/>
      </c>
    </row>
    <row r="54">
      <c r="A54" s="15" t="n">
        <v>46322</v>
      </c>
      <c r="B54" s="5" t="inlineStr">
        <is>
          <t>Ryzen 7 5700X3D</t>
        </is>
      </c>
      <c r="C54" s="5" t="inlineStr">
        <is>
          <t>CPU</t>
        </is>
      </c>
      <c r="D54" s="2" t="n"/>
      <c r="E54" s="7" t="n">
        <v>319.99</v>
      </c>
      <c r="F54" s="2" t="n"/>
      <c r="G54" s="2" t="n"/>
      <c r="H54" s="9">
        <f>IFERROR(IF(INDEX(Dólar!$B:$B,MATCH(A54,Dólar!$A:$A,0))="","",INDEX(Dólar!$B:$B,MATCH(A54,Dólar!$A:$A,0))),"")</f>
        <v/>
      </c>
      <c r="I54" s="10">
        <f>IFERROR(INDEX(Dólar!$E:$E,MATCH(A54,Dólar!$A:$A,0)),"")</f>
        <v/>
      </c>
      <c r="J54" s="6" t="inlineStr">
        <is>
          <t>ver anuncio</t>
        </is>
      </c>
      <c r="K54" s="15" t="n">
        <v>46321</v>
      </c>
      <c r="L54" s="16">
        <f>IF(OR($K54="",D54=""),"",IF(COUNTIFS($B:$B,$B54,$A:$A,$K54,D:D,"&gt;=0")=0,"",D54-SUMIFS(D:D,$B:$B,$B54,$A:$A,$K54)))</f>
        <v/>
      </c>
      <c r="M54" s="16">
        <f>IF(OR($K54="",E54=""),"",IF(COUNTIFS($B:$B,$B54,$A:$A,$K54,E:E,"&gt;=0")=0,"",E54-SUMIFS(E:E,$B:$B,$B54,$A:$A,$K54)))</f>
        <v/>
      </c>
      <c r="N54" s="16">
        <f>IF(OR($K54="",F54=""),"",IF(COUNTIFS($B:$B,$B54,$A:$A,$K54,F:F,"&gt;=0")=0,"",F54-SUMIFS(F:F,$B:$B,$B54,$A:$A,$K54)))</f>
        <v/>
      </c>
      <c r="O54" s="16">
        <f>IF(OR($K54="",G54=""),"",IF(COUNTIFS($B:$B,$B54,$A:$A,$K54,G:G,"&gt;=0")=0,"",G54-SUMIFS(G:G,$B:$B,$B54,$A:$A,$K54)))</f>
        <v/>
      </c>
    </row>
    <row r="55">
      <c r="A55" s="15" t="n">
        <v>46322</v>
      </c>
      <c r="B55" s="5" t="inlineStr">
        <is>
          <t>Ryzen 5 7600</t>
        </is>
      </c>
      <c r="C55" s="5" t="inlineStr">
        <is>
          <t>CPU</t>
        </is>
      </c>
      <c r="D55" s="7" t="n">
        <v>146.98</v>
      </c>
      <c r="E55" s="7" t="n">
        <v>119</v>
      </c>
      <c r="F55" s="2" t="n"/>
      <c r="G55" s="2" t="n"/>
      <c r="H55" s="9">
        <f>IFERROR(IF(INDEX(Dólar!$B:$B,MATCH(A55,Dólar!$A:$A,0))="","",INDEX(Dólar!$B:$B,MATCH(A55,Dólar!$A:$A,0))),"")</f>
        <v/>
      </c>
      <c r="I55" s="10">
        <f>IFERROR(INDEX(Dólar!$E:$E,MATCH(A55,Dólar!$A:$A,0)),"")</f>
        <v/>
      </c>
      <c r="J55" s="6" t="inlineStr">
        <is>
          <t>ver anuncio</t>
        </is>
      </c>
      <c r="K55" s="15" t="n">
        <v>46321</v>
      </c>
      <c r="L55" s="16">
        <f>IF(OR($K55="",D55=""),"",IF(COUNTIFS($B:$B,$B55,$A:$A,$K55,D:D,"&gt;=0")=0,"",D55-SUMIFS(D:D,$B:$B,$B55,$A:$A,$K55)))</f>
        <v/>
      </c>
      <c r="M55" s="16">
        <f>IF(OR($K55="",E55=""),"",IF(COUNTIFS($B:$B,$B55,$A:$A,$K55,E:E,"&gt;=0")=0,"",E55-SUMIFS(E:E,$B:$B,$B55,$A:$A,$K55)))</f>
        <v/>
      </c>
      <c r="N55" s="16">
        <f>IF(OR($K55="",F55=""),"",IF(COUNTIFS($B:$B,$B55,$A:$A,$K55,F:F,"&gt;=0")=0,"",F55-SUMIFS(F:F,$B:$B,$B55,$A:$A,$K55)))</f>
        <v/>
      </c>
      <c r="O55" s="16">
        <f>IF(OR($K55="",G55=""),"",IF(COUNTIFS($B:$B,$B55,$A:$A,$K55,G:G,"&gt;=0")=0,"",G55-SUMIFS(G:G,$B:$B,$B55,$A:$A,$K55)))</f>
        <v/>
      </c>
    </row>
    <row r="56">
      <c r="A56" s="15" t="n">
        <v>46322</v>
      </c>
      <c r="B56" s="5" t="inlineStr">
        <is>
          <t>Ryzen 5 7500F</t>
        </is>
      </c>
      <c r="C56" s="5" t="inlineStr">
        <is>
          <t>CPU</t>
        </is>
      </c>
      <c r="D56" s="7" t="n">
        <v>135.6</v>
      </c>
      <c r="E56" s="7" t="n">
        <v>129.99</v>
      </c>
      <c r="F56" s="2" t="n"/>
      <c r="G56" s="2" t="n"/>
      <c r="H56" s="9">
        <f>IFERROR(IF(INDEX(Dólar!$B:$B,MATCH(A56,Dólar!$A:$A,0))="","",INDEX(Dólar!$B:$B,MATCH(A56,Dólar!$A:$A,0))),"")</f>
        <v/>
      </c>
      <c r="I56" s="10">
        <f>IFERROR(INDEX(Dólar!$E:$E,MATCH(A56,Dólar!$A:$A,0)),"")</f>
        <v/>
      </c>
      <c r="J56" s="6" t="inlineStr">
        <is>
          <t>ver anuncio</t>
        </is>
      </c>
      <c r="K56" s="15" t="n">
        <v>46321</v>
      </c>
      <c r="L56" s="16">
        <f>IF(OR($K56="",D56=""),"",IF(COUNTIFS($B:$B,$B56,$A:$A,$K56,D:D,"&gt;=0")=0,"",D56-SUMIFS(D:D,$B:$B,$B56,$A:$A,$K56)))</f>
        <v/>
      </c>
      <c r="M56" s="16">
        <f>IF(OR($K56="",E56=""),"",IF(COUNTIFS($B:$B,$B56,$A:$A,$K56,E:E,"&gt;=0")=0,"",E56-SUMIFS(E:E,$B:$B,$B56,$A:$A,$K56)))</f>
        <v/>
      </c>
      <c r="N56" s="16">
        <f>IF(OR($K56="",F56=""),"",IF(COUNTIFS($B:$B,$B56,$A:$A,$K56,F:F,"&gt;=0")=0,"",F56-SUMIFS(F:F,$B:$B,$B56,$A:$A,$K56)))</f>
        <v/>
      </c>
      <c r="O56" s="16">
        <f>IF(OR($K56="",G56=""),"",IF(COUNTIFS($B:$B,$B56,$A:$A,$K56,G:G,"&gt;=0")=0,"",G56-SUMIFS(G:G,$B:$B,$B56,$A:$A,$K56)))</f>
        <v/>
      </c>
    </row>
    <row r="57">
      <c r="A57" s="15" t="n">
        <v>46322</v>
      </c>
      <c r="B57" s="5" t="inlineStr">
        <is>
          <t>Ryzen 5 5600</t>
        </is>
      </c>
      <c r="C57" s="5" t="inlineStr">
        <is>
          <t>CPU</t>
        </is>
      </c>
      <c r="D57" s="7" t="n">
        <v>159.99</v>
      </c>
      <c r="E57" s="7" t="n">
        <v>133.99</v>
      </c>
      <c r="F57" s="2" t="n"/>
      <c r="G57" s="2" t="n"/>
      <c r="H57" s="9">
        <f>IFERROR(IF(INDEX(Dólar!$B:$B,MATCH(A57,Dólar!$A:$A,0))="","",INDEX(Dólar!$B:$B,MATCH(A57,Dólar!$A:$A,0))),"")</f>
        <v/>
      </c>
      <c r="I57" s="10">
        <f>IFERROR(INDEX(Dólar!$E:$E,MATCH(A57,Dólar!$A:$A,0)),"")</f>
        <v/>
      </c>
      <c r="J57" s="6" t="inlineStr">
        <is>
          <t>ver anuncio</t>
        </is>
      </c>
      <c r="K57" s="15" t="n">
        <v>46321</v>
      </c>
      <c r="L57" s="16">
        <f>IF(OR($K57="",D57=""),"",IF(COUNTIFS($B:$B,$B57,$A:$A,$K57,D:D,"&gt;=0")=0,"",D57-SUMIFS(D:D,$B:$B,$B57,$A:$A,$K57)))</f>
        <v/>
      </c>
      <c r="M57" s="16">
        <f>IF(OR($K57="",E57=""),"",IF(COUNTIFS($B:$B,$B57,$A:$A,$K57,E:E,"&gt;=0")=0,"",E57-SUMIFS(E:E,$B:$B,$B57,$A:$A,$K57)))</f>
        <v/>
      </c>
      <c r="N57" s="16">
        <f>IF(OR($K57="",F57=""),"",IF(COUNTIFS($B:$B,$B57,$A:$A,$K57,F:F,"&gt;=0")=0,"",F57-SUMIFS(F:F,$B:$B,$B57,$A:$A,$K57)))</f>
        <v/>
      </c>
      <c r="O57" s="16">
        <f>IF(OR($K57="",G57=""),"",IF(COUNTIFS($B:$B,$B57,$A:$A,$K57,G:G,"&gt;=0")=0,"",G57-SUMIFS(G:G,$B:$B,$B57,$A:$A,$K57)))</f>
        <v/>
      </c>
    </row>
    <row r="58">
      <c r="A58" s="15" t="n">
        <v>46322</v>
      </c>
      <c r="B58" s="5" t="inlineStr">
        <is>
          <t>RAM DDR4 16GB (2x8) 3200</t>
        </is>
      </c>
      <c r="C58" s="5" t="inlineStr">
        <is>
          <t>RAM</t>
        </is>
      </c>
      <c r="D58" s="7" t="n">
        <v>109</v>
      </c>
      <c r="E58" s="7" t="n">
        <v>59.95</v>
      </c>
      <c r="F58" s="2" t="n"/>
      <c r="G58" s="2" t="n"/>
      <c r="H58" s="9">
        <f>IFERROR(IF(INDEX(Dólar!$B:$B,MATCH(A58,Dólar!$A:$A,0))="","",INDEX(Dólar!$B:$B,MATCH(A58,Dólar!$A:$A,0))),"")</f>
        <v/>
      </c>
      <c r="I58" s="10">
        <f>IFERROR(INDEX(Dólar!$E:$E,MATCH(A58,Dólar!$A:$A,0)),"")</f>
        <v/>
      </c>
      <c r="J58" s="6" t="inlineStr">
        <is>
          <t>ver anuncio</t>
        </is>
      </c>
      <c r="K58" s="15" t="n">
        <v>46321</v>
      </c>
      <c r="L58" s="16">
        <f>IF(OR($K58="",D58=""),"",IF(COUNTIFS($B:$B,$B58,$A:$A,$K58,D:D,"&gt;=0")=0,"",D58-SUMIFS(D:D,$B:$B,$B58,$A:$A,$K58)))</f>
        <v/>
      </c>
      <c r="M58" s="16">
        <f>IF(OR($K58="",E58=""),"",IF(COUNTIFS($B:$B,$B58,$A:$A,$K58,E:E,"&gt;=0")=0,"",E58-SUMIFS(E:E,$B:$B,$B58,$A:$A,$K58)))</f>
        <v/>
      </c>
      <c r="N58" s="16">
        <f>IF(OR($K58="",F58=""),"",IF(COUNTIFS($B:$B,$B58,$A:$A,$K58,F:F,"&gt;=0")=0,"",F58-SUMIFS(F:F,$B:$B,$B58,$A:$A,$K58)))</f>
        <v/>
      </c>
      <c r="O58" s="16">
        <f>IF(OR($K58="",G58=""),"",IF(COUNTIFS($B:$B,$B58,$A:$A,$K58,G:G,"&gt;=0")=0,"",G58-SUMIFS(G:G,$B:$B,$B58,$A:$A,$K58)))</f>
        <v/>
      </c>
    </row>
    <row r="59">
      <c r="A59" s="15" t="n">
        <v>46322</v>
      </c>
      <c r="B59" s="5" t="inlineStr">
        <is>
          <t>Intel Core i5-14400F</t>
        </is>
      </c>
      <c r="C59" s="5" t="inlineStr">
        <is>
          <t>CPU</t>
        </is>
      </c>
      <c r="D59" s="7" t="n">
        <v>164.49</v>
      </c>
      <c r="E59" s="7" t="n">
        <v>129.99</v>
      </c>
      <c r="F59" s="2" t="n"/>
      <c r="G59" s="2" t="n"/>
      <c r="H59" s="9">
        <f>IFERROR(IF(INDEX(Dólar!$B:$B,MATCH(A59,Dólar!$A:$A,0))="","",INDEX(Dólar!$B:$B,MATCH(A59,Dólar!$A:$A,0))),"")</f>
        <v/>
      </c>
      <c r="I59" s="10">
        <f>IFERROR(INDEX(Dólar!$E:$E,MATCH(A59,Dólar!$A:$A,0)),"")</f>
        <v/>
      </c>
      <c r="J59" s="6" t="inlineStr">
        <is>
          <t>ver anuncio</t>
        </is>
      </c>
      <c r="K59" s="15" t="n">
        <v>46321</v>
      </c>
      <c r="L59" s="16">
        <f>IF(OR($K59="",D59=""),"",IF(COUNTIFS($B:$B,$B59,$A:$A,$K59,D:D,"&gt;=0")=0,"",D59-SUMIFS(D:D,$B:$B,$B59,$A:$A,$K59)))</f>
        <v/>
      </c>
      <c r="M59" s="16">
        <f>IF(OR($K59="",E59=""),"",IF(COUNTIFS($B:$B,$B59,$A:$A,$K59,E:E,"&gt;=0")=0,"",E59-SUMIFS(E:E,$B:$B,$B59,$A:$A,$K59)))</f>
        <v/>
      </c>
      <c r="N59" s="16">
        <f>IF(OR($K59="",F59=""),"",IF(COUNTIFS($B:$B,$B59,$A:$A,$K59,F:F,"&gt;=0")=0,"",F59-SUMIFS(F:F,$B:$B,$B59,$A:$A,$K59)))</f>
        <v/>
      </c>
      <c r="O59" s="16">
        <f>IF(OR($K59="",G59=""),"",IF(COUNTIFS($B:$B,$B59,$A:$A,$K59,G:G,"&gt;=0")=0,"",G59-SUMIFS(G:G,$B:$B,$B59,$A:$A,$K59)))</f>
        <v/>
      </c>
    </row>
    <row r="60">
      <c r="A60" s="15" t="n">
        <v>46322</v>
      </c>
      <c r="B60" s="5" t="inlineStr">
        <is>
          <t>Intel Core i5-13400</t>
        </is>
      </c>
      <c r="C60" s="5" t="inlineStr">
        <is>
          <t>CPU</t>
        </is>
      </c>
      <c r="D60" s="2" t="n"/>
      <c r="E60" s="7" t="n">
        <v>150</v>
      </c>
      <c r="F60" s="2" t="n"/>
      <c r="G60" s="2" t="n"/>
      <c r="H60" s="9">
        <f>IFERROR(IF(INDEX(Dólar!$B:$B,MATCH(A60,Dólar!$A:$A,0))="","",INDEX(Dólar!$B:$B,MATCH(A60,Dólar!$A:$A,0))),"")</f>
        <v/>
      </c>
      <c r="I60" s="10">
        <f>IFERROR(INDEX(Dólar!$E:$E,MATCH(A60,Dólar!$A:$A,0)),"")</f>
        <v/>
      </c>
      <c r="J60" s="6" t="inlineStr">
        <is>
          <t>ver anuncio</t>
        </is>
      </c>
      <c r="K60" s="15" t="n">
        <v>46321</v>
      </c>
      <c r="L60" s="16">
        <f>IF(OR($K60="",D60=""),"",IF(COUNTIFS($B:$B,$B60,$A:$A,$K60,D:D,"&gt;=0")=0,"",D60-SUMIFS(D:D,$B:$B,$B60,$A:$A,$K60)))</f>
        <v/>
      </c>
      <c r="M60" s="16">
        <f>IF(OR($K60="",E60=""),"",IF(COUNTIFS($B:$B,$B60,$A:$A,$K60,E:E,"&gt;=0")=0,"",E60-SUMIFS(E:E,$B:$B,$B60,$A:$A,$K60)))</f>
        <v/>
      </c>
      <c r="N60" s="16">
        <f>IF(OR($K60="",F60=""),"",IF(COUNTIFS($B:$B,$B60,$A:$A,$K60,F:F,"&gt;=0")=0,"",F60-SUMIFS(F:F,$B:$B,$B60,$A:$A,$K60)))</f>
        <v/>
      </c>
      <c r="O60" s="16">
        <f>IF(OR($K60="",G60=""),"",IF(COUNTIFS($B:$B,$B60,$A:$A,$K60,G:G,"&gt;=0")=0,"",G60-SUMIFS(G:G,$B:$B,$B60,$A:$A,$K60)))</f>
        <v/>
      </c>
    </row>
    <row r="61">
      <c r="A61" s="15" t="n">
        <v>46322</v>
      </c>
      <c r="B61" s="5" t="inlineStr">
        <is>
          <t>Intel Core i5-12400F</t>
        </is>
      </c>
      <c r="C61" s="5" t="inlineStr">
        <is>
          <t>CPU</t>
        </is>
      </c>
      <c r="D61" s="7" t="n">
        <v>140</v>
      </c>
      <c r="E61" s="7" t="n">
        <v>119.89</v>
      </c>
      <c r="F61" s="2" t="n"/>
      <c r="G61" s="2" t="n"/>
      <c r="H61" s="9">
        <f>IFERROR(IF(INDEX(Dólar!$B:$B,MATCH(A61,Dólar!$A:$A,0))="","",INDEX(Dólar!$B:$B,MATCH(A61,Dólar!$A:$A,0))),"")</f>
        <v/>
      </c>
      <c r="I61" s="10">
        <f>IFERROR(INDEX(Dólar!$E:$E,MATCH(A61,Dólar!$A:$A,0)),"")</f>
        <v/>
      </c>
      <c r="J61" s="6" t="inlineStr">
        <is>
          <t>ver anuncio</t>
        </is>
      </c>
      <c r="K61" s="15" t="n">
        <v>46321</v>
      </c>
      <c r="L61" s="16">
        <f>IF(OR($K61="",D61=""),"",IF(COUNTIFS($B:$B,$B61,$A:$A,$K61,D:D,"&gt;=0")=0,"",D61-SUMIFS(D:D,$B:$B,$B61,$A:$A,$K61)))</f>
        <v/>
      </c>
      <c r="M61" s="16">
        <f>IF(OR($K61="",E61=""),"",IF(COUNTIFS($B:$B,$B61,$A:$A,$K61,E:E,"&gt;=0")=0,"",E61-SUMIFS(E:E,$B:$B,$B61,$A:$A,$K61)))</f>
        <v/>
      </c>
      <c r="N61" s="16">
        <f>IF(OR($K61="",F61=""),"",IF(COUNTIFS($B:$B,$B61,$A:$A,$K61,F:F,"&gt;=0")=0,"",F61-SUMIFS(F:F,$B:$B,$B61,$A:$A,$K61)))</f>
        <v/>
      </c>
      <c r="O61" s="16">
        <f>IF(OR($K61="",G61=""),"",IF(COUNTIFS($B:$B,$B61,$A:$A,$K61,G:G,"&gt;=0")=0,"",G61-SUMIFS(G:G,$B:$B,$B61,$A:$A,$K61)))</f>
        <v/>
      </c>
    </row>
    <row r="62">
      <c r="A62" s="15" t="n">
        <v>46322</v>
      </c>
      <c r="B62" s="5" t="inlineStr">
        <is>
          <t>Intel Core Ultra 7 265K</t>
        </is>
      </c>
      <c r="C62" s="5" t="inlineStr">
        <is>
          <t>CPU</t>
        </is>
      </c>
      <c r="D62" s="7" t="n">
        <v>259.99</v>
      </c>
      <c r="E62" s="2" t="n"/>
      <c r="F62" s="2" t="n"/>
      <c r="G62" s="2" t="n"/>
      <c r="H62" s="9">
        <f>IFERROR(IF(INDEX(Dólar!$B:$B,MATCH(A62,Dólar!$A:$A,0))="","",INDEX(Dólar!$B:$B,MATCH(A62,Dólar!$A:$A,0))),"")</f>
        <v/>
      </c>
      <c r="I62" s="10">
        <f>IFERROR(INDEX(Dólar!$E:$E,MATCH(A62,Dólar!$A:$A,0)),"")</f>
        <v/>
      </c>
      <c r="J62" s="6" t="inlineStr">
        <is>
          <t>ver anuncio</t>
        </is>
      </c>
      <c r="K62" s="15" t="n">
        <v>46321</v>
      </c>
      <c r="L62" s="16">
        <f>IF(OR($K62="",D62=""),"",IF(COUNTIFS($B:$B,$B62,$A:$A,$K62,D:D,"&gt;=0")=0,"",D62-SUMIFS(D:D,$B:$B,$B62,$A:$A,$K62)))</f>
        <v/>
      </c>
      <c r="M62" s="16">
        <f>IF(OR($K62="",E62=""),"",IF(COUNTIFS($B:$B,$B62,$A:$A,$K62,E:E,"&gt;=0")=0,"",E62-SUMIFS(E:E,$B:$B,$B62,$A:$A,$K62)))</f>
        <v/>
      </c>
      <c r="N62" s="16">
        <f>IF(OR($K62="",F62=""),"",IF(COUNTIFS($B:$B,$B62,$A:$A,$K62,F:F,"&gt;=0")=0,"",F62-SUMIFS(F:F,$B:$B,$B62,$A:$A,$K62)))</f>
        <v/>
      </c>
      <c r="O62" s="16">
        <f>IF(OR($K62="",G62=""),"",IF(COUNTIFS($B:$B,$B62,$A:$A,$K62,G:G,"&gt;=0")=0,"",G62-SUMIFS(G:G,$B:$B,$B62,$A:$A,$K62)))</f>
        <v/>
      </c>
    </row>
    <row r="63">
      <c r="A63" s="15" t="n">
        <v>46322</v>
      </c>
      <c r="B63" s="5" t="inlineStr">
        <is>
          <t>Corsair Vengeance RGB DDR5 32GB (2x16) 6000</t>
        </is>
      </c>
      <c r="C63" s="5" t="inlineStr">
        <is>
          <t>RAM</t>
        </is>
      </c>
      <c r="D63" s="7" t="n">
        <v>450</v>
      </c>
      <c r="E63" s="7" t="n">
        <v>399.99</v>
      </c>
      <c r="F63" s="2" t="n"/>
      <c r="G63" s="2" t="n"/>
      <c r="H63" s="9">
        <f>IFERROR(IF(INDEX(Dólar!$B:$B,MATCH(A63,Dólar!$A:$A,0))="","",INDEX(Dólar!$B:$B,MATCH(A63,Dólar!$A:$A,0))),"")</f>
        <v/>
      </c>
      <c r="I63" s="10">
        <f>IFERROR(INDEX(Dólar!$E:$E,MATCH(A63,Dólar!$A:$A,0)),"")</f>
        <v/>
      </c>
      <c r="J63" s="6" t="inlineStr">
        <is>
          <t>ver anuncio</t>
        </is>
      </c>
      <c r="K63" s="15" t="n">
        <v>46321</v>
      </c>
      <c r="L63" s="16">
        <f>IF(OR($K63="",D63=""),"",IF(COUNTIFS($B:$B,$B63,$A:$A,$K63,D:D,"&gt;=0")=0,"",D63-SUMIFS(D:D,$B:$B,$B63,$A:$A,$K63)))</f>
        <v/>
      </c>
      <c r="M63" s="16">
        <f>IF(OR($K63="",E63=""),"",IF(COUNTIFS($B:$B,$B63,$A:$A,$K63,E:E,"&gt;=0")=0,"",E63-SUMIFS(E:E,$B:$B,$B63,$A:$A,$K63)))</f>
        <v/>
      </c>
      <c r="N63" s="16">
        <f>IF(OR($K63="",F63=""),"",IF(COUNTIFS($B:$B,$B63,$A:$A,$K63,F:F,"&gt;=0")=0,"",F63-SUMIFS(F:F,$B:$B,$B63,$A:$A,$K63)))</f>
        <v/>
      </c>
      <c r="O63" s="16">
        <f>IF(OR($K63="",G63=""),"",IF(COUNTIFS($B:$B,$B63,$A:$A,$K63,G:G,"&gt;=0")=0,"",G63-SUMIFS(G:G,$B:$B,$B63,$A:$A,$K63)))</f>
        <v/>
      </c>
    </row>
    <row r="64">
      <c r="A64" s="15" t="n">
        <v>46322</v>
      </c>
      <c r="B64" s="5" t="inlineStr">
        <is>
          <t>Corsair Vengeance RGB DDR5 32GB (2x16) 5600</t>
        </is>
      </c>
      <c r="C64" s="5" t="inlineStr">
        <is>
          <t>RAM</t>
        </is>
      </c>
      <c r="D64" s="7" t="n">
        <v>459</v>
      </c>
      <c r="E64" s="7" t="n">
        <v>399.99</v>
      </c>
      <c r="F64" s="2" t="n"/>
      <c r="G64" s="2" t="n"/>
      <c r="H64" s="9">
        <f>IFERROR(IF(INDEX(Dólar!$B:$B,MATCH(A64,Dólar!$A:$A,0))="","",INDEX(Dólar!$B:$B,MATCH(A64,Dólar!$A:$A,0))),"")</f>
        <v/>
      </c>
      <c r="I64" s="10">
        <f>IFERROR(INDEX(Dólar!$E:$E,MATCH(A64,Dólar!$A:$A,0)),"")</f>
        <v/>
      </c>
      <c r="J64" s="6" t="inlineStr">
        <is>
          <t>ver anuncio</t>
        </is>
      </c>
      <c r="K64" s="15" t="n">
        <v>46321</v>
      </c>
      <c r="L64" s="16">
        <f>IF(OR($K64="",D64=""),"",IF(COUNTIFS($B:$B,$B64,$A:$A,$K64,D:D,"&gt;=0")=0,"",D64-SUMIFS(D:D,$B:$B,$B64,$A:$A,$K64)))</f>
        <v/>
      </c>
      <c r="M64" s="16">
        <f>IF(OR($K64="",E64=""),"",IF(COUNTIFS($B:$B,$B64,$A:$A,$K64,E:E,"&gt;=0")=0,"",E64-SUMIFS(E:E,$B:$B,$B64,$A:$A,$K64)))</f>
        <v/>
      </c>
      <c r="N64" s="16">
        <f>IF(OR($K64="",F64=""),"",IF(COUNTIFS($B:$B,$B64,$A:$A,$K64,F:F,"&gt;=0")=0,"",F64-SUMIFS(F:F,$B:$B,$B64,$A:$A,$K64)))</f>
        <v/>
      </c>
      <c r="O64" s="16">
        <f>IF(OR($K64="",G64=""),"",IF(COUNTIFS($B:$B,$B64,$A:$A,$K64,G:G,"&gt;=0")=0,"",G64-SUMIFS(G:G,$B:$B,$B64,$A:$A,$K64)))</f>
        <v/>
      </c>
    </row>
    <row r="65">
      <c r="A65" s="15" t="n">
        <v>46321</v>
      </c>
      <c r="B65" s="5" t="inlineStr">
        <is>
          <t>SSD NVMe 2TB</t>
        </is>
      </c>
      <c r="C65" s="5" t="inlineStr">
        <is>
          <t>SSD</t>
        </is>
      </c>
      <c r="D65" s="7" t="n">
        <v>185</v>
      </c>
      <c r="E65" s="7" t="n">
        <v>154.99</v>
      </c>
      <c r="F65" s="2" t="n"/>
      <c r="G65" s="2" t="n"/>
      <c r="H65" s="9">
        <f>IFERROR(IF(INDEX(Dólar!$B:$B,MATCH(A65,Dólar!$A:$A,0))="","",INDEX(Dólar!$B:$B,MATCH(A65,Dólar!$A:$A,0))),"")</f>
        <v/>
      </c>
      <c r="I65" s="10">
        <f>IFERROR(INDEX(Dólar!$E:$E,MATCH(A65,Dólar!$A:$A,0)),"")</f>
        <v/>
      </c>
      <c r="J65" s="6" t="inlineStr">
        <is>
          <t>ver anuncio</t>
        </is>
      </c>
      <c r="K65" s="15" t="n">
        <v>46320</v>
      </c>
      <c r="L65" s="16">
        <f>IF(OR($K65="",D65=""),"",IF(COUNTIFS($B:$B,$B65,$A:$A,$K65,D:D,"&gt;=0")=0,"",D65-SUMIFS(D:D,$B:$B,$B65,$A:$A,$K65)))</f>
        <v/>
      </c>
      <c r="M65" s="16">
        <f>IF(OR($K65="",E65=""),"",IF(COUNTIFS($B:$B,$B65,$A:$A,$K65,E:E,"&gt;=0")=0,"",E65-SUMIFS(E:E,$B:$B,$B65,$A:$A,$K65)))</f>
        <v/>
      </c>
      <c r="N65" s="16">
        <f>IF(OR($K65="",F65=""),"",IF(COUNTIFS($B:$B,$B65,$A:$A,$K65,F:F,"&gt;=0")=0,"",F65-SUMIFS(F:F,$B:$B,$B65,$A:$A,$K65)))</f>
        <v/>
      </c>
      <c r="O65" s="16">
        <f>IF(OR($K65="",G65=""),"",IF(COUNTIFS($B:$B,$B65,$A:$A,$K65,G:G,"&gt;=0")=0,"",G65-SUMIFS(G:G,$B:$B,$B65,$A:$A,$K65)))</f>
        <v/>
      </c>
    </row>
    <row r="66">
      <c r="A66" s="15" t="n">
        <v>46321</v>
      </c>
      <c r="B66" s="5" t="inlineStr">
        <is>
          <t>SSD NVMe 1TB</t>
        </is>
      </c>
      <c r="C66" s="5" t="inlineStr">
        <is>
          <t>SSD</t>
        </is>
      </c>
      <c r="D66" s="7" t="n">
        <v>114.99</v>
      </c>
      <c r="E66" s="7" t="n">
        <v>85</v>
      </c>
      <c r="F66" s="8" t="n">
        <v>1850</v>
      </c>
      <c r="G66" s="8" t="n">
        <v>2000</v>
      </c>
      <c r="H66" s="9">
        <f>IFERROR(IF(INDEX(Dólar!$B:$B,MATCH(A66,Dólar!$A:$A,0))="","",INDEX(Dólar!$B:$B,MATCH(A66,Dólar!$A:$A,0))),"")</f>
        <v/>
      </c>
      <c r="I66" s="10">
        <f>IFERROR(INDEX(Dólar!$E:$E,MATCH(A66,Dólar!$A:$A,0)),"")</f>
        <v/>
      </c>
      <c r="J66" s="6" t="inlineStr">
        <is>
          <t>ver anuncio</t>
        </is>
      </c>
      <c r="K66" s="15" t="n">
        <v>46320</v>
      </c>
      <c r="L66" s="16">
        <f>IF(OR($K66="",D66=""),"",IF(COUNTIFS($B:$B,$B66,$A:$A,$K66,D:D,"&gt;=0")=0,"",D66-SUMIFS(D:D,$B:$B,$B66,$A:$A,$K66)))</f>
        <v/>
      </c>
      <c r="M66" s="16">
        <f>IF(OR($K66="",E66=""),"",IF(COUNTIFS($B:$B,$B66,$A:$A,$K66,E:E,"&gt;=0")=0,"",E66-SUMIFS(E:E,$B:$B,$B66,$A:$A,$K66)))</f>
        <v/>
      </c>
      <c r="N66" s="16">
        <f>IF(OR($K66="",F66=""),"",IF(COUNTIFS($B:$B,$B66,$A:$A,$K66,F:F,"&gt;=0")=0,"",F66-SUMIFS(F:F,$B:$B,$B66,$A:$A,$K66)))</f>
        <v/>
      </c>
      <c r="O66" s="16">
        <f>IF(OR($K66="",G66=""),"",IF(COUNTIFS($B:$B,$B66,$A:$A,$K66,G:G,"&gt;=0")=0,"",G66-SUMIFS(G:G,$B:$B,$B66,$A:$A,$K66)))</f>
        <v/>
      </c>
    </row>
    <row r="67">
      <c r="A67" s="15" t="n">
        <v>46321</v>
      </c>
      <c r="B67" s="5" t="inlineStr">
        <is>
          <t>Ryzen 9 9950X</t>
        </is>
      </c>
      <c r="C67" s="5" t="inlineStr">
        <is>
          <t>CPU</t>
        </is>
      </c>
      <c r="D67" s="7" t="n">
        <v>549.99</v>
      </c>
      <c r="E67" s="7" t="n">
        <v>454.99</v>
      </c>
      <c r="F67" s="2" t="n"/>
      <c r="G67" s="2" t="n"/>
      <c r="H67" s="9">
        <f>IFERROR(IF(INDEX(Dólar!$B:$B,MATCH(A67,Dólar!$A:$A,0))="","",INDEX(Dólar!$B:$B,MATCH(A67,Dólar!$A:$A,0))),"")</f>
        <v/>
      </c>
      <c r="I67" s="10">
        <f>IFERROR(INDEX(Dólar!$E:$E,MATCH(A67,Dólar!$A:$A,0)),"")</f>
        <v/>
      </c>
      <c r="J67" s="6" t="inlineStr">
        <is>
          <t>ver anuncio</t>
        </is>
      </c>
      <c r="K67" s="15" t="n">
        <v>46320</v>
      </c>
      <c r="L67" s="16">
        <f>IF(OR($K67="",D67=""),"",IF(COUNTIFS($B:$B,$B67,$A:$A,$K67,D:D,"&gt;=0")=0,"",D67-SUMIFS(D:D,$B:$B,$B67,$A:$A,$K67)))</f>
        <v/>
      </c>
      <c r="M67" s="16">
        <f>IF(OR($K67="",E67=""),"",IF(COUNTIFS($B:$B,$B67,$A:$A,$K67,E:E,"&gt;=0")=0,"",E67-SUMIFS(E:E,$B:$B,$B67,$A:$A,$K67)))</f>
        <v/>
      </c>
      <c r="N67" s="16">
        <f>IF(OR($K67="",F67=""),"",IF(COUNTIFS($B:$B,$B67,$A:$A,$K67,F:F,"&gt;=0")=0,"",F67-SUMIFS(F:F,$B:$B,$B67,$A:$A,$K67)))</f>
        <v/>
      </c>
      <c r="O67" s="16">
        <f>IF(OR($K67="",G67=""),"",IF(COUNTIFS($B:$B,$B67,$A:$A,$K67,G:G,"&gt;=0")=0,"",G67-SUMIFS(G:G,$B:$B,$B67,$A:$A,$K67)))</f>
        <v/>
      </c>
    </row>
    <row r="68">
      <c r="A68" s="15" t="n">
        <v>46321</v>
      </c>
      <c r="B68" s="5" t="inlineStr">
        <is>
          <t>Ryzen 7 7800X3D</t>
        </is>
      </c>
      <c r="C68" s="5" t="inlineStr">
        <is>
          <t>CPU</t>
        </is>
      </c>
      <c r="D68" s="7" t="n">
        <v>329</v>
      </c>
      <c r="E68" s="7" t="n">
        <v>269.99</v>
      </c>
      <c r="F68" s="8" t="n">
        <v>4800</v>
      </c>
      <c r="G68" s="2" t="n"/>
      <c r="H68" s="9">
        <f>IFERROR(IF(INDEX(Dólar!$B:$B,MATCH(A68,Dólar!$A:$A,0))="","",INDEX(Dólar!$B:$B,MATCH(A68,Dólar!$A:$A,0))),"")</f>
        <v/>
      </c>
      <c r="I68" s="10">
        <f>IFERROR(INDEX(Dólar!$E:$E,MATCH(A68,Dólar!$A:$A,0)),"")</f>
        <v/>
      </c>
      <c r="J68" s="6" t="inlineStr">
        <is>
          <t>ver anuncio</t>
        </is>
      </c>
      <c r="K68" s="15" t="n">
        <v>46320</v>
      </c>
      <c r="L68" s="16">
        <f>IF(OR($K68="",D68=""),"",IF(COUNTIFS($B:$B,$B68,$A:$A,$K68,D:D,"&gt;=0")=0,"",D68-SUMIFS(D:D,$B:$B,$B68,$A:$A,$K68)))</f>
        <v/>
      </c>
      <c r="M68" s="16">
        <f>IF(OR($K68="",E68=""),"",IF(COUNTIFS($B:$B,$B68,$A:$A,$K68,E:E,"&gt;=0")=0,"",E68-SUMIFS(E:E,$B:$B,$B68,$A:$A,$K68)))</f>
        <v/>
      </c>
      <c r="N68" s="16">
        <f>IF(OR($K68="",F68=""),"",IF(COUNTIFS($B:$B,$B68,$A:$A,$K68,F:F,"&gt;=0")=0,"",F68-SUMIFS(F:F,$B:$B,$B68,$A:$A,$K68)))</f>
        <v/>
      </c>
      <c r="O68" s="16">
        <f>IF(OR($K68="",G68=""),"",IF(COUNTIFS($B:$B,$B68,$A:$A,$K68,G:G,"&gt;=0")=0,"",G68-SUMIFS(G:G,$B:$B,$B68,$A:$A,$K68)))</f>
        <v/>
      </c>
    </row>
    <row r="69">
      <c r="A69" s="15" t="n">
        <v>46321</v>
      </c>
      <c r="B69" s="5" t="inlineStr">
        <is>
          <t>Ryzen 7 7700X</t>
        </is>
      </c>
      <c r="C69" s="5" t="inlineStr">
        <is>
          <t>CPU</t>
        </is>
      </c>
      <c r="D69" s="7" t="n">
        <v>219</v>
      </c>
      <c r="E69" s="7" t="n">
        <v>189.99</v>
      </c>
      <c r="F69" s="2" t="n"/>
      <c r="G69" s="2" t="n"/>
      <c r="H69" s="9">
        <f>IFERROR(IF(INDEX(Dólar!$B:$B,MATCH(A69,Dólar!$A:$A,0))="","",INDEX(Dólar!$B:$B,MATCH(A69,Dólar!$A:$A,0))),"")</f>
        <v/>
      </c>
      <c r="I69" s="10">
        <f>IFERROR(INDEX(Dólar!$E:$E,MATCH(A69,Dólar!$A:$A,0)),"")</f>
        <v/>
      </c>
      <c r="J69" s="6" t="inlineStr">
        <is>
          <t>ver anuncio</t>
        </is>
      </c>
      <c r="K69" s="15" t="n">
        <v>46320</v>
      </c>
      <c r="L69" s="16">
        <f>IF(OR($K69="",D69=""),"",IF(COUNTIFS($B:$B,$B69,$A:$A,$K69,D:D,"&gt;=0")=0,"",D69-SUMIFS(D:D,$B:$B,$B69,$A:$A,$K69)))</f>
        <v/>
      </c>
      <c r="M69" s="16">
        <f>IF(OR($K69="",E69=""),"",IF(COUNTIFS($B:$B,$B69,$A:$A,$K69,E:E,"&gt;=0")=0,"",E69-SUMIFS(E:E,$B:$B,$B69,$A:$A,$K69)))</f>
        <v/>
      </c>
      <c r="N69" s="16">
        <f>IF(OR($K69="",F69=""),"",IF(COUNTIFS($B:$B,$B69,$A:$A,$K69,F:F,"&gt;=0")=0,"",F69-SUMIFS(F:F,$B:$B,$B69,$A:$A,$K69)))</f>
        <v/>
      </c>
      <c r="O69" s="16">
        <f>IF(OR($K69="",G69=""),"",IF(COUNTIFS($B:$B,$B69,$A:$A,$K69,G:G,"&gt;=0")=0,"",G69-SUMIFS(G:G,$B:$B,$B69,$A:$A,$K69)))</f>
        <v/>
      </c>
    </row>
    <row r="70">
      <c r="A70" s="15" t="n">
        <v>46321</v>
      </c>
      <c r="B70" s="5" t="inlineStr">
        <is>
          <t>Ryzen 7 5700X3D</t>
        </is>
      </c>
      <c r="C70" s="5" t="inlineStr">
        <is>
          <t>CPU</t>
        </is>
      </c>
      <c r="D70" s="2" t="n"/>
      <c r="E70" s="7" t="n">
        <v>336</v>
      </c>
      <c r="F70" s="2" t="n"/>
      <c r="G70" s="2" t="n"/>
      <c r="H70" s="9">
        <f>IFERROR(IF(INDEX(Dólar!$B:$B,MATCH(A70,Dólar!$A:$A,0))="","",INDEX(Dólar!$B:$B,MATCH(A70,Dólar!$A:$A,0))),"")</f>
        <v/>
      </c>
      <c r="I70" s="10">
        <f>IFERROR(INDEX(Dólar!$E:$E,MATCH(A70,Dólar!$A:$A,0)),"")</f>
        <v/>
      </c>
      <c r="J70" s="6" t="inlineStr">
        <is>
          <t>ver anuncio</t>
        </is>
      </c>
      <c r="K70" s="15" t="n">
        <v>46320</v>
      </c>
      <c r="L70" s="16">
        <f>IF(OR($K70="",D70=""),"",IF(COUNTIFS($B:$B,$B70,$A:$A,$K70,D:D,"&gt;=0")=0,"",D70-SUMIFS(D:D,$B:$B,$B70,$A:$A,$K70)))</f>
        <v/>
      </c>
      <c r="M70" s="16">
        <f>IF(OR($K70="",E70=""),"",IF(COUNTIFS($B:$B,$B70,$A:$A,$K70,E:E,"&gt;=0")=0,"",E70-SUMIFS(E:E,$B:$B,$B70,$A:$A,$K70)))</f>
        <v/>
      </c>
      <c r="N70" s="16">
        <f>IF(OR($K70="",F70=""),"",IF(COUNTIFS($B:$B,$B70,$A:$A,$K70,F:F,"&gt;=0")=0,"",F70-SUMIFS(F:F,$B:$B,$B70,$A:$A,$K70)))</f>
        <v/>
      </c>
      <c r="O70" s="16">
        <f>IF(OR($K70="",G70=""),"",IF(COUNTIFS($B:$B,$B70,$A:$A,$K70,G:G,"&gt;=0")=0,"",G70-SUMIFS(G:G,$B:$B,$B70,$A:$A,$K70)))</f>
        <v/>
      </c>
    </row>
    <row r="71">
      <c r="A71" s="15" t="n">
        <v>46321</v>
      </c>
      <c r="B71" s="5" t="inlineStr">
        <is>
          <t>Ryzen 5 7600</t>
        </is>
      </c>
      <c r="C71" s="5" t="inlineStr">
        <is>
          <t>CPU</t>
        </is>
      </c>
      <c r="D71" s="7" t="n">
        <v>199.99</v>
      </c>
      <c r="E71" s="7" t="n">
        <v>119</v>
      </c>
      <c r="F71" s="2" t="n"/>
      <c r="G71" s="2" t="n"/>
      <c r="H71" s="9">
        <f>IFERROR(IF(INDEX(Dólar!$B:$B,MATCH(A71,Dólar!$A:$A,0))="","",INDEX(Dólar!$B:$B,MATCH(A71,Dólar!$A:$A,0))),"")</f>
        <v/>
      </c>
      <c r="I71" s="10">
        <f>IFERROR(INDEX(Dólar!$E:$E,MATCH(A71,Dólar!$A:$A,0)),"")</f>
        <v/>
      </c>
      <c r="J71" s="6" t="inlineStr">
        <is>
          <t>ver anuncio</t>
        </is>
      </c>
      <c r="K71" s="15" t="n">
        <v>46320</v>
      </c>
      <c r="L71" s="16">
        <f>IF(OR($K71="",D71=""),"",IF(COUNTIFS($B:$B,$B71,$A:$A,$K71,D:D,"&gt;=0")=0,"",D71-SUMIFS(D:D,$B:$B,$B71,$A:$A,$K71)))</f>
        <v/>
      </c>
      <c r="M71" s="16">
        <f>IF(OR($K71="",E71=""),"",IF(COUNTIFS($B:$B,$B71,$A:$A,$K71,E:E,"&gt;=0")=0,"",E71-SUMIFS(E:E,$B:$B,$B71,$A:$A,$K71)))</f>
        <v/>
      </c>
      <c r="N71" s="16">
        <f>IF(OR($K71="",F71=""),"",IF(COUNTIFS($B:$B,$B71,$A:$A,$K71,F:F,"&gt;=0")=0,"",F71-SUMIFS(F:F,$B:$B,$B71,$A:$A,$K71)))</f>
        <v/>
      </c>
      <c r="O71" s="16">
        <f>IF(OR($K71="",G71=""),"",IF(COUNTIFS($B:$B,$B71,$A:$A,$K71,G:G,"&gt;=0")=0,"",G71-SUMIFS(G:G,$B:$B,$B71,$A:$A,$K71)))</f>
        <v/>
      </c>
    </row>
    <row r="72">
      <c r="A72" s="15" t="n">
        <v>46321</v>
      </c>
      <c r="B72" s="5" t="inlineStr">
        <is>
          <t>Ryzen 5 7500F</t>
        </is>
      </c>
      <c r="C72" s="5" t="inlineStr">
        <is>
          <t>CPU</t>
        </is>
      </c>
      <c r="D72" s="7" t="n">
        <v>135.6</v>
      </c>
      <c r="E72" s="7" t="n">
        <v>129.99</v>
      </c>
      <c r="F72" s="2" t="n"/>
      <c r="G72" s="2" t="n"/>
      <c r="H72" s="9">
        <f>IFERROR(IF(INDEX(Dólar!$B:$B,MATCH(A72,Dólar!$A:$A,0))="","",INDEX(Dólar!$B:$B,MATCH(A72,Dólar!$A:$A,0))),"")</f>
        <v/>
      </c>
      <c r="I72" s="10">
        <f>IFERROR(INDEX(Dólar!$E:$E,MATCH(A72,Dólar!$A:$A,0)),"")</f>
        <v/>
      </c>
      <c r="J72" s="6" t="inlineStr">
        <is>
          <t>ver anuncio</t>
        </is>
      </c>
      <c r="K72" s="15" t="n">
        <v>46320</v>
      </c>
      <c r="L72" s="16">
        <f>IF(OR($K72="",D72=""),"",IF(COUNTIFS($B:$B,$B72,$A:$A,$K72,D:D,"&gt;=0")=0,"",D72-SUMIFS(D:D,$B:$B,$B72,$A:$A,$K72)))</f>
        <v/>
      </c>
      <c r="M72" s="16">
        <f>IF(OR($K72="",E72=""),"",IF(COUNTIFS($B:$B,$B72,$A:$A,$K72,E:E,"&gt;=0")=0,"",E72-SUMIFS(E:E,$B:$B,$B72,$A:$A,$K72)))</f>
        <v/>
      </c>
      <c r="N72" s="16">
        <f>IF(OR($K72="",F72=""),"",IF(COUNTIFS($B:$B,$B72,$A:$A,$K72,F:F,"&gt;=0")=0,"",F72-SUMIFS(F:F,$B:$B,$B72,$A:$A,$K72)))</f>
        <v/>
      </c>
      <c r="O72" s="16">
        <f>IF(OR($K72="",G72=""),"",IF(COUNTIFS($B:$B,$B72,$A:$A,$K72,G:G,"&gt;=0")=0,"",G72-SUMIFS(G:G,$B:$B,$B72,$A:$A,$K72)))</f>
        <v/>
      </c>
    </row>
    <row r="73">
      <c r="A73" s="15" t="n">
        <v>46321</v>
      </c>
      <c r="B73" s="5" t="inlineStr">
        <is>
          <t>Ryzen 5 5600</t>
        </is>
      </c>
      <c r="C73" s="5" t="inlineStr">
        <is>
          <t>CPU</t>
        </is>
      </c>
      <c r="D73" s="7" t="n">
        <v>138.9</v>
      </c>
      <c r="E73" s="7" t="n">
        <v>135.99</v>
      </c>
      <c r="F73" s="2" t="n"/>
      <c r="G73" s="2" t="n"/>
      <c r="H73" s="9">
        <f>IFERROR(IF(INDEX(Dólar!$B:$B,MATCH(A73,Dólar!$A:$A,0))="","",INDEX(Dólar!$B:$B,MATCH(A73,Dólar!$A:$A,0))),"")</f>
        <v/>
      </c>
      <c r="I73" s="10">
        <f>IFERROR(INDEX(Dólar!$E:$E,MATCH(A73,Dólar!$A:$A,0)),"")</f>
        <v/>
      </c>
      <c r="J73" s="6" t="inlineStr">
        <is>
          <t>ver anuncio</t>
        </is>
      </c>
      <c r="K73" s="15" t="n">
        <v>46320</v>
      </c>
      <c r="L73" s="16">
        <f>IF(OR($K73="",D73=""),"",IF(COUNTIFS($B:$B,$B73,$A:$A,$K73,D:D,"&gt;=0")=0,"",D73-SUMIFS(D:D,$B:$B,$B73,$A:$A,$K73)))</f>
        <v/>
      </c>
      <c r="M73" s="16">
        <f>IF(OR($K73="",E73=""),"",IF(COUNTIFS($B:$B,$B73,$A:$A,$K73,E:E,"&gt;=0")=0,"",E73-SUMIFS(E:E,$B:$B,$B73,$A:$A,$K73)))</f>
        <v/>
      </c>
      <c r="N73" s="16">
        <f>IF(OR($K73="",F73=""),"",IF(COUNTIFS($B:$B,$B73,$A:$A,$K73,F:F,"&gt;=0")=0,"",F73-SUMIFS(F:F,$B:$B,$B73,$A:$A,$K73)))</f>
        <v/>
      </c>
      <c r="O73" s="16">
        <f>IF(OR($K73="",G73=""),"",IF(COUNTIFS($B:$B,$B73,$A:$A,$K73,G:G,"&gt;=0")=0,"",G73-SUMIFS(G:G,$B:$B,$B73,$A:$A,$K73)))</f>
        <v/>
      </c>
    </row>
    <row r="74">
      <c r="A74" s="15" t="n">
        <v>46321</v>
      </c>
      <c r="B74" s="5" t="inlineStr">
        <is>
          <t>RAM DDR4 16GB (2x8) 3200</t>
        </is>
      </c>
      <c r="C74" s="5" t="inlineStr">
        <is>
          <t>RAM</t>
        </is>
      </c>
      <c r="D74" s="7" t="n">
        <v>109</v>
      </c>
      <c r="E74" s="7" t="n">
        <v>59.99</v>
      </c>
      <c r="F74" s="2" t="n"/>
      <c r="G74" s="2" t="n"/>
      <c r="H74" s="9">
        <f>IFERROR(IF(INDEX(Dólar!$B:$B,MATCH(A74,Dólar!$A:$A,0))="","",INDEX(Dólar!$B:$B,MATCH(A74,Dólar!$A:$A,0))),"")</f>
        <v/>
      </c>
      <c r="I74" s="10">
        <f>IFERROR(INDEX(Dólar!$E:$E,MATCH(A74,Dólar!$A:$A,0)),"")</f>
        <v/>
      </c>
      <c r="J74" s="6" t="inlineStr">
        <is>
          <t>ver anuncio</t>
        </is>
      </c>
      <c r="K74" s="15" t="n">
        <v>46320</v>
      </c>
      <c r="L74" s="16">
        <f>IF(OR($K74="",D74=""),"",IF(COUNTIFS($B:$B,$B74,$A:$A,$K74,D:D,"&gt;=0")=0,"",D74-SUMIFS(D:D,$B:$B,$B74,$A:$A,$K74)))</f>
        <v/>
      </c>
      <c r="M74" s="16">
        <f>IF(OR($K74="",E74=""),"",IF(COUNTIFS($B:$B,$B74,$A:$A,$K74,E:E,"&gt;=0")=0,"",E74-SUMIFS(E:E,$B:$B,$B74,$A:$A,$K74)))</f>
        <v/>
      </c>
      <c r="N74" s="16">
        <f>IF(OR($K74="",F74=""),"",IF(COUNTIFS($B:$B,$B74,$A:$A,$K74,F:F,"&gt;=0")=0,"",F74-SUMIFS(F:F,$B:$B,$B74,$A:$A,$K74)))</f>
        <v/>
      </c>
      <c r="O74" s="16">
        <f>IF(OR($K74="",G74=""),"",IF(COUNTIFS($B:$B,$B74,$A:$A,$K74,G:G,"&gt;=0")=0,"",G74-SUMIFS(G:G,$B:$B,$B74,$A:$A,$K74)))</f>
        <v/>
      </c>
    </row>
    <row r="75">
      <c r="A75" s="15" t="n">
        <v>46321</v>
      </c>
      <c r="B75" s="5" t="inlineStr">
        <is>
          <t>Intel Core i5-14400F</t>
        </is>
      </c>
      <c r="C75" s="5" t="inlineStr">
        <is>
          <t>CPU</t>
        </is>
      </c>
      <c r="D75" s="7" t="n">
        <v>164.49</v>
      </c>
      <c r="E75" s="7" t="n">
        <v>129.99</v>
      </c>
      <c r="F75" s="2" t="n"/>
      <c r="G75" s="2" t="n"/>
      <c r="H75" s="9">
        <f>IFERROR(IF(INDEX(Dólar!$B:$B,MATCH(A75,Dólar!$A:$A,0))="","",INDEX(Dólar!$B:$B,MATCH(A75,Dólar!$A:$A,0))),"")</f>
        <v/>
      </c>
      <c r="I75" s="10">
        <f>IFERROR(INDEX(Dólar!$E:$E,MATCH(A75,Dólar!$A:$A,0)),"")</f>
        <v/>
      </c>
      <c r="J75" s="6" t="inlineStr">
        <is>
          <t>ver anuncio</t>
        </is>
      </c>
      <c r="K75" s="15" t="n">
        <v>46320</v>
      </c>
      <c r="L75" s="16">
        <f>IF(OR($K75="",D75=""),"",IF(COUNTIFS($B:$B,$B75,$A:$A,$K75,D:D,"&gt;=0")=0,"",D75-SUMIFS(D:D,$B:$B,$B75,$A:$A,$K75)))</f>
        <v/>
      </c>
      <c r="M75" s="16">
        <f>IF(OR($K75="",E75=""),"",IF(COUNTIFS($B:$B,$B75,$A:$A,$K75,E:E,"&gt;=0")=0,"",E75-SUMIFS(E:E,$B:$B,$B75,$A:$A,$K75)))</f>
        <v/>
      </c>
      <c r="N75" s="16">
        <f>IF(OR($K75="",F75=""),"",IF(COUNTIFS($B:$B,$B75,$A:$A,$K75,F:F,"&gt;=0")=0,"",F75-SUMIFS(F:F,$B:$B,$B75,$A:$A,$K75)))</f>
        <v/>
      </c>
      <c r="O75" s="16">
        <f>IF(OR($K75="",G75=""),"",IF(COUNTIFS($B:$B,$B75,$A:$A,$K75,G:G,"&gt;=0")=0,"",G75-SUMIFS(G:G,$B:$B,$B75,$A:$A,$K75)))</f>
        <v/>
      </c>
    </row>
    <row r="76">
      <c r="A76" s="15" t="n">
        <v>46321</v>
      </c>
      <c r="B76" s="5" t="inlineStr">
        <is>
          <t>Intel Core i5-13400</t>
        </is>
      </c>
      <c r="C76" s="5" t="inlineStr">
        <is>
          <t>CPU</t>
        </is>
      </c>
      <c r="D76" s="2" t="n"/>
      <c r="E76" s="7" t="n">
        <v>150</v>
      </c>
      <c r="F76" s="2" t="n"/>
      <c r="G76" s="2" t="n"/>
      <c r="H76" s="9">
        <f>IFERROR(IF(INDEX(Dólar!$B:$B,MATCH(A76,Dólar!$A:$A,0))="","",INDEX(Dólar!$B:$B,MATCH(A76,Dólar!$A:$A,0))),"")</f>
        <v/>
      </c>
      <c r="I76" s="10">
        <f>IFERROR(INDEX(Dólar!$E:$E,MATCH(A76,Dólar!$A:$A,0)),"")</f>
        <v/>
      </c>
      <c r="J76" s="6" t="inlineStr">
        <is>
          <t>ver anuncio</t>
        </is>
      </c>
      <c r="K76" s="15" t="n">
        <v>46320</v>
      </c>
      <c r="L76" s="16">
        <f>IF(OR($K76="",D76=""),"",IF(COUNTIFS($B:$B,$B76,$A:$A,$K76,D:D,"&gt;=0")=0,"",D76-SUMIFS(D:D,$B:$B,$B76,$A:$A,$K76)))</f>
        <v/>
      </c>
      <c r="M76" s="16">
        <f>IF(OR($K76="",E76=""),"",IF(COUNTIFS($B:$B,$B76,$A:$A,$K76,E:E,"&gt;=0")=0,"",E76-SUMIFS(E:E,$B:$B,$B76,$A:$A,$K76)))</f>
        <v/>
      </c>
      <c r="N76" s="16">
        <f>IF(OR($K76="",F76=""),"",IF(COUNTIFS($B:$B,$B76,$A:$A,$K76,F:F,"&gt;=0")=0,"",F76-SUMIFS(F:F,$B:$B,$B76,$A:$A,$K76)))</f>
        <v/>
      </c>
      <c r="O76" s="16">
        <f>IF(OR($K76="",G76=""),"",IF(COUNTIFS($B:$B,$B76,$A:$A,$K76,G:G,"&gt;=0")=0,"",G76-SUMIFS(G:G,$B:$B,$B76,$A:$A,$K76)))</f>
        <v/>
      </c>
    </row>
    <row r="77">
      <c r="A77" s="15" t="n">
        <v>46321</v>
      </c>
      <c r="B77" s="5" t="inlineStr">
        <is>
          <t>Intel Core i5-12400F</t>
        </is>
      </c>
      <c r="C77" s="5" t="inlineStr">
        <is>
          <t>CPU</t>
        </is>
      </c>
      <c r="D77" s="7" t="n">
        <v>140</v>
      </c>
      <c r="E77" s="7" t="n">
        <v>119.99</v>
      </c>
      <c r="F77" s="2" t="n"/>
      <c r="G77" s="2" t="n"/>
      <c r="H77" s="9">
        <f>IFERROR(IF(INDEX(Dólar!$B:$B,MATCH(A77,Dólar!$A:$A,0))="","",INDEX(Dólar!$B:$B,MATCH(A77,Dólar!$A:$A,0))),"")</f>
        <v/>
      </c>
      <c r="I77" s="10">
        <f>IFERROR(INDEX(Dólar!$E:$E,MATCH(A77,Dólar!$A:$A,0)),"")</f>
        <v/>
      </c>
      <c r="J77" s="6" t="inlineStr">
        <is>
          <t>ver anuncio</t>
        </is>
      </c>
      <c r="K77" s="15" t="n">
        <v>46320</v>
      </c>
      <c r="L77" s="16">
        <f>IF(OR($K77="",D77=""),"",IF(COUNTIFS($B:$B,$B77,$A:$A,$K77,D:D,"&gt;=0")=0,"",D77-SUMIFS(D:D,$B:$B,$B77,$A:$A,$K77)))</f>
        <v/>
      </c>
      <c r="M77" s="16">
        <f>IF(OR($K77="",E77=""),"",IF(COUNTIFS($B:$B,$B77,$A:$A,$K77,E:E,"&gt;=0")=0,"",E77-SUMIFS(E:E,$B:$B,$B77,$A:$A,$K77)))</f>
        <v/>
      </c>
      <c r="N77" s="16">
        <f>IF(OR($K77="",F77=""),"",IF(COUNTIFS($B:$B,$B77,$A:$A,$K77,F:F,"&gt;=0")=0,"",F77-SUMIFS(F:F,$B:$B,$B77,$A:$A,$K77)))</f>
        <v/>
      </c>
      <c r="O77" s="16">
        <f>IF(OR($K77="",G77=""),"",IF(COUNTIFS($B:$B,$B77,$A:$A,$K77,G:G,"&gt;=0")=0,"",G77-SUMIFS(G:G,$B:$B,$B77,$A:$A,$K77)))</f>
        <v/>
      </c>
    </row>
    <row r="78">
      <c r="A78" s="15" t="n">
        <v>46321</v>
      </c>
      <c r="B78" s="5" t="inlineStr">
        <is>
          <t>Intel Core Ultra 7 265K</t>
        </is>
      </c>
      <c r="C78" s="5" t="inlineStr">
        <is>
          <t>CPU</t>
        </is>
      </c>
      <c r="D78" s="7" t="n">
        <v>259.99</v>
      </c>
      <c r="E78" s="2" t="n"/>
      <c r="F78" s="2" t="n"/>
      <c r="G78" s="2" t="n"/>
      <c r="H78" s="9">
        <f>IFERROR(IF(INDEX(Dólar!$B:$B,MATCH(A78,Dólar!$A:$A,0))="","",INDEX(Dólar!$B:$B,MATCH(A78,Dólar!$A:$A,0))),"")</f>
        <v/>
      </c>
      <c r="I78" s="10">
        <f>IFERROR(INDEX(Dólar!$E:$E,MATCH(A78,Dólar!$A:$A,0)),"")</f>
        <v/>
      </c>
      <c r="J78" s="6" t="inlineStr">
        <is>
          <t>ver anuncio</t>
        </is>
      </c>
      <c r="K78" s="15" t="n">
        <v>46320</v>
      </c>
      <c r="L78" s="16">
        <f>IF(OR($K78="",D78=""),"",IF(COUNTIFS($B:$B,$B78,$A:$A,$K78,D:D,"&gt;=0")=0,"",D78-SUMIFS(D:D,$B:$B,$B78,$A:$A,$K78)))</f>
        <v/>
      </c>
      <c r="M78" s="16">
        <f>IF(OR($K78="",E78=""),"",IF(COUNTIFS($B:$B,$B78,$A:$A,$K78,E:E,"&gt;=0")=0,"",E78-SUMIFS(E:E,$B:$B,$B78,$A:$A,$K78)))</f>
        <v/>
      </c>
      <c r="N78" s="16">
        <f>IF(OR($K78="",F78=""),"",IF(COUNTIFS($B:$B,$B78,$A:$A,$K78,F:F,"&gt;=0")=0,"",F78-SUMIFS(F:F,$B:$B,$B78,$A:$A,$K78)))</f>
        <v/>
      </c>
      <c r="O78" s="16">
        <f>IF(OR($K78="",G78=""),"",IF(COUNTIFS($B:$B,$B78,$A:$A,$K78,G:G,"&gt;=0")=0,"",G78-SUMIFS(G:G,$B:$B,$B78,$A:$A,$K78)))</f>
        <v/>
      </c>
    </row>
    <row r="79">
      <c r="A79" s="15" t="n">
        <v>46321</v>
      </c>
      <c r="B79" s="5" t="inlineStr">
        <is>
          <t>Corsair Vengeance RGB DDR5 32GB (2x16) 6000</t>
        </is>
      </c>
      <c r="C79" s="5" t="inlineStr">
        <is>
          <t>RAM</t>
        </is>
      </c>
      <c r="D79" s="7" t="n">
        <v>450</v>
      </c>
      <c r="E79" s="7" t="n">
        <v>399.99</v>
      </c>
      <c r="F79" s="2" t="n"/>
      <c r="G79" s="2" t="n"/>
      <c r="H79" s="9">
        <f>IFERROR(IF(INDEX(Dólar!$B:$B,MATCH(A79,Dólar!$A:$A,0))="","",INDEX(Dólar!$B:$B,MATCH(A79,Dólar!$A:$A,0))),"")</f>
        <v/>
      </c>
      <c r="I79" s="10">
        <f>IFERROR(INDEX(Dólar!$E:$E,MATCH(A79,Dólar!$A:$A,0)),"")</f>
        <v/>
      </c>
      <c r="J79" s="6" t="inlineStr">
        <is>
          <t>ver anuncio</t>
        </is>
      </c>
      <c r="K79" s="15" t="n">
        <v>46320</v>
      </c>
      <c r="L79" s="16">
        <f>IF(OR($K79="",D79=""),"",IF(COUNTIFS($B:$B,$B79,$A:$A,$K79,D:D,"&gt;=0")=0,"",D79-SUMIFS(D:D,$B:$B,$B79,$A:$A,$K79)))</f>
        <v/>
      </c>
      <c r="M79" s="16">
        <f>IF(OR($K79="",E79=""),"",IF(COUNTIFS($B:$B,$B79,$A:$A,$K79,E:E,"&gt;=0")=0,"",E79-SUMIFS(E:E,$B:$B,$B79,$A:$A,$K79)))</f>
        <v/>
      </c>
      <c r="N79" s="16">
        <f>IF(OR($K79="",F79=""),"",IF(COUNTIFS($B:$B,$B79,$A:$A,$K79,F:F,"&gt;=0")=0,"",F79-SUMIFS(F:F,$B:$B,$B79,$A:$A,$K79)))</f>
        <v/>
      </c>
      <c r="O79" s="16">
        <f>IF(OR($K79="",G79=""),"",IF(COUNTIFS($B:$B,$B79,$A:$A,$K79,G:G,"&gt;=0")=0,"",G79-SUMIFS(G:G,$B:$B,$B79,$A:$A,$K79)))</f>
        <v/>
      </c>
    </row>
    <row r="80">
      <c r="A80" s="15" t="n">
        <v>46321</v>
      </c>
      <c r="B80" s="5" t="inlineStr">
        <is>
          <t>Corsair Vengeance RGB DDR5 32GB (2x16) 5600</t>
        </is>
      </c>
      <c r="C80" s="5" t="inlineStr">
        <is>
          <t>RAM</t>
        </is>
      </c>
      <c r="D80" s="7" t="n">
        <v>459</v>
      </c>
      <c r="E80" s="7" t="n">
        <v>389.99</v>
      </c>
      <c r="F80" s="2" t="n"/>
      <c r="G80" s="2" t="n"/>
      <c r="H80" s="9">
        <f>IFERROR(IF(INDEX(Dólar!$B:$B,MATCH(A80,Dólar!$A:$A,0))="","",INDEX(Dólar!$B:$B,MATCH(A80,Dólar!$A:$A,0))),"")</f>
        <v/>
      </c>
      <c r="I80" s="10">
        <f>IFERROR(INDEX(Dólar!$E:$E,MATCH(A80,Dólar!$A:$A,0)),"")</f>
        <v/>
      </c>
      <c r="J80" s="6" t="inlineStr">
        <is>
          <t>ver anuncio</t>
        </is>
      </c>
      <c r="K80" s="15" t="n">
        <v>46320</v>
      </c>
      <c r="L80" s="16">
        <f>IF(OR($K80="",D80=""),"",IF(COUNTIFS($B:$B,$B80,$A:$A,$K80,D:D,"&gt;=0")=0,"",D80-SUMIFS(D:D,$B:$B,$B80,$A:$A,$K80)))</f>
        <v/>
      </c>
      <c r="M80" s="16">
        <f>IF(OR($K80="",E80=""),"",IF(COUNTIFS($B:$B,$B80,$A:$A,$K80,E:E,"&gt;=0")=0,"",E80-SUMIFS(E:E,$B:$B,$B80,$A:$A,$K80)))</f>
        <v/>
      </c>
      <c r="N80" s="16">
        <f>IF(OR($K80="",F80=""),"",IF(COUNTIFS($B:$B,$B80,$A:$A,$K80,F:F,"&gt;=0")=0,"",F80-SUMIFS(F:F,$B:$B,$B80,$A:$A,$K80)))</f>
        <v/>
      </c>
      <c r="O80" s="16">
        <f>IF(OR($K80="",G80=""),"",IF(COUNTIFS($B:$B,$B80,$A:$A,$K80,G:G,"&gt;=0")=0,"",G80-SUMIFS(G:G,$B:$B,$B80,$A:$A,$K80)))</f>
        <v/>
      </c>
    </row>
    <row r="81">
      <c r="A81" s="15" t="n">
        <v>46320</v>
      </c>
      <c r="B81" s="5" t="inlineStr">
        <is>
          <t>SSD NVMe 2TB</t>
        </is>
      </c>
      <c r="C81" s="5" t="inlineStr">
        <is>
          <t>SSD</t>
        </is>
      </c>
      <c r="D81" s="7" t="n">
        <v>185</v>
      </c>
      <c r="E81" s="7" t="n">
        <v>169.99</v>
      </c>
      <c r="F81" s="2" t="n"/>
      <c r="G81" s="2" t="n"/>
      <c r="H81" s="9">
        <f>IFERROR(IF(INDEX(Dólar!$B:$B,MATCH(A81,Dólar!$A:$A,0))="","",INDEX(Dólar!$B:$B,MATCH(A81,Dólar!$A:$A,0))),"")</f>
        <v/>
      </c>
      <c r="I81" s="10">
        <f>IFERROR(INDEX(Dólar!$E:$E,MATCH(A81,Dólar!$A:$A,0)),"")</f>
        <v/>
      </c>
      <c r="J81" s="6" t="inlineStr">
        <is>
          <t>ver anuncio</t>
        </is>
      </c>
      <c r="K81" s="15" t="n">
        <v>46319</v>
      </c>
      <c r="L81" s="16">
        <f>IF(OR($K81="",D81=""),"",IF(COUNTIFS($B:$B,$B81,$A:$A,$K81,D:D,"&gt;=0")=0,"",D81-SUMIFS(D:D,$B:$B,$B81,$A:$A,$K81)))</f>
        <v/>
      </c>
      <c r="M81" s="16">
        <f>IF(OR($K81="",E81=""),"",IF(COUNTIFS($B:$B,$B81,$A:$A,$K81,E:E,"&gt;=0")=0,"",E81-SUMIFS(E:E,$B:$B,$B81,$A:$A,$K81)))</f>
        <v/>
      </c>
      <c r="N81" s="16">
        <f>IF(OR($K81="",F81=""),"",IF(COUNTIFS($B:$B,$B81,$A:$A,$K81,F:F,"&gt;=0")=0,"",F81-SUMIFS(F:F,$B:$B,$B81,$A:$A,$K81)))</f>
        <v/>
      </c>
      <c r="O81" s="16">
        <f>IF(OR($K81="",G81=""),"",IF(COUNTIFS($B:$B,$B81,$A:$A,$K81,G:G,"&gt;=0")=0,"",G81-SUMIFS(G:G,$B:$B,$B81,$A:$A,$K81)))</f>
        <v/>
      </c>
    </row>
    <row r="82">
      <c r="A82" s="15" t="n">
        <v>46320</v>
      </c>
      <c r="B82" s="5" t="inlineStr">
        <is>
          <t>SSD NVMe 1TB</t>
        </is>
      </c>
      <c r="C82" s="5" t="inlineStr">
        <is>
          <t>SSD</t>
        </is>
      </c>
      <c r="D82" s="7" t="n">
        <v>114.99</v>
      </c>
      <c r="E82" s="7" t="n">
        <v>85</v>
      </c>
      <c r="F82" s="2" t="n"/>
      <c r="G82" s="2" t="n"/>
      <c r="H82" s="9">
        <f>IFERROR(IF(INDEX(Dólar!$B:$B,MATCH(A82,Dólar!$A:$A,0))="","",INDEX(Dólar!$B:$B,MATCH(A82,Dólar!$A:$A,0))),"")</f>
        <v/>
      </c>
      <c r="I82" s="10">
        <f>IFERROR(INDEX(Dólar!$E:$E,MATCH(A82,Dólar!$A:$A,0)),"")</f>
        <v/>
      </c>
      <c r="J82" s="6" t="inlineStr">
        <is>
          <t>ver anuncio</t>
        </is>
      </c>
      <c r="K82" s="15" t="n">
        <v>46319</v>
      </c>
      <c r="L82" s="16">
        <f>IF(OR($K82="",D82=""),"",IF(COUNTIFS($B:$B,$B82,$A:$A,$K82,D:D,"&gt;=0")=0,"",D82-SUMIFS(D:D,$B:$B,$B82,$A:$A,$K82)))</f>
        <v/>
      </c>
      <c r="M82" s="16">
        <f>IF(OR($K82="",E82=""),"",IF(COUNTIFS($B:$B,$B82,$A:$A,$K82,E:E,"&gt;=0")=0,"",E82-SUMIFS(E:E,$B:$B,$B82,$A:$A,$K82)))</f>
        <v/>
      </c>
      <c r="N82" s="16">
        <f>IF(OR($K82="",F82=""),"",IF(COUNTIFS($B:$B,$B82,$A:$A,$K82,F:F,"&gt;=0")=0,"",F82-SUMIFS(F:F,$B:$B,$B82,$A:$A,$K82)))</f>
        <v/>
      </c>
      <c r="O82" s="16">
        <f>IF(OR($K82="",G82=""),"",IF(COUNTIFS($B:$B,$B82,$A:$A,$K82,G:G,"&gt;=0")=0,"",G82-SUMIFS(G:G,$B:$B,$B82,$A:$A,$K82)))</f>
        <v/>
      </c>
    </row>
    <row r="83">
      <c r="A83" s="15" t="n">
        <v>46320</v>
      </c>
      <c r="B83" s="5" t="inlineStr">
        <is>
          <t>Ryzen 9 9950X</t>
        </is>
      </c>
      <c r="C83" s="5" t="inlineStr">
        <is>
          <t>CPU</t>
        </is>
      </c>
      <c r="D83" s="7" t="n">
        <v>549.99</v>
      </c>
      <c r="E83" s="7" t="n">
        <v>454.99</v>
      </c>
      <c r="F83" s="2" t="n"/>
      <c r="G83" s="2" t="n"/>
      <c r="H83" s="9">
        <f>IFERROR(IF(INDEX(Dólar!$B:$B,MATCH(A83,Dólar!$A:$A,0))="","",INDEX(Dólar!$B:$B,MATCH(A83,Dólar!$A:$A,0))),"")</f>
        <v/>
      </c>
      <c r="I83" s="10">
        <f>IFERROR(INDEX(Dólar!$E:$E,MATCH(A83,Dólar!$A:$A,0)),"")</f>
        <v/>
      </c>
      <c r="J83" s="6" t="inlineStr">
        <is>
          <t>ver anuncio</t>
        </is>
      </c>
      <c r="K83" s="15" t="n">
        <v>46319</v>
      </c>
      <c r="L83" s="16">
        <f>IF(OR($K83="",D83=""),"",IF(COUNTIFS($B:$B,$B83,$A:$A,$K83,D:D,"&gt;=0")=0,"",D83-SUMIFS(D:D,$B:$B,$B83,$A:$A,$K83)))</f>
        <v/>
      </c>
      <c r="M83" s="16">
        <f>IF(OR($K83="",E83=""),"",IF(COUNTIFS($B:$B,$B83,$A:$A,$K83,E:E,"&gt;=0")=0,"",E83-SUMIFS(E:E,$B:$B,$B83,$A:$A,$K83)))</f>
        <v/>
      </c>
      <c r="N83" s="16">
        <f>IF(OR($K83="",F83=""),"",IF(COUNTIFS($B:$B,$B83,$A:$A,$K83,F:F,"&gt;=0")=0,"",F83-SUMIFS(F:F,$B:$B,$B83,$A:$A,$K83)))</f>
        <v/>
      </c>
      <c r="O83" s="16">
        <f>IF(OR($K83="",G83=""),"",IF(COUNTIFS($B:$B,$B83,$A:$A,$K83,G:G,"&gt;=0")=0,"",G83-SUMIFS(G:G,$B:$B,$B83,$A:$A,$K83)))</f>
        <v/>
      </c>
    </row>
    <row r="84">
      <c r="A84" s="15" t="n">
        <v>46320</v>
      </c>
      <c r="B84" s="5" t="inlineStr">
        <is>
          <t>Ryzen 7 7800X3D</t>
        </is>
      </c>
      <c r="C84" s="5" t="inlineStr">
        <is>
          <t>CPU</t>
        </is>
      </c>
      <c r="D84" s="7" t="n">
        <v>329</v>
      </c>
      <c r="E84" s="7" t="n">
        <v>275</v>
      </c>
      <c r="F84" s="2" t="n"/>
      <c r="G84" s="2" t="n"/>
      <c r="H84" s="9">
        <f>IFERROR(IF(INDEX(Dólar!$B:$B,MATCH(A84,Dólar!$A:$A,0))="","",INDEX(Dólar!$B:$B,MATCH(A84,Dólar!$A:$A,0))),"")</f>
        <v/>
      </c>
      <c r="I84" s="10">
        <f>IFERROR(INDEX(Dólar!$E:$E,MATCH(A84,Dólar!$A:$A,0)),"")</f>
        <v/>
      </c>
      <c r="J84" s="6" t="inlineStr">
        <is>
          <t>ver anuncio</t>
        </is>
      </c>
      <c r="K84" s="15" t="n">
        <v>46319</v>
      </c>
      <c r="L84" s="16">
        <f>IF(OR($K84="",D84=""),"",IF(COUNTIFS($B:$B,$B84,$A:$A,$K84,D:D,"&gt;=0")=0,"",D84-SUMIFS(D:D,$B:$B,$B84,$A:$A,$K84)))</f>
        <v/>
      </c>
      <c r="M84" s="16">
        <f>IF(OR($K84="",E84=""),"",IF(COUNTIFS($B:$B,$B84,$A:$A,$K84,E:E,"&gt;=0")=0,"",E84-SUMIFS(E:E,$B:$B,$B84,$A:$A,$K84)))</f>
        <v/>
      </c>
      <c r="N84" s="16">
        <f>IF(OR($K84="",F84=""),"",IF(COUNTIFS($B:$B,$B84,$A:$A,$K84,F:F,"&gt;=0")=0,"",F84-SUMIFS(F:F,$B:$B,$B84,$A:$A,$K84)))</f>
        <v/>
      </c>
      <c r="O84" s="16">
        <f>IF(OR($K84="",G84=""),"",IF(COUNTIFS($B:$B,$B84,$A:$A,$K84,G:G,"&gt;=0")=0,"",G84-SUMIFS(G:G,$B:$B,$B84,$A:$A,$K84)))</f>
        <v/>
      </c>
    </row>
    <row r="85">
      <c r="A85" s="15" t="n">
        <v>46320</v>
      </c>
      <c r="B85" s="5" t="inlineStr">
        <is>
          <t>Ryzen 7 7700X</t>
        </is>
      </c>
      <c r="C85" s="5" t="inlineStr">
        <is>
          <t>CPU</t>
        </is>
      </c>
      <c r="D85" s="7" t="n">
        <v>219</v>
      </c>
      <c r="E85" s="7" t="n">
        <v>149</v>
      </c>
      <c r="F85" s="2" t="n"/>
      <c r="G85" s="2" t="n"/>
      <c r="H85" s="9">
        <f>IFERROR(IF(INDEX(Dólar!$B:$B,MATCH(A85,Dólar!$A:$A,0))="","",INDEX(Dólar!$B:$B,MATCH(A85,Dólar!$A:$A,0))),"")</f>
        <v/>
      </c>
      <c r="I85" s="10">
        <f>IFERROR(INDEX(Dólar!$E:$E,MATCH(A85,Dólar!$A:$A,0)),"")</f>
        <v/>
      </c>
      <c r="J85" s="6" t="inlineStr">
        <is>
          <t>ver anuncio</t>
        </is>
      </c>
      <c r="K85" s="15" t="n">
        <v>46319</v>
      </c>
      <c r="L85" s="16">
        <f>IF(OR($K85="",D85=""),"",IF(COUNTIFS($B:$B,$B85,$A:$A,$K85,D:D,"&gt;=0")=0,"",D85-SUMIFS(D:D,$B:$B,$B85,$A:$A,$K85)))</f>
        <v/>
      </c>
      <c r="M85" s="16">
        <f>IF(OR($K85="",E85=""),"",IF(COUNTIFS($B:$B,$B85,$A:$A,$K85,E:E,"&gt;=0")=0,"",E85-SUMIFS(E:E,$B:$B,$B85,$A:$A,$K85)))</f>
        <v/>
      </c>
      <c r="N85" s="16">
        <f>IF(OR($K85="",F85=""),"",IF(COUNTIFS($B:$B,$B85,$A:$A,$K85,F:F,"&gt;=0")=0,"",F85-SUMIFS(F:F,$B:$B,$B85,$A:$A,$K85)))</f>
        <v/>
      </c>
      <c r="O85" s="16">
        <f>IF(OR($K85="",G85=""),"",IF(COUNTIFS($B:$B,$B85,$A:$A,$K85,G:G,"&gt;=0")=0,"",G85-SUMIFS(G:G,$B:$B,$B85,$A:$A,$K85)))</f>
        <v/>
      </c>
    </row>
    <row r="86">
      <c r="A86" s="15" t="n">
        <v>46320</v>
      </c>
      <c r="B86" s="5" t="inlineStr">
        <is>
          <t>Ryzen 7 5700X3D</t>
        </is>
      </c>
      <c r="C86" s="5" t="inlineStr">
        <is>
          <t>CPU</t>
        </is>
      </c>
      <c r="D86" s="2" t="n"/>
      <c r="E86" s="7" t="n">
        <v>299.5</v>
      </c>
      <c r="F86" s="2" t="n"/>
      <c r="G86" s="2" t="n"/>
      <c r="H86" s="9">
        <f>IFERROR(IF(INDEX(Dólar!$B:$B,MATCH(A86,Dólar!$A:$A,0))="","",INDEX(Dólar!$B:$B,MATCH(A86,Dólar!$A:$A,0))),"")</f>
        <v/>
      </c>
      <c r="I86" s="10">
        <f>IFERROR(INDEX(Dólar!$E:$E,MATCH(A86,Dólar!$A:$A,0)),"")</f>
        <v/>
      </c>
      <c r="J86" s="6" t="inlineStr">
        <is>
          <t>ver anuncio</t>
        </is>
      </c>
      <c r="K86" s="15" t="n">
        <v>46319</v>
      </c>
      <c r="L86" s="16">
        <f>IF(OR($K86="",D86=""),"",IF(COUNTIFS($B:$B,$B86,$A:$A,$K86,D:D,"&gt;=0")=0,"",D86-SUMIFS(D:D,$B:$B,$B86,$A:$A,$K86)))</f>
        <v/>
      </c>
      <c r="M86" s="16">
        <f>IF(OR($K86="",E86=""),"",IF(COUNTIFS($B:$B,$B86,$A:$A,$K86,E:E,"&gt;=0")=0,"",E86-SUMIFS(E:E,$B:$B,$B86,$A:$A,$K86)))</f>
        <v/>
      </c>
      <c r="N86" s="16">
        <f>IF(OR($K86="",F86=""),"",IF(COUNTIFS($B:$B,$B86,$A:$A,$K86,F:F,"&gt;=0")=0,"",F86-SUMIFS(F:F,$B:$B,$B86,$A:$A,$K86)))</f>
        <v/>
      </c>
      <c r="O86" s="16">
        <f>IF(OR($K86="",G86=""),"",IF(COUNTIFS($B:$B,$B86,$A:$A,$K86,G:G,"&gt;=0")=0,"",G86-SUMIFS(G:G,$B:$B,$B86,$A:$A,$K86)))</f>
        <v/>
      </c>
    </row>
    <row r="87">
      <c r="A87" s="15" t="n">
        <v>46320</v>
      </c>
      <c r="B87" s="5" t="inlineStr">
        <is>
          <t>Ryzen 5 7600</t>
        </is>
      </c>
      <c r="C87" s="5" t="inlineStr">
        <is>
          <t>CPU</t>
        </is>
      </c>
      <c r="D87" s="7" t="n">
        <v>199.99</v>
      </c>
      <c r="E87" s="7" t="n">
        <v>119</v>
      </c>
      <c r="F87" s="2" t="n"/>
      <c r="G87" s="2" t="n"/>
      <c r="H87" s="9">
        <f>IFERROR(IF(INDEX(Dólar!$B:$B,MATCH(A87,Dólar!$A:$A,0))="","",INDEX(Dólar!$B:$B,MATCH(A87,Dólar!$A:$A,0))),"")</f>
        <v/>
      </c>
      <c r="I87" s="10">
        <f>IFERROR(INDEX(Dólar!$E:$E,MATCH(A87,Dólar!$A:$A,0)),"")</f>
        <v/>
      </c>
      <c r="J87" s="6" t="inlineStr">
        <is>
          <t>ver anuncio</t>
        </is>
      </c>
      <c r="K87" s="15" t="n">
        <v>46319</v>
      </c>
      <c r="L87" s="16">
        <f>IF(OR($K87="",D87=""),"",IF(COUNTIFS($B:$B,$B87,$A:$A,$K87,D:D,"&gt;=0")=0,"",D87-SUMIFS(D:D,$B:$B,$B87,$A:$A,$K87)))</f>
        <v/>
      </c>
      <c r="M87" s="16">
        <f>IF(OR($K87="",E87=""),"",IF(COUNTIFS($B:$B,$B87,$A:$A,$K87,E:E,"&gt;=0")=0,"",E87-SUMIFS(E:E,$B:$B,$B87,$A:$A,$K87)))</f>
        <v/>
      </c>
      <c r="N87" s="16">
        <f>IF(OR($K87="",F87=""),"",IF(COUNTIFS($B:$B,$B87,$A:$A,$K87,F:F,"&gt;=0")=0,"",F87-SUMIFS(F:F,$B:$B,$B87,$A:$A,$K87)))</f>
        <v/>
      </c>
      <c r="O87" s="16">
        <f>IF(OR($K87="",G87=""),"",IF(COUNTIFS($B:$B,$B87,$A:$A,$K87,G:G,"&gt;=0")=0,"",G87-SUMIFS(G:G,$B:$B,$B87,$A:$A,$K87)))</f>
        <v/>
      </c>
    </row>
    <row r="88">
      <c r="A88" s="15" t="n">
        <v>46320</v>
      </c>
      <c r="B88" s="5" t="inlineStr">
        <is>
          <t>Ryzen 5 7500F</t>
        </is>
      </c>
      <c r="C88" s="5" t="inlineStr">
        <is>
          <t>CPU</t>
        </is>
      </c>
      <c r="D88" s="7" t="n">
        <v>135.99</v>
      </c>
      <c r="E88" s="7" t="n">
        <v>129.99</v>
      </c>
      <c r="F88" s="2" t="n"/>
      <c r="G88" s="2" t="n"/>
      <c r="H88" s="9">
        <f>IFERROR(IF(INDEX(Dólar!$B:$B,MATCH(A88,Dólar!$A:$A,0))="","",INDEX(Dólar!$B:$B,MATCH(A88,Dólar!$A:$A,0))),"")</f>
        <v/>
      </c>
      <c r="I88" s="10">
        <f>IFERROR(INDEX(Dólar!$E:$E,MATCH(A88,Dólar!$A:$A,0)),"")</f>
        <v/>
      </c>
      <c r="J88" s="6" t="inlineStr">
        <is>
          <t>ver anuncio</t>
        </is>
      </c>
      <c r="K88" s="15" t="n">
        <v>46319</v>
      </c>
      <c r="L88" s="16">
        <f>IF(OR($K88="",D88=""),"",IF(COUNTIFS($B:$B,$B88,$A:$A,$K88,D:D,"&gt;=0")=0,"",D88-SUMIFS(D:D,$B:$B,$B88,$A:$A,$K88)))</f>
        <v/>
      </c>
      <c r="M88" s="16">
        <f>IF(OR($K88="",E88=""),"",IF(COUNTIFS($B:$B,$B88,$A:$A,$K88,E:E,"&gt;=0")=0,"",E88-SUMIFS(E:E,$B:$B,$B88,$A:$A,$K88)))</f>
        <v/>
      </c>
      <c r="N88" s="16">
        <f>IF(OR($K88="",F88=""),"",IF(COUNTIFS($B:$B,$B88,$A:$A,$K88,F:F,"&gt;=0")=0,"",F88-SUMIFS(F:F,$B:$B,$B88,$A:$A,$K88)))</f>
        <v/>
      </c>
      <c r="O88" s="16">
        <f>IF(OR($K88="",G88=""),"",IF(COUNTIFS($B:$B,$B88,$A:$A,$K88,G:G,"&gt;=0")=0,"",G88-SUMIFS(G:G,$B:$B,$B88,$A:$A,$K88)))</f>
        <v/>
      </c>
    </row>
    <row r="89">
      <c r="A89" s="15" t="n">
        <v>46320</v>
      </c>
      <c r="B89" s="5" t="inlineStr">
        <is>
          <t>Ryzen 5 5600</t>
        </is>
      </c>
      <c r="C89" s="5" t="inlineStr">
        <is>
          <t>CPU</t>
        </is>
      </c>
      <c r="D89" s="7" t="n">
        <v>135.98</v>
      </c>
      <c r="E89" s="7" t="n">
        <v>120</v>
      </c>
      <c r="F89" s="2" t="n"/>
      <c r="G89" s="2" t="n"/>
      <c r="H89" s="9">
        <f>IFERROR(IF(INDEX(Dólar!$B:$B,MATCH(A89,Dólar!$A:$A,0))="","",INDEX(Dólar!$B:$B,MATCH(A89,Dólar!$A:$A,0))),"")</f>
        <v/>
      </c>
      <c r="I89" s="10">
        <f>IFERROR(INDEX(Dólar!$E:$E,MATCH(A89,Dólar!$A:$A,0)),"")</f>
        <v/>
      </c>
      <c r="J89" s="6" t="inlineStr">
        <is>
          <t>ver anuncio</t>
        </is>
      </c>
      <c r="K89" s="15" t="n">
        <v>46319</v>
      </c>
      <c r="L89" s="16">
        <f>IF(OR($K89="",D89=""),"",IF(COUNTIFS($B:$B,$B89,$A:$A,$K89,D:D,"&gt;=0")=0,"",D89-SUMIFS(D:D,$B:$B,$B89,$A:$A,$K89)))</f>
        <v/>
      </c>
      <c r="M89" s="16">
        <f>IF(OR($K89="",E89=""),"",IF(COUNTIFS($B:$B,$B89,$A:$A,$K89,E:E,"&gt;=0")=0,"",E89-SUMIFS(E:E,$B:$B,$B89,$A:$A,$K89)))</f>
        <v/>
      </c>
      <c r="N89" s="16">
        <f>IF(OR($K89="",F89=""),"",IF(COUNTIFS($B:$B,$B89,$A:$A,$K89,F:F,"&gt;=0")=0,"",F89-SUMIFS(F:F,$B:$B,$B89,$A:$A,$K89)))</f>
        <v/>
      </c>
      <c r="O89" s="16">
        <f>IF(OR($K89="",G89=""),"",IF(COUNTIFS($B:$B,$B89,$A:$A,$K89,G:G,"&gt;=0")=0,"",G89-SUMIFS(G:G,$B:$B,$B89,$A:$A,$K89)))</f>
        <v/>
      </c>
    </row>
    <row r="90">
      <c r="A90" s="15" t="n">
        <v>46320</v>
      </c>
      <c r="B90" s="5" t="inlineStr">
        <is>
          <t>RAM DDR4 16GB (2x8) 3200</t>
        </is>
      </c>
      <c r="C90" s="5" t="inlineStr">
        <is>
          <t>RAM</t>
        </is>
      </c>
      <c r="D90" s="7" t="n">
        <v>109</v>
      </c>
      <c r="E90" s="7" t="n">
        <v>59.99</v>
      </c>
      <c r="F90" s="2" t="n"/>
      <c r="G90" s="2" t="n"/>
      <c r="H90" s="9">
        <f>IFERROR(IF(INDEX(Dólar!$B:$B,MATCH(A90,Dólar!$A:$A,0))="","",INDEX(Dólar!$B:$B,MATCH(A90,Dólar!$A:$A,0))),"")</f>
        <v/>
      </c>
      <c r="I90" s="10">
        <f>IFERROR(INDEX(Dólar!$E:$E,MATCH(A90,Dólar!$A:$A,0)),"")</f>
        <v/>
      </c>
      <c r="J90" s="6" t="inlineStr">
        <is>
          <t>ver anuncio</t>
        </is>
      </c>
      <c r="K90" s="15" t="n">
        <v>46319</v>
      </c>
      <c r="L90" s="16">
        <f>IF(OR($K90="",D90=""),"",IF(COUNTIFS($B:$B,$B90,$A:$A,$K90,D:D,"&gt;=0")=0,"",D90-SUMIFS(D:D,$B:$B,$B90,$A:$A,$K90)))</f>
        <v/>
      </c>
      <c r="M90" s="16">
        <f>IF(OR($K90="",E90=""),"",IF(COUNTIFS($B:$B,$B90,$A:$A,$K90,E:E,"&gt;=0")=0,"",E90-SUMIFS(E:E,$B:$B,$B90,$A:$A,$K90)))</f>
        <v/>
      </c>
      <c r="N90" s="16">
        <f>IF(OR($K90="",F90=""),"",IF(COUNTIFS($B:$B,$B90,$A:$A,$K90,F:F,"&gt;=0")=0,"",F90-SUMIFS(F:F,$B:$B,$B90,$A:$A,$K90)))</f>
        <v/>
      </c>
      <c r="O90" s="16">
        <f>IF(OR($K90="",G90=""),"",IF(COUNTIFS($B:$B,$B90,$A:$A,$K90,G:G,"&gt;=0")=0,"",G90-SUMIFS(G:G,$B:$B,$B90,$A:$A,$K90)))</f>
        <v/>
      </c>
    </row>
    <row r="91">
      <c r="A91" s="15" t="n">
        <v>46320</v>
      </c>
      <c r="B91" s="5" t="inlineStr">
        <is>
          <t>Intel Core i5-14400F</t>
        </is>
      </c>
      <c r="C91" s="5" t="inlineStr">
        <is>
          <t>CPU</t>
        </is>
      </c>
      <c r="D91" s="7" t="n">
        <v>164.49</v>
      </c>
      <c r="E91" s="7" t="n">
        <v>129.99</v>
      </c>
      <c r="F91" s="2" t="n"/>
      <c r="G91" s="2" t="n"/>
      <c r="H91" s="9">
        <f>IFERROR(IF(INDEX(Dólar!$B:$B,MATCH(A91,Dólar!$A:$A,0))="","",INDEX(Dólar!$B:$B,MATCH(A91,Dólar!$A:$A,0))),"")</f>
        <v/>
      </c>
      <c r="I91" s="10">
        <f>IFERROR(INDEX(Dólar!$E:$E,MATCH(A91,Dólar!$A:$A,0)),"")</f>
        <v/>
      </c>
      <c r="J91" s="6" t="inlineStr">
        <is>
          <t>ver anuncio</t>
        </is>
      </c>
      <c r="K91" s="15" t="n">
        <v>46319</v>
      </c>
      <c r="L91" s="16">
        <f>IF(OR($K91="",D91=""),"",IF(COUNTIFS($B:$B,$B91,$A:$A,$K91,D:D,"&gt;=0")=0,"",D91-SUMIFS(D:D,$B:$B,$B91,$A:$A,$K91)))</f>
        <v/>
      </c>
      <c r="M91" s="16">
        <f>IF(OR($K91="",E91=""),"",IF(COUNTIFS($B:$B,$B91,$A:$A,$K91,E:E,"&gt;=0")=0,"",E91-SUMIFS(E:E,$B:$B,$B91,$A:$A,$K91)))</f>
        <v/>
      </c>
      <c r="N91" s="16">
        <f>IF(OR($K91="",F91=""),"",IF(COUNTIFS($B:$B,$B91,$A:$A,$K91,F:F,"&gt;=0")=0,"",F91-SUMIFS(F:F,$B:$B,$B91,$A:$A,$K91)))</f>
        <v/>
      </c>
      <c r="O91" s="16">
        <f>IF(OR($K91="",G91=""),"",IF(COUNTIFS($B:$B,$B91,$A:$A,$K91,G:G,"&gt;=0")=0,"",G91-SUMIFS(G:G,$B:$B,$B91,$A:$A,$K91)))</f>
        <v/>
      </c>
    </row>
    <row r="92">
      <c r="A92" s="15" t="n">
        <v>46320</v>
      </c>
      <c r="B92" s="5" t="inlineStr">
        <is>
          <t>Intel Core i5-13400</t>
        </is>
      </c>
      <c r="C92" s="5" t="inlineStr">
        <is>
          <t>CPU</t>
        </is>
      </c>
      <c r="D92" s="2" t="n"/>
      <c r="E92" s="7" t="n">
        <v>149.95</v>
      </c>
      <c r="F92" s="2" t="n"/>
      <c r="G92" s="2" t="n"/>
      <c r="H92" s="9">
        <f>IFERROR(IF(INDEX(Dólar!$B:$B,MATCH(A92,Dólar!$A:$A,0))="","",INDEX(Dólar!$B:$B,MATCH(A92,Dólar!$A:$A,0))),"")</f>
        <v/>
      </c>
      <c r="I92" s="10">
        <f>IFERROR(INDEX(Dólar!$E:$E,MATCH(A92,Dólar!$A:$A,0)),"")</f>
        <v/>
      </c>
      <c r="J92" s="6" t="inlineStr">
        <is>
          <t>ver anuncio</t>
        </is>
      </c>
      <c r="K92" s="15" t="n">
        <v>46319</v>
      </c>
      <c r="L92" s="16">
        <f>IF(OR($K92="",D92=""),"",IF(COUNTIFS($B:$B,$B92,$A:$A,$K92,D:D,"&gt;=0")=0,"",D92-SUMIFS(D:D,$B:$B,$B92,$A:$A,$K92)))</f>
        <v/>
      </c>
      <c r="M92" s="16">
        <f>IF(OR($K92="",E92=""),"",IF(COUNTIFS($B:$B,$B92,$A:$A,$K92,E:E,"&gt;=0")=0,"",E92-SUMIFS(E:E,$B:$B,$B92,$A:$A,$K92)))</f>
        <v/>
      </c>
      <c r="N92" s="16">
        <f>IF(OR($K92="",F92=""),"",IF(COUNTIFS($B:$B,$B92,$A:$A,$K92,F:F,"&gt;=0")=0,"",F92-SUMIFS(F:F,$B:$B,$B92,$A:$A,$K92)))</f>
        <v/>
      </c>
      <c r="O92" s="16">
        <f>IF(OR($K92="",G92=""),"",IF(COUNTIFS($B:$B,$B92,$A:$A,$K92,G:G,"&gt;=0")=0,"",G92-SUMIFS(G:G,$B:$B,$B92,$A:$A,$K92)))</f>
        <v/>
      </c>
    </row>
    <row r="93">
      <c r="A93" s="15" t="n">
        <v>46320</v>
      </c>
      <c r="B93" s="5" t="inlineStr">
        <is>
          <t>Intel Core i5-12400F</t>
        </is>
      </c>
      <c r="C93" s="5" t="inlineStr">
        <is>
          <t>CPU</t>
        </is>
      </c>
      <c r="D93" s="7" t="n">
        <v>145</v>
      </c>
      <c r="E93" s="7" t="n">
        <v>112</v>
      </c>
      <c r="F93" s="2" t="n"/>
      <c r="G93" s="2" t="n"/>
      <c r="H93" s="9">
        <f>IFERROR(IF(INDEX(Dólar!$B:$B,MATCH(A93,Dólar!$A:$A,0))="","",INDEX(Dólar!$B:$B,MATCH(A93,Dólar!$A:$A,0))),"")</f>
        <v/>
      </c>
      <c r="I93" s="10">
        <f>IFERROR(INDEX(Dólar!$E:$E,MATCH(A93,Dólar!$A:$A,0)),"")</f>
        <v/>
      </c>
      <c r="J93" s="6" t="inlineStr">
        <is>
          <t>ver anuncio</t>
        </is>
      </c>
      <c r="K93" s="15" t="n">
        <v>46319</v>
      </c>
      <c r="L93" s="16">
        <f>IF(OR($K93="",D93=""),"",IF(COUNTIFS($B:$B,$B93,$A:$A,$K93,D:D,"&gt;=0")=0,"",D93-SUMIFS(D:D,$B:$B,$B93,$A:$A,$K93)))</f>
        <v/>
      </c>
      <c r="M93" s="16">
        <f>IF(OR($K93="",E93=""),"",IF(COUNTIFS($B:$B,$B93,$A:$A,$K93,E:E,"&gt;=0")=0,"",E93-SUMIFS(E:E,$B:$B,$B93,$A:$A,$K93)))</f>
        <v/>
      </c>
      <c r="N93" s="16">
        <f>IF(OR($K93="",F93=""),"",IF(COUNTIFS($B:$B,$B93,$A:$A,$K93,F:F,"&gt;=0")=0,"",F93-SUMIFS(F:F,$B:$B,$B93,$A:$A,$K93)))</f>
        <v/>
      </c>
      <c r="O93" s="16">
        <f>IF(OR($K93="",G93=""),"",IF(COUNTIFS($B:$B,$B93,$A:$A,$K93,G:G,"&gt;=0")=0,"",G93-SUMIFS(G:G,$B:$B,$B93,$A:$A,$K93)))</f>
        <v/>
      </c>
    </row>
    <row r="94">
      <c r="A94" s="15" t="n">
        <v>46320</v>
      </c>
      <c r="B94" s="5" t="inlineStr">
        <is>
          <t>Intel Core Ultra 7 265K</t>
        </is>
      </c>
      <c r="C94" s="5" t="inlineStr">
        <is>
          <t>CPU</t>
        </is>
      </c>
      <c r="D94" s="7" t="n">
        <v>259.99</v>
      </c>
      <c r="E94" s="7" t="n">
        <v>238</v>
      </c>
      <c r="F94" s="2" t="n"/>
      <c r="G94" s="2" t="n"/>
      <c r="H94" s="9">
        <f>IFERROR(IF(INDEX(Dólar!$B:$B,MATCH(A94,Dólar!$A:$A,0))="","",INDEX(Dólar!$B:$B,MATCH(A94,Dólar!$A:$A,0))),"")</f>
        <v/>
      </c>
      <c r="I94" s="10">
        <f>IFERROR(INDEX(Dólar!$E:$E,MATCH(A94,Dólar!$A:$A,0)),"")</f>
        <v/>
      </c>
      <c r="J94" s="6" t="inlineStr">
        <is>
          <t>ver anuncio</t>
        </is>
      </c>
      <c r="K94" s="15" t="n">
        <v>46319</v>
      </c>
      <c r="L94" s="16">
        <f>IF(OR($K94="",D94=""),"",IF(COUNTIFS($B:$B,$B94,$A:$A,$K94,D:D,"&gt;=0")=0,"",D94-SUMIFS(D:D,$B:$B,$B94,$A:$A,$K94)))</f>
        <v/>
      </c>
      <c r="M94" s="16">
        <f>IF(OR($K94="",E94=""),"",IF(COUNTIFS($B:$B,$B94,$A:$A,$K94,E:E,"&gt;=0")=0,"",E94-SUMIFS(E:E,$B:$B,$B94,$A:$A,$K94)))</f>
        <v/>
      </c>
      <c r="N94" s="16">
        <f>IF(OR($K94="",F94=""),"",IF(COUNTIFS($B:$B,$B94,$A:$A,$K94,F:F,"&gt;=0")=0,"",F94-SUMIFS(F:F,$B:$B,$B94,$A:$A,$K94)))</f>
        <v/>
      </c>
      <c r="O94" s="16">
        <f>IF(OR($K94="",G94=""),"",IF(COUNTIFS($B:$B,$B94,$A:$A,$K94,G:G,"&gt;=0")=0,"",G94-SUMIFS(G:G,$B:$B,$B94,$A:$A,$K94)))</f>
        <v/>
      </c>
    </row>
    <row r="95">
      <c r="A95" s="15" t="n">
        <v>46320</v>
      </c>
      <c r="B95" s="5" t="inlineStr">
        <is>
          <t>Corsair Vengeance RGB DDR5 32GB (2x16) 6000</t>
        </is>
      </c>
      <c r="C95" s="5" t="inlineStr">
        <is>
          <t>RAM</t>
        </is>
      </c>
      <c r="D95" s="7" t="n">
        <v>450</v>
      </c>
      <c r="E95" s="7" t="n">
        <v>389.99</v>
      </c>
      <c r="F95" s="2" t="n"/>
      <c r="G95" s="2" t="n"/>
      <c r="H95" s="9">
        <f>IFERROR(IF(INDEX(Dólar!$B:$B,MATCH(A95,Dólar!$A:$A,0))="","",INDEX(Dólar!$B:$B,MATCH(A95,Dólar!$A:$A,0))),"")</f>
        <v/>
      </c>
      <c r="I95" s="10">
        <f>IFERROR(INDEX(Dólar!$E:$E,MATCH(A95,Dólar!$A:$A,0)),"")</f>
        <v/>
      </c>
      <c r="J95" s="6" t="inlineStr">
        <is>
          <t>ver anuncio</t>
        </is>
      </c>
      <c r="K95" s="15" t="n">
        <v>46319</v>
      </c>
      <c r="L95" s="16">
        <f>IF(OR($K95="",D95=""),"",IF(COUNTIFS($B:$B,$B95,$A:$A,$K95,D:D,"&gt;=0")=0,"",D95-SUMIFS(D:D,$B:$B,$B95,$A:$A,$K95)))</f>
        <v/>
      </c>
      <c r="M95" s="16">
        <f>IF(OR($K95="",E95=""),"",IF(COUNTIFS($B:$B,$B95,$A:$A,$K95,E:E,"&gt;=0")=0,"",E95-SUMIFS(E:E,$B:$B,$B95,$A:$A,$K95)))</f>
        <v/>
      </c>
      <c r="N95" s="16">
        <f>IF(OR($K95="",F95=""),"",IF(COUNTIFS($B:$B,$B95,$A:$A,$K95,F:F,"&gt;=0")=0,"",F95-SUMIFS(F:F,$B:$B,$B95,$A:$A,$K95)))</f>
        <v/>
      </c>
      <c r="O95" s="16">
        <f>IF(OR($K95="",G95=""),"",IF(COUNTIFS($B:$B,$B95,$A:$A,$K95,G:G,"&gt;=0")=0,"",G95-SUMIFS(G:G,$B:$B,$B95,$A:$A,$K95)))</f>
        <v/>
      </c>
    </row>
    <row r="96">
      <c r="A96" s="15" t="n">
        <v>46320</v>
      </c>
      <c r="B96" s="5" t="inlineStr">
        <is>
          <t>Corsair Vengeance RGB DDR5 32GB (2x16) 5600</t>
        </is>
      </c>
      <c r="C96" s="5" t="inlineStr">
        <is>
          <t>RAM</t>
        </is>
      </c>
      <c r="D96" s="7" t="n">
        <v>459</v>
      </c>
      <c r="E96" s="7" t="n">
        <v>389.99</v>
      </c>
      <c r="F96" s="2" t="n"/>
      <c r="G96" s="2" t="n"/>
      <c r="H96" s="9">
        <f>IFERROR(IF(INDEX(Dólar!$B:$B,MATCH(A96,Dólar!$A:$A,0))="","",INDEX(Dólar!$B:$B,MATCH(A96,Dólar!$A:$A,0))),"")</f>
        <v/>
      </c>
      <c r="I96" s="10">
        <f>IFERROR(INDEX(Dólar!$E:$E,MATCH(A96,Dólar!$A:$A,0)),"")</f>
        <v/>
      </c>
      <c r="J96" s="6" t="inlineStr">
        <is>
          <t>ver anuncio</t>
        </is>
      </c>
      <c r="K96" s="15" t="n">
        <v>46319</v>
      </c>
      <c r="L96" s="16">
        <f>IF(OR($K96="",D96=""),"",IF(COUNTIFS($B:$B,$B96,$A:$A,$K96,D:D,"&gt;=0")=0,"",D96-SUMIFS(D:D,$B:$B,$B96,$A:$A,$K96)))</f>
        <v/>
      </c>
      <c r="M96" s="16">
        <f>IF(OR($K96="",E96=""),"",IF(COUNTIFS($B:$B,$B96,$A:$A,$K96,E:E,"&gt;=0")=0,"",E96-SUMIFS(E:E,$B:$B,$B96,$A:$A,$K96)))</f>
        <v/>
      </c>
      <c r="N96" s="16">
        <f>IF(OR($K96="",F96=""),"",IF(COUNTIFS($B:$B,$B96,$A:$A,$K96,F:F,"&gt;=0")=0,"",F96-SUMIFS(F:F,$B:$B,$B96,$A:$A,$K96)))</f>
        <v/>
      </c>
      <c r="O96" s="16">
        <f>IF(OR($K96="",G96=""),"",IF(COUNTIFS($B:$B,$B96,$A:$A,$K96,G:G,"&gt;=0")=0,"",G96-SUMIFS(G:G,$B:$B,$B96,$A:$A,$K96)))</f>
        <v/>
      </c>
    </row>
    <row r="97">
      <c r="A97" s="15" t="n">
        <v>46319</v>
      </c>
      <c r="B97" s="5" t="inlineStr">
        <is>
          <t>SSD NVMe 2TB</t>
        </is>
      </c>
      <c r="C97" s="5" t="inlineStr">
        <is>
          <t>SSD</t>
        </is>
      </c>
      <c r="D97" s="7" t="n">
        <v>185</v>
      </c>
      <c r="E97" s="7" t="n">
        <v>179.99</v>
      </c>
      <c r="F97" s="2" t="n"/>
      <c r="G97" s="2" t="n"/>
      <c r="H97" s="9">
        <f>IFERROR(IF(INDEX(Dólar!$B:$B,MATCH(A97,Dólar!$A:$A,0))="","",INDEX(Dólar!$B:$B,MATCH(A97,Dólar!$A:$A,0))),"")</f>
        <v/>
      </c>
      <c r="I97" s="10">
        <f>IFERROR(INDEX(Dólar!$E:$E,MATCH(A97,Dólar!$A:$A,0)),"")</f>
        <v/>
      </c>
      <c r="J97" s="6" t="inlineStr">
        <is>
          <t>ver anuncio</t>
        </is>
      </c>
      <c r="K97" s="15" t="n">
        <v>46318</v>
      </c>
      <c r="L97" s="16">
        <f>IF(OR($K97="",D97=""),"",IF(COUNTIFS($B:$B,$B97,$A:$A,$K97,D:D,"&gt;=0")=0,"",D97-SUMIFS(D:D,$B:$B,$B97,$A:$A,$K97)))</f>
        <v/>
      </c>
      <c r="M97" s="16">
        <f>IF(OR($K97="",E97=""),"",IF(COUNTIFS($B:$B,$B97,$A:$A,$K97,E:E,"&gt;=0")=0,"",E97-SUMIFS(E:E,$B:$B,$B97,$A:$A,$K97)))</f>
        <v/>
      </c>
      <c r="N97" s="16">
        <f>IF(OR($K97="",F97=""),"",IF(COUNTIFS($B:$B,$B97,$A:$A,$K97,F:F,"&gt;=0")=0,"",F97-SUMIFS(F:F,$B:$B,$B97,$A:$A,$K97)))</f>
        <v/>
      </c>
      <c r="O97" s="16">
        <f>IF(OR($K97="",G97=""),"",IF(COUNTIFS($B:$B,$B97,$A:$A,$K97,G:G,"&gt;=0")=0,"",G97-SUMIFS(G:G,$B:$B,$B97,$A:$A,$K97)))</f>
        <v/>
      </c>
    </row>
    <row r="98">
      <c r="A98" s="15" t="n">
        <v>46319</v>
      </c>
      <c r="B98" s="5" t="inlineStr">
        <is>
          <t>SSD NVMe 1TB</t>
        </is>
      </c>
      <c r="C98" s="5" t="inlineStr">
        <is>
          <t>SSD</t>
        </is>
      </c>
      <c r="D98" s="7" t="n">
        <v>114.99</v>
      </c>
      <c r="E98" s="7" t="n">
        <v>85</v>
      </c>
      <c r="F98" s="2" t="n"/>
      <c r="G98" s="2" t="n"/>
      <c r="H98" s="9">
        <f>IFERROR(IF(INDEX(Dólar!$B:$B,MATCH(A98,Dólar!$A:$A,0))="","",INDEX(Dólar!$B:$B,MATCH(A98,Dólar!$A:$A,0))),"")</f>
        <v/>
      </c>
      <c r="I98" s="10">
        <f>IFERROR(INDEX(Dólar!$E:$E,MATCH(A98,Dólar!$A:$A,0)),"")</f>
        <v/>
      </c>
      <c r="J98" s="6" t="inlineStr">
        <is>
          <t>ver anuncio</t>
        </is>
      </c>
      <c r="K98" s="15" t="n">
        <v>46318</v>
      </c>
      <c r="L98" s="16">
        <f>IF(OR($K98="",D98=""),"",IF(COUNTIFS($B:$B,$B98,$A:$A,$K98,D:D,"&gt;=0")=0,"",D98-SUMIFS(D:D,$B:$B,$B98,$A:$A,$K98)))</f>
        <v/>
      </c>
      <c r="M98" s="16">
        <f>IF(OR($K98="",E98=""),"",IF(COUNTIFS($B:$B,$B98,$A:$A,$K98,E:E,"&gt;=0")=0,"",E98-SUMIFS(E:E,$B:$B,$B98,$A:$A,$K98)))</f>
        <v/>
      </c>
      <c r="N98" s="16">
        <f>IF(OR($K98="",F98=""),"",IF(COUNTIFS($B:$B,$B98,$A:$A,$K98,F:F,"&gt;=0")=0,"",F98-SUMIFS(F:F,$B:$B,$B98,$A:$A,$K98)))</f>
        <v/>
      </c>
      <c r="O98" s="16">
        <f>IF(OR($K98="",G98=""),"",IF(COUNTIFS($B:$B,$B98,$A:$A,$K98,G:G,"&gt;=0")=0,"",G98-SUMIFS(G:G,$B:$B,$B98,$A:$A,$K98)))</f>
        <v/>
      </c>
    </row>
    <row r="99">
      <c r="A99" s="15" t="n">
        <v>46319</v>
      </c>
      <c r="B99" s="5" t="inlineStr">
        <is>
          <t>Ryzen 9 9950X</t>
        </is>
      </c>
      <c r="C99" s="5" t="inlineStr">
        <is>
          <t>CPU</t>
        </is>
      </c>
      <c r="D99" s="7" t="n">
        <v>549.99</v>
      </c>
      <c r="E99" s="7" t="n">
        <v>454.99</v>
      </c>
      <c r="F99" s="2" t="n"/>
      <c r="G99" s="2" t="n"/>
      <c r="H99" s="9">
        <f>IFERROR(IF(INDEX(Dólar!$B:$B,MATCH(A99,Dólar!$A:$A,0))="","",INDEX(Dólar!$B:$B,MATCH(A99,Dólar!$A:$A,0))),"")</f>
        <v/>
      </c>
      <c r="I99" s="10">
        <f>IFERROR(INDEX(Dólar!$E:$E,MATCH(A99,Dólar!$A:$A,0)),"")</f>
        <v/>
      </c>
      <c r="J99" s="6" t="inlineStr">
        <is>
          <t>ver anuncio</t>
        </is>
      </c>
      <c r="K99" s="15" t="n">
        <v>46318</v>
      </c>
      <c r="L99" s="16">
        <f>IF(OR($K99="",D99=""),"",IF(COUNTIFS($B:$B,$B99,$A:$A,$K99,D:D,"&gt;=0")=0,"",D99-SUMIFS(D:D,$B:$B,$B99,$A:$A,$K99)))</f>
        <v/>
      </c>
      <c r="M99" s="16">
        <f>IF(OR($K99="",E99=""),"",IF(COUNTIFS($B:$B,$B99,$A:$A,$K99,E:E,"&gt;=0")=0,"",E99-SUMIFS(E:E,$B:$B,$B99,$A:$A,$K99)))</f>
        <v/>
      </c>
      <c r="N99" s="16">
        <f>IF(OR($K99="",F99=""),"",IF(COUNTIFS($B:$B,$B99,$A:$A,$K99,F:F,"&gt;=0")=0,"",F99-SUMIFS(F:F,$B:$B,$B99,$A:$A,$K99)))</f>
        <v/>
      </c>
      <c r="O99" s="16">
        <f>IF(OR($K99="",G99=""),"",IF(COUNTIFS($B:$B,$B99,$A:$A,$K99,G:G,"&gt;=0")=0,"",G99-SUMIFS(G:G,$B:$B,$B99,$A:$A,$K99)))</f>
        <v/>
      </c>
    </row>
    <row r="100">
      <c r="A100" s="15" t="n">
        <v>46319</v>
      </c>
      <c r="B100" s="5" t="inlineStr">
        <is>
          <t>Ryzen 7 7800X3D</t>
        </is>
      </c>
      <c r="C100" s="5" t="inlineStr">
        <is>
          <t>CPU</t>
        </is>
      </c>
      <c r="D100" s="7" t="n">
        <v>329</v>
      </c>
      <c r="E100" s="7" t="n">
        <v>275</v>
      </c>
      <c r="F100" s="2" t="n"/>
      <c r="G100" s="2" t="n"/>
      <c r="H100" s="9">
        <f>IFERROR(IF(INDEX(Dólar!$B:$B,MATCH(A100,Dólar!$A:$A,0))="","",INDEX(Dólar!$B:$B,MATCH(A100,Dólar!$A:$A,0))),"")</f>
        <v/>
      </c>
      <c r="I100" s="10">
        <f>IFERROR(INDEX(Dólar!$E:$E,MATCH(A100,Dólar!$A:$A,0)),"")</f>
        <v/>
      </c>
      <c r="J100" s="6" t="inlineStr">
        <is>
          <t>ver anuncio</t>
        </is>
      </c>
      <c r="K100" s="15" t="n">
        <v>46318</v>
      </c>
      <c r="L100" s="16">
        <f>IF(OR($K100="",D100=""),"",IF(COUNTIFS($B:$B,$B100,$A:$A,$K100,D:D,"&gt;=0")=0,"",D100-SUMIFS(D:D,$B:$B,$B100,$A:$A,$K100)))</f>
        <v/>
      </c>
      <c r="M100" s="16">
        <f>IF(OR($K100="",E100=""),"",IF(COUNTIFS($B:$B,$B100,$A:$A,$K100,E:E,"&gt;=0")=0,"",E100-SUMIFS(E:E,$B:$B,$B100,$A:$A,$K100)))</f>
        <v/>
      </c>
      <c r="N100" s="16">
        <f>IF(OR($K100="",F100=""),"",IF(COUNTIFS($B:$B,$B100,$A:$A,$K100,F:F,"&gt;=0")=0,"",F100-SUMIFS(F:F,$B:$B,$B100,$A:$A,$K100)))</f>
        <v/>
      </c>
      <c r="O100" s="16">
        <f>IF(OR($K100="",G100=""),"",IF(COUNTIFS($B:$B,$B100,$A:$A,$K100,G:G,"&gt;=0")=0,"",G100-SUMIFS(G:G,$B:$B,$B100,$A:$A,$K100)))</f>
        <v/>
      </c>
    </row>
    <row r="101">
      <c r="A101" s="15" t="n">
        <v>46319</v>
      </c>
      <c r="B101" s="5" t="inlineStr">
        <is>
          <t>Ryzen 7 7700X</t>
        </is>
      </c>
      <c r="C101" s="5" t="inlineStr">
        <is>
          <t>CPU</t>
        </is>
      </c>
      <c r="D101" s="7" t="n">
        <v>219</v>
      </c>
      <c r="E101" s="7" t="n">
        <v>189.99</v>
      </c>
      <c r="F101" s="2" t="n"/>
      <c r="G101" s="2" t="n"/>
      <c r="H101" s="9">
        <f>IFERROR(IF(INDEX(Dólar!$B:$B,MATCH(A101,Dólar!$A:$A,0))="","",INDEX(Dólar!$B:$B,MATCH(A101,Dólar!$A:$A,0))),"")</f>
        <v/>
      </c>
      <c r="I101" s="10">
        <f>IFERROR(INDEX(Dólar!$E:$E,MATCH(A101,Dólar!$A:$A,0)),"")</f>
        <v/>
      </c>
      <c r="J101" s="6" t="inlineStr">
        <is>
          <t>ver anuncio</t>
        </is>
      </c>
      <c r="K101" s="15" t="n">
        <v>46318</v>
      </c>
      <c r="L101" s="16">
        <f>IF(OR($K101="",D101=""),"",IF(COUNTIFS($B:$B,$B101,$A:$A,$K101,D:D,"&gt;=0")=0,"",D101-SUMIFS(D:D,$B:$B,$B101,$A:$A,$K101)))</f>
        <v/>
      </c>
      <c r="M101" s="16">
        <f>IF(OR($K101="",E101=""),"",IF(COUNTIFS($B:$B,$B101,$A:$A,$K101,E:E,"&gt;=0")=0,"",E101-SUMIFS(E:E,$B:$B,$B101,$A:$A,$K101)))</f>
        <v/>
      </c>
      <c r="N101" s="16">
        <f>IF(OR($K101="",F101=""),"",IF(COUNTIFS($B:$B,$B101,$A:$A,$K101,F:F,"&gt;=0")=0,"",F101-SUMIFS(F:F,$B:$B,$B101,$A:$A,$K101)))</f>
        <v/>
      </c>
      <c r="O101" s="16">
        <f>IF(OR($K101="",G101=""),"",IF(COUNTIFS($B:$B,$B101,$A:$A,$K101,G:G,"&gt;=0")=0,"",G101-SUMIFS(G:G,$B:$B,$B101,$A:$A,$K101)))</f>
        <v/>
      </c>
    </row>
    <row r="102">
      <c r="A102" s="15" t="n">
        <v>46319</v>
      </c>
      <c r="B102" s="5" t="inlineStr">
        <is>
          <t>Ryzen 7 5700X3D</t>
        </is>
      </c>
      <c r="C102" s="5" t="inlineStr">
        <is>
          <t>CPU</t>
        </is>
      </c>
      <c r="D102" s="2" t="n"/>
      <c r="E102" s="7" t="n">
        <v>299.99</v>
      </c>
      <c r="F102" s="2" t="n"/>
      <c r="G102" s="2" t="n"/>
      <c r="H102" s="9">
        <f>IFERROR(IF(INDEX(Dólar!$B:$B,MATCH(A102,Dólar!$A:$A,0))="","",INDEX(Dólar!$B:$B,MATCH(A102,Dólar!$A:$A,0))),"")</f>
        <v/>
      </c>
      <c r="I102" s="10">
        <f>IFERROR(INDEX(Dólar!$E:$E,MATCH(A102,Dólar!$A:$A,0)),"")</f>
        <v/>
      </c>
      <c r="J102" s="6" t="inlineStr">
        <is>
          <t>ver anuncio</t>
        </is>
      </c>
      <c r="K102" s="15" t="n">
        <v>46318</v>
      </c>
      <c r="L102" s="16">
        <f>IF(OR($K102="",D102=""),"",IF(COUNTIFS($B:$B,$B102,$A:$A,$K102,D:D,"&gt;=0")=0,"",D102-SUMIFS(D:D,$B:$B,$B102,$A:$A,$K102)))</f>
        <v/>
      </c>
      <c r="M102" s="16">
        <f>IF(OR($K102="",E102=""),"",IF(COUNTIFS($B:$B,$B102,$A:$A,$K102,E:E,"&gt;=0")=0,"",E102-SUMIFS(E:E,$B:$B,$B102,$A:$A,$K102)))</f>
        <v/>
      </c>
      <c r="N102" s="16">
        <f>IF(OR($K102="",F102=""),"",IF(COUNTIFS($B:$B,$B102,$A:$A,$K102,F:F,"&gt;=0")=0,"",F102-SUMIFS(F:F,$B:$B,$B102,$A:$A,$K102)))</f>
        <v/>
      </c>
      <c r="O102" s="16">
        <f>IF(OR($K102="",G102=""),"",IF(COUNTIFS($B:$B,$B102,$A:$A,$K102,G:G,"&gt;=0")=0,"",G102-SUMIFS(G:G,$B:$B,$B102,$A:$A,$K102)))</f>
        <v/>
      </c>
    </row>
    <row r="103">
      <c r="A103" s="15" t="n">
        <v>46319</v>
      </c>
      <c r="B103" s="5" t="inlineStr">
        <is>
          <t>Ryzen 5 7600</t>
        </is>
      </c>
      <c r="C103" s="5" t="inlineStr">
        <is>
          <t>CPU</t>
        </is>
      </c>
      <c r="D103" s="7" t="n">
        <v>199.99</v>
      </c>
      <c r="E103" s="7" t="n">
        <v>119</v>
      </c>
      <c r="F103" s="2" t="n"/>
      <c r="G103" s="2" t="n"/>
      <c r="H103" s="9">
        <f>IFERROR(IF(INDEX(Dólar!$B:$B,MATCH(A103,Dólar!$A:$A,0))="","",INDEX(Dólar!$B:$B,MATCH(A103,Dólar!$A:$A,0))),"")</f>
        <v/>
      </c>
      <c r="I103" s="10">
        <f>IFERROR(INDEX(Dólar!$E:$E,MATCH(A103,Dólar!$A:$A,0)),"")</f>
        <v/>
      </c>
      <c r="J103" s="6" t="inlineStr">
        <is>
          <t>ver anuncio</t>
        </is>
      </c>
      <c r="K103" s="15" t="n">
        <v>46318</v>
      </c>
      <c r="L103" s="16">
        <f>IF(OR($K103="",D103=""),"",IF(COUNTIFS($B:$B,$B103,$A:$A,$K103,D:D,"&gt;=0")=0,"",D103-SUMIFS(D:D,$B:$B,$B103,$A:$A,$K103)))</f>
        <v/>
      </c>
      <c r="M103" s="16">
        <f>IF(OR($K103="",E103=""),"",IF(COUNTIFS($B:$B,$B103,$A:$A,$K103,E:E,"&gt;=0")=0,"",E103-SUMIFS(E:E,$B:$B,$B103,$A:$A,$K103)))</f>
        <v/>
      </c>
      <c r="N103" s="16">
        <f>IF(OR($K103="",F103=""),"",IF(COUNTIFS($B:$B,$B103,$A:$A,$K103,F:F,"&gt;=0")=0,"",F103-SUMIFS(F:F,$B:$B,$B103,$A:$A,$K103)))</f>
        <v/>
      </c>
      <c r="O103" s="16">
        <f>IF(OR($K103="",G103=""),"",IF(COUNTIFS($B:$B,$B103,$A:$A,$K103,G:G,"&gt;=0")=0,"",G103-SUMIFS(G:G,$B:$B,$B103,$A:$A,$K103)))</f>
        <v/>
      </c>
    </row>
    <row r="104">
      <c r="A104" s="15" t="n">
        <v>46319</v>
      </c>
      <c r="B104" s="5" t="inlineStr">
        <is>
          <t>Ryzen 5 7500F</t>
        </is>
      </c>
      <c r="C104" s="5" t="inlineStr">
        <is>
          <t>CPU</t>
        </is>
      </c>
      <c r="D104" s="7" t="n">
        <v>135.99</v>
      </c>
      <c r="E104" s="7" t="n">
        <v>129.99</v>
      </c>
      <c r="F104" s="2" t="n"/>
      <c r="G104" s="2" t="n"/>
      <c r="H104" s="9">
        <f>IFERROR(IF(INDEX(Dólar!$B:$B,MATCH(A104,Dólar!$A:$A,0))="","",INDEX(Dólar!$B:$B,MATCH(A104,Dólar!$A:$A,0))),"")</f>
        <v/>
      </c>
      <c r="I104" s="10">
        <f>IFERROR(INDEX(Dólar!$E:$E,MATCH(A104,Dólar!$A:$A,0)),"")</f>
        <v/>
      </c>
      <c r="J104" s="6" t="inlineStr">
        <is>
          <t>ver anuncio</t>
        </is>
      </c>
      <c r="K104" s="15" t="n">
        <v>46318</v>
      </c>
      <c r="L104" s="16">
        <f>IF(OR($K104="",D104=""),"",IF(COUNTIFS($B:$B,$B104,$A:$A,$K104,D:D,"&gt;=0")=0,"",D104-SUMIFS(D:D,$B:$B,$B104,$A:$A,$K104)))</f>
        <v/>
      </c>
      <c r="M104" s="16">
        <f>IF(OR($K104="",E104=""),"",IF(COUNTIFS($B:$B,$B104,$A:$A,$K104,E:E,"&gt;=0")=0,"",E104-SUMIFS(E:E,$B:$B,$B104,$A:$A,$K104)))</f>
        <v/>
      </c>
      <c r="N104" s="16">
        <f>IF(OR($K104="",F104=""),"",IF(COUNTIFS($B:$B,$B104,$A:$A,$K104,F:F,"&gt;=0")=0,"",F104-SUMIFS(F:F,$B:$B,$B104,$A:$A,$K104)))</f>
        <v/>
      </c>
      <c r="O104" s="16">
        <f>IF(OR($K104="",G104=""),"",IF(COUNTIFS($B:$B,$B104,$A:$A,$K104,G:G,"&gt;=0")=0,"",G104-SUMIFS(G:G,$B:$B,$B104,$A:$A,$K104)))</f>
        <v/>
      </c>
    </row>
    <row r="105">
      <c r="A105" s="15" t="n">
        <v>46319</v>
      </c>
      <c r="B105" s="5" t="inlineStr">
        <is>
          <t>Ryzen 5 5600</t>
        </is>
      </c>
      <c r="C105" s="5" t="inlineStr">
        <is>
          <t>CPU</t>
        </is>
      </c>
      <c r="D105" s="7" t="n">
        <v>135.98</v>
      </c>
      <c r="E105" s="7" t="n">
        <v>135.99</v>
      </c>
      <c r="F105" s="2" t="n"/>
      <c r="G105" s="2" t="n"/>
      <c r="H105" s="9">
        <f>IFERROR(IF(INDEX(Dólar!$B:$B,MATCH(A105,Dólar!$A:$A,0))="","",INDEX(Dólar!$B:$B,MATCH(A105,Dólar!$A:$A,0))),"")</f>
        <v/>
      </c>
      <c r="I105" s="10">
        <f>IFERROR(INDEX(Dólar!$E:$E,MATCH(A105,Dólar!$A:$A,0)),"")</f>
        <v/>
      </c>
      <c r="J105" s="6" t="inlineStr">
        <is>
          <t>ver anuncio</t>
        </is>
      </c>
      <c r="K105" s="15" t="n">
        <v>46318</v>
      </c>
      <c r="L105" s="16">
        <f>IF(OR($K105="",D105=""),"",IF(COUNTIFS($B:$B,$B105,$A:$A,$K105,D:D,"&gt;=0")=0,"",D105-SUMIFS(D:D,$B:$B,$B105,$A:$A,$K105)))</f>
        <v/>
      </c>
      <c r="M105" s="16">
        <f>IF(OR($K105="",E105=""),"",IF(COUNTIFS($B:$B,$B105,$A:$A,$K105,E:E,"&gt;=0")=0,"",E105-SUMIFS(E:E,$B:$B,$B105,$A:$A,$K105)))</f>
        <v/>
      </c>
      <c r="N105" s="16">
        <f>IF(OR($K105="",F105=""),"",IF(COUNTIFS($B:$B,$B105,$A:$A,$K105,F:F,"&gt;=0")=0,"",F105-SUMIFS(F:F,$B:$B,$B105,$A:$A,$K105)))</f>
        <v/>
      </c>
      <c r="O105" s="16">
        <f>IF(OR($K105="",G105=""),"",IF(COUNTIFS($B:$B,$B105,$A:$A,$K105,G:G,"&gt;=0")=0,"",G105-SUMIFS(G:G,$B:$B,$B105,$A:$A,$K105)))</f>
        <v/>
      </c>
    </row>
    <row r="106">
      <c r="A106" s="15" t="n">
        <v>46319</v>
      </c>
      <c r="B106" s="5" t="inlineStr">
        <is>
          <t>RAM DDR4 16GB (2x8) 3200</t>
        </is>
      </c>
      <c r="C106" s="5" t="inlineStr">
        <is>
          <t>RAM</t>
        </is>
      </c>
      <c r="D106" s="7" t="n">
        <v>109</v>
      </c>
      <c r="E106" s="7" t="n">
        <v>69.98999999999999</v>
      </c>
      <c r="F106" s="2" t="n"/>
      <c r="G106" s="2" t="n"/>
      <c r="H106" s="9">
        <f>IFERROR(IF(INDEX(Dólar!$B:$B,MATCH(A106,Dólar!$A:$A,0))="","",INDEX(Dólar!$B:$B,MATCH(A106,Dólar!$A:$A,0))),"")</f>
        <v/>
      </c>
      <c r="I106" s="10">
        <f>IFERROR(INDEX(Dólar!$E:$E,MATCH(A106,Dólar!$A:$A,0)),"")</f>
        <v/>
      </c>
      <c r="J106" s="6" t="inlineStr">
        <is>
          <t>ver anuncio</t>
        </is>
      </c>
      <c r="K106" s="15" t="n">
        <v>46318</v>
      </c>
      <c r="L106" s="16">
        <f>IF(OR($K106="",D106=""),"",IF(COUNTIFS($B:$B,$B106,$A:$A,$K106,D:D,"&gt;=0")=0,"",D106-SUMIFS(D:D,$B:$B,$B106,$A:$A,$K106)))</f>
        <v/>
      </c>
      <c r="M106" s="16">
        <f>IF(OR($K106="",E106=""),"",IF(COUNTIFS($B:$B,$B106,$A:$A,$K106,E:E,"&gt;=0")=0,"",E106-SUMIFS(E:E,$B:$B,$B106,$A:$A,$K106)))</f>
        <v/>
      </c>
      <c r="N106" s="16">
        <f>IF(OR($K106="",F106=""),"",IF(COUNTIFS($B:$B,$B106,$A:$A,$K106,F:F,"&gt;=0")=0,"",F106-SUMIFS(F:F,$B:$B,$B106,$A:$A,$K106)))</f>
        <v/>
      </c>
      <c r="O106" s="16">
        <f>IF(OR($K106="",G106=""),"",IF(COUNTIFS($B:$B,$B106,$A:$A,$K106,G:G,"&gt;=0")=0,"",G106-SUMIFS(G:G,$B:$B,$B106,$A:$A,$K106)))</f>
        <v/>
      </c>
    </row>
    <row r="107">
      <c r="A107" s="15" t="n">
        <v>46319</v>
      </c>
      <c r="B107" s="5" t="inlineStr">
        <is>
          <t>Intel Core i5-14400F</t>
        </is>
      </c>
      <c r="C107" s="5" t="inlineStr">
        <is>
          <t>CPU</t>
        </is>
      </c>
      <c r="D107" s="7" t="n">
        <v>164.49</v>
      </c>
      <c r="E107" s="7" t="n">
        <v>129.99</v>
      </c>
      <c r="F107" s="2" t="n"/>
      <c r="G107" s="2" t="n"/>
      <c r="H107" s="9">
        <f>IFERROR(IF(INDEX(Dólar!$B:$B,MATCH(A107,Dólar!$A:$A,0))="","",INDEX(Dólar!$B:$B,MATCH(A107,Dólar!$A:$A,0))),"")</f>
        <v/>
      </c>
      <c r="I107" s="10">
        <f>IFERROR(INDEX(Dólar!$E:$E,MATCH(A107,Dólar!$A:$A,0)),"")</f>
        <v/>
      </c>
      <c r="J107" s="6" t="inlineStr">
        <is>
          <t>ver anuncio</t>
        </is>
      </c>
      <c r="K107" s="15" t="n">
        <v>46318</v>
      </c>
      <c r="L107" s="16">
        <f>IF(OR($K107="",D107=""),"",IF(COUNTIFS($B:$B,$B107,$A:$A,$K107,D:D,"&gt;=0")=0,"",D107-SUMIFS(D:D,$B:$B,$B107,$A:$A,$K107)))</f>
        <v/>
      </c>
      <c r="M107" s="16">
        <f>IF(OR($K107="",E107=""),"",IF(COUNTIFS($B:$B,$B107,$A:$A,$K107,E:E,"&gt;=0")=0,"",E107-SUMIFS(E:E,$B:$B,$B107,$A:$A,$K107)))</f>
        <v/>
      </c>
      <c r="N107" s="16">
        <f>IF(OR($K107="",F107=""),"",IF(COUNTIFS($B:$B,$B107,$A:$A,$K107,F:F,"&gt;=0")=0,"",F107-SUMIFS(F:F,$B:$B,$B107,$A:$A,$K107)))</f>
        <v/>
      </c>
      <c r="O107" s="16">
        <f>IF(OR($K107="",G107=""),"",IF(COUNTIFS($B:$B,$B107,$A:$A,$K107,G:G,"&gt;=0")=0,"",G107-SUMIFS(G:G,$B:$B,$B107,$A:$A,$K107)))</f>
        <v/>
      </c>
    </row>
    <row r="108">
      <c r="A108" s="15" t="n">
        <v>46319</v>
      </c>
      <c r="B108" s="5" t="inlineStr">
        <is>
          <t>Intel Core i5-13400</t>
        </is>
      </c>
      <c r="C108" s="5" t="inlineStr">
        <is>
          <t>CPU</t>
        </is>
      </c>
      <c r="D108" s="2" t="n"/>
      <c r="E108" s="7" t="n">
        <v>149.95</v>
      </c>
      <c r="F108" s="2" t="n"/>
      <c r="G108" s="2" t="n"/>
      <c r="H108" s="9">
        <f>IFERROR(IF(INDEX(Dólar!$B:$B,MATCH(A108,Dólar!$A:$A,0))="","",INDEX(Dólar!$B:$B,MATCH(A108,Dólar!$A:$A,0))),"")</f>
        <v/>
      </c>
      <c r="I108" s="10">
        <f>IFERROR(INDEX(Dólar!$E:$E,MATCH(A108,Dólar!$A:$A,0)),"")</f>
        <v/>
      </c>
      <c r="J108" s="6" t="inlineStr">
        <is>
          <t>ver anuncio</t>
        </is>
      </c>
      <c r="K108" s="15" t="n">
        <v>46318</v>
      </c>
      <c r="L108" s="16">
        <f>IF(OR($K108="",D108=""),"",IF(COUNTIFS($B:$B,$B108,$A:$A,$K108,D:D,"&gt;=0")=0,"",D108-SUMIFS(D:D,$B:$B,$B108,$A:$A,$K108)))</f>
        <v/>
      </c>
      <c r="M108" s="16">
        <f>IF(OR($K108="",E108=""),"",IF(COUNTIFS($B:$B,$B108,$A:$A,$K108,E:E,"&gt;=0")=0,"",E108-SUMIFS(E:E,$B:$B,$B108,$A:$A,$K108)))</f>
        <v/>
      </c>
      <c r="N108" s="16">
        <f>IF(OR($K108="",F108=""),"",IF(COUNTIFS($B:$B,$B108,$A:$A,$K108,F:F,"&gt;=0")=0,"",F108-SUMIFS(F:F,$B:$B,$B108,$A:$A,$K108)))</f>
        <v/>
      </c>
      <c r="O108" s="16">
        <f>IF(OR($K108="",G108=""),"",IF(COUNTIFS($B:$B,$B108,$A:$A,$K108,G:G,"&gt;=0")=0,"",G108-SUMIFS(G:G,$B:$B,$B108,$A:$A,$K108)))</f>
        <v/>
      </c>
    </row>
    <row r="109">
      <c r="A109" s="15" t="n">
        <v>46319</v>
      </c>
      <c r="B109" s="5" t="inlineStr">
        <is>
          <t>Intel Core i5-12400F</t>
        </is>
      </c>
      <c r="C109" s="5" t="inlineStr">
        <is>
          <t>CPU</t>
        </is>
      </c>
      <c r="D109" s="7" t="n">
        <v>145</v>
      </c>
      <c r="E109" s="7" t="n">
        <v>112</v>
      </c>
      <c r="F109" s="2" t="n"/>
      <c r="G109" s="2" t="n"/>
      <c r="H109" s="9">
        <f>IFERROR(IF(INDEX(Dólar!$B:$B,MATCH(A109,Dólar!$A:$A,0))="","",INDEX(Dólar!$B:$B,MATCH(A109,Dólar!$A:$A,0))),"")</f>
        <v/>
      </c>
      <c r="I109" s="10">
        <f>IFERROR(INDEX(Dólar!$E:$E,MATCH(A109,Dólar!$A:$A,0)),"")</f>
        <v/>
      </c>
      <c r="J109" s="6" t="inlineStr">
        <is>
          <t>ver anuncio</t>
        </is>
      </c>
      <c r="K109" s="15" t="n">
        <v>46318</v>
      </c>
      <c r="L109" s="16">
        <f>IF(OR($K109="",D109=""),"",IF(COUNTIFS($B:$B,$B109,$A:$A,$K109,D:D,"&gt;=0")=0,"",D109-SUMIFS(D:D,$B:$B,$B109,$A:$A,$K109)))</f>
        <v/>
      </c>
      <c r="M109" s="16">
        <f>IF(OR($K109="",E109=""),"",IF(COUNTIFS($B:$B,$B109,$A:$A,$K109,E:E,"&gt;=0")=0,"",E109-SUMIFS(E:E,$B:$B,$B109,$A:$A,$K109)))</f>
        <v/>
      </c>
      <c r="N109" s="16">
        <f>IF(OR($K109="",F109=""),"",IF(COUNTIFS($B:$B,$B109,$A:$A,$K109,F:F,"&gt;=0")=0,"",F109-SUMIFS(F:F,$B:$B,$B109,$A:$A,$K109)))</f>
        <v/>
      </c>
      <c r="O109" s="16">
        <f>IF(OR($K109="",G109=""),"",IF(COUNTIFS($B:$B,$B109,$A:$A,$K109,G:G,"&gt;=0")=0,"",G109-SUMIFS(G:G,$B:$B,$B109,$A:$A,$K109)))</f>
        <v/>
      </c>
    </row>
    <row r="110">
      <c r="A110" s="15" t="n">
        <v>46319</v>
      </c>
      <c r="B110" s="5" t="inlineStr">
        <is>
          <t>Intel Core Ultra 7 265K</t>
        </is>
      </c>
      <c r="C110" s="5" t="inlineStr">
        <is>
          <t>CPU</t>
        </is>
      </c>
      <c r="D110" s="7" t="n">
        <v>259.99</v>
      </c>
      <c r="E110" s="7" t="n">
        <v>225</v>
      </c>
      <c r="F110" s="2" t="n"/>
      <c r="G110" s="2" t="n"/>
      <c r="H110" s="9">
        <f>IFERROR(IF(INDEX(Dólar!$B:$B,MATCH(A110,Dólar!$A:$A,0))="","",INDEX(Dólar!$B:$B,MATCH(A110,Dólar!$A:$A,0))),"")</f>
        <v/>
      </c>
      <c r="I110" s="10">
        <f>IFERROR(INDEX(Dólar!$E:$E,MATCH(A110,Dólar!$A:$A,0)),"")</f>
        <v/>
      </c>
      <c r="J110" s="6" t="inlineStr">
        <is>
          <t>ver anuncio</t>
        </is>
      </c>
      <c r="K110" s="15" t="n">
        <v>46318</v>
      </c>
      <c r="L110" s="16">
        <f>IF(OR($K110="",D110=""),"",IF(COUNTIFS($B:$B,$B110,$A:$A,$K110,D:D,"&gt;=0")=0,"",D110-SUMIFS(D:D,$B:$B,$B110,$A:$A,$K110)))</f>
        <v/>
      </c>
      <c r="M110" s="16">
        <f>IF(OR($K110="",E110=""),"",IF(COUNTIFS($B:$B,$B110,$A:$A,$K110,E:E,"&gt;=0")=0,"",E110-SUMIFS(E:E,$B:$B,$B110,$A:$A,$K110)))</f>
        <v/>
      </c>
      <c r="N110" s="16">
        <f>IF(OR($K110="",F110=""),"",IF(COUNTIFS($B:$B,$B110,$A:$A,$K110,F:F,"&gt;=0")=0,"",F110-SUMIFS(F:F,$B:$B,$B110,$A:$A,$K110)))</f>
        <v/>
      </c>
      <c r="O110" s="16">
        <f>IF(OR($K110="",G110=""),"",IF(COUNTIFS($B:$B,$B110,$A:$A,$K110,G:G,"&gt;=0")=0,"",G110-SUMIFS(G:G,$B:$B,$B110,$A:$A,$K110)))</f>
        <v/>
      </c>
    </row>
    <row r="111">
      <c r="A111" s="15" t="n">
        <v>46319</v>
      </c>
      <c r="B111" s="5" t="inlineStr">
        <is>
          <t>Corsair Vengeance RGB DDR5 32GB (2x16) 6000</t>
        </is>
      </c>
      <c r="C111" s="5" t="inlineStr">
        <is>
          <t>RAM</t>
        </is>
      </c>
      <c r="D111" s="7" t="n">
        <v>450</v>
      </c>
      <c r="E111" s="7" t="n">
        <v>389.99</v>
      </c>
      <c r="F111" s="2" t="n"/>
      <c r="G111" s="2" t="n"/>
      <c r="H111" s="9">
        <f>IFERROR(IF(INDEX(Dólar!$B:$B,MATCH(A111,Dólar!$A:$A,0))="","",INDEX(Dólar!$B:$B,MATCH(A111,Dólar!$A:$A,0))),"")</f>
        <v/>
      </c>
      <c r="I111" s="10">
        <f>IFERROR(INDEX(Dólar!$E:$E,MATCH(A111,Dólar!$A:$A,0)),"")</f>
        <v/>
      </c>
      <c r="J111" s="6" t="inlineStr">
        <is>
          <t>ver anuncio</t>
        </is>
      </c>
      <c r="K111" s="15" t="n">
        <v>46318</v>
      </c>
      <c r="L111" s="16">
        <f>IF(OR($K111="",D111=""),"",IF(COUNTIFS($B:$B,$B111,$A:$A,$K111,D:D,"&gt;=0")=0,"",D111-SUMIFS(D:D,$B:$B,$B111,$A:$A,$K111)))</f>
        <v/>
      </c>
      <c r="M111" s="16">
        <f>IF(OR($K111="",E111=""),"",IF(COUNTIFS($B:$B,$B111,$A:$A,$K111,E:E,"&gt;=0")=0,"",E111-SUMIFS(E:E,$B:$B,$B111,$A:$A,$K111)))</f>
        <v/>
      </c>
      <c r="N111" s="16">
        <f>IF(OR($K111="",F111=""),"",IF(COUNTIFS($B:$B,$B111,$A:$A,$K111,F:F,"&gt;=0")=0,"",F111-SUMIFS(F:F,$B:$B,$B111,$A:$A,$K111)))</f>
        <v/>
      </c>
      <c r="O111" s="16">
        <f>IF(OR($K111="",G111=""),"",IF(COUNTIFS($B:$B,$B111,$A:$A,$K111,G:G,"&gt;=0")=0,"",G111-SUMIFS(G:G,$B:$B,$B111,$A:$A,$K111)))</f>
        <v/>
      </c>
    </row>
    <row r="112">
      <c r="A112" s="15" t="n">
        <v>46319</v>
      </c>
      <c r="B112" s="5" t="inlineStr">
        <is>
          <t>Corsair Vengeance RGB DDR5 32GB (2x16) 5600</t>
        </is>
      </c>
      <c r="C112" s="5" t="inlineStr">
        <is>
          <t>RAM</t>
        </is>
      </c>
      <c r="D112" s="7" t="n">
        <v>459</v>
      </c>
      <c r="E112" s="7" t="n">
        <v>389.99</v>
      </c>
      <c r="F112" s="2" t="n"/>
      <c r="G112" s="2" t="n"/>
      <c r="H112" s="9">
        <f>IFERROR(IF(INDEX(Dólar!$B:$B,MATCH(A112,Dólar!$A:$A,0))="","",INDEX(Dólar!$B:$B,MATCH(A112,Dólar!$A:$A,0))),"")</f>
        <v/>
      </c>
      <c r="I112" s="10">
        <f>IFERROR(INDEX(Dólar!$E:$E,MATCH(A112,Dólar!$A:$A,0)),"")</f>
        <v/>
      </c>
      <c r="J112" s="6" t="inlineStr">
        <is>
          <t>ver anuncio</t>
        </is>
      </c>
      <c r="K112" s="15" t="n">
        <v>46318</v>
      </c>
      <c r="L112" s="16">
        <f>IF(OR($K112="",D112=""),"",IF(COUNTIFS($B:$B,$B112,$A:$A,$K112,D:D,"&gt;=0")=0,"",D112-SUMIFS(D:D,$B:$B,$B112,$A:$A,$K112)))</f>
        <v/>
      </c>
      <c r="M112" s="16">
        <f>IF(OR($K112="",E112=""),"",IF(COUNTIFS($B:$B,$B112,$A:$A,$K112,E:E,"&gt;=0")=0,"",E112-SUMIFS(E:E,$B:$B,$B112,$A:$A,$K112)))</f>
        <v/>
      </c>
      <c r="N112" s="16">
        <f>IF(OR($K112="",F112=""),"",IF(COUNTIFS($B:$B,$B112,$A:$A,$K112,F:F,"&gt;=0")=0,"",F112-SUMIFS(F:F,$B:$B,$B112,$A:$A,$K112)))</f>
        <v/>
      </c>
      <c r="O112" s="16">
        <f>IF(OR($K112="",G112=""),"",IF(COUNTIFS($B:$B,$B112,$A:$A,$K112,G:G,"&gt;=0")=0,"",G112-SUMIFS(G:G,$B:$B,$B112,$A:$A,$K112)))</f>
        <v/>
      </c>
    </row>
    <row r="113">
      <c r="A113" s="15" t="n">
        <v>46318</v>
      </c>
      <c r="B113" s="5" t="inlineStr">
        <is>
          <t>SSD NVMe 2TB</t>
        </is>
      </c>
      <c r="C113" s="5" t="inlineStr">
        <is>
          <t>SSD</t>
        </is>
      </c>
      <c r="D113" s="7" t="n">
        <v>200</v>
      </c>
      <c r="E113" s="7" t="n">
        <v>179.99</v>
      </c>
      <c r="F113" s="2" t="n"/>
      <c r="G113" s="2" t="n"/>
      <c r="H113" s="9">
        <f>IFERROR(IF(INDEX(Dólar!$B:$B,MATCH(A113,Dólar!$A:$A,0))="","",INDEX(Dólar!$B:$B,MATCH(A113,Dólar!$A:$A,0))),"")</f>
        <v/>
      </c>
      <c r="I113" s="10">
        <f>IFERROR(INDEX(Dólar!$E:$E,MATCH(A113,Dólar!$A:$A,0)),"")</f>
        <v/>
      </c>
      <c r="J113" s="6" t="inlineStr">
        <is>
          <t>ver anuncio</t>
        </is>
      </c>
      <c r="K113" s="15" t="n">
        <v>46317</v>
      </c>
      <c r="L113" s="16">
        <f>IF(OR($K113="",D113=""),"",IF(COUNTIFS($B:$B,$B113,$A:$A,$K113,D:D,"&gt;=0")=0,"",D113-SUMIFS(D:D,$B:$B,$B113,$A:$A,$K113)))</f>
        <v/>
      </c>
      <c r="M113" s="16">
        <f>IF(OR($K113="",E113=""),"",IF(COUNTIFS($B:$B,$B113,$A:$A,$K113,E:E,"&gt;=0")=0,"",E113-SUMIFS(E:E,$B:$B,$B113,$A:$A,$K113)))</f>
        <v/>
      </c>
      <c r="N113" s="16">
        <f>IF(OR($K113="",F113=""),"",IF(COUNTIFS($B:$B,$B113,$A:$A,$K113,F:F,"&gt;=0")=0,"",F113-SUMIFS(F:F,$B:$B,$B113,$A:$A,$K113)))</f>
        <v/>
      </c>
      <c r="O113" s="16">
        <f>IF(OR($K113="",G113=""),"",IF(COUNTIFS($B:$B,$B113,$A:$A,$K113,G:G,"&gt;=0")=0,"",G113-SUMIFS(G:G,$B:$B,$B113,$A:$A,$K113)))</f>
        <v/>
      </c>
    </row>
    <row r="114">
      <c r="A114" s="15" t="n">
        <v>46318</v>
      </c>
      <c r="B114" s="5" t="inlineStr">
        <is>
          <t>SSD NVMe 1TB</t>
        </is>
      </c>
      <c r="C114" s="5" t="inlineStr">
        <is>
          <t>SSD</t>
        </is>
      </c>
      <c r="D114" s="7" t="n">
        <v>114.99</v>
      </c>
      <c r="E114" s="7" t="n">
        <v>85</v>
      </c>
      <c r="F114" s="2" t="n"/>
      <c r="G114" s="2" t="n"/>
      <c r="H114" s="9">
        <f>IFERROR(IF(INDEX(Dólar!$B:$B,MATCH(A114,Dólar!$A:$A,0))="","",INDEX(Dólar!$B:$B,MATCH(A114,Dólar!$A:$A,0))),"")</f>
        <v/>
      </c>
      <c r="I114" s="10">
        <f>IFERROR(INDEX(Dólar!$E:$E,MATCH(A114,Dólar!$A:$A,0)),"")</f>
        <v/>
      </c>
      <c r="J114" s="6" t="inlineStr">
        <is>
          <t>ver anuncio</t>
        </is>
      </c>
      <c r="K114" s="15" t="n">
        <v>46317</v>
      </c>
      <c r="L114" s="16">
        <f>IF(OR($K114="",D114=""),"",IF(COUNTIFS($B:$B,$B114,$A:$A,$K114,D:D,"&gt;=0")=0,"",D114-SUMIFS(D:D,$B:$B,$B114,$A:$A,$K114)))</f>
        <v/>
      </c>
      <c r="M114" s="16">
        <f>IF(OR($K114="",E114=""),"",IF(COUNTIFS($B:$B,$B114,$A:$A,$K114,E:E,"&gt;=0")=0,"",E114-SUMIFS(E:E,$B:$B,$B114,$A:$A,$K114)))</f>
        <v/>
      </c>
      <c r="N114" s="16">
        <f>IF(OR($K114="",F114=""),"",IF(COUNTIFS($B:$B,$B114,$A:$A,$K114,F:F,"&gt;=0")=0,"",F114-SUMIFS(F:F,$B:$B,$B114,$A:$A,$K114)))</f>
        <v/>
      </c>
      <c r="O114" s="16">
        <f>IF(OR($K114="",G114=""),"",IF(COUNTIFS($B:$B,$B114,$A:$A,$K114,G:G,"&gt;=0")=0,"",G114-SUMIFS(G:G,$B:$B,$B114,$A:$A,$K114)))</f>
        <v/>
      </c>
    </row>
    <row r="115">
      <c r="A115" s="15" t="n">
        <v>46318</v>
      </c>
      <c r="B115" s="5" t="inlineStr">
        <is>
          <t>Ryzen 9 9950X</t>
        </is>
      </c>
      <c r="C115" s="5" t="inlineStr">
        <is>
          <t>CPU</t>
        </is>
      </c>
      <c r="D115" s="7" t="n">
        <v>549.99</v>
      </c>
      <c r="E115" s="7" t="n">
        <v>454.99</v>
      </c>
      <c r="F115" s="2" t="n"/>
      <c r="G115" s="2" t="n"/>
      <c r="H115" s="9">
        <f>IFERROR(IF(INDEX(Dólar!$B:$B,MATCH(A115,Dólar!$A:$A,0))="","",INDEX(Dólar!$B:$B,MATCH(A115,Dólar!$A:$A,0))),"")</f>
        <v/>
      </c>
      <c r="I115" s="10">
        <f>IFERROR(INDEX(Dólar!$E:$E,MATCH(A115,Dólar!$A:$A,0)),"")</f>
        <v/>
      </c>
      <c r="J115" s="6" t="inlineStr">
        <is>
          <t>ver anuncio</t>
        </is>
      </c>
      <c r="K115" s="15" t="n">
        <v>46317</v>
      </c>
      <c r="L115" s="16">
        <f>IF(OR($K115="",D115=""),"",IF(COUNTIFS($B:$B,$B115,$A:$A,$K115,D:D,"&gt;=0")=0,"",D115-SUMIFS(D:D,$B:$B,$B115,$A:$A,$K115)))</f>
        <v/>
      </c>
      <c r="M115" s="16">
        <f>IF(OR($K115="",E115=""),"",IF(COUNTIFS($B:$B,$B115,$A:$A,$K115,E:E,"&gt;=0")=0,"",E115-SUMIFS(E:E,$B:$B,$B115,$A:$A,$K115)))</f>
        <v/>
      </c>
      <c r="N115" s="16">
        <f>IF(OR($K115="",F115=""),"",IF(COUNTIFS($B:$B,$B115,$A:$A,$K115,F:F,"&gt;=0")=0,"",F115-SUMIFS(F:F,$B:$B,$B115,$A:$A,$K115)))</f>
        <v/>
      </c>
      <c r="O115" s="16">
        <f>IF(OR($K115="",G115=""),"",IF(COUNTIFS($B:$B,$B115,$A:$A,$K115,G:G,"&gt;=0")=0,"",G115-SUMIFS(G:G,$B:$B,$B115,$A:$A,$K115)))</f>
        <v/>
      </c>
    </row>
    <row r="116">
      <c r="A116" s="15" t="n">
        <v>46318</v>
      </c>
      <c r="B116" s="5" t="inlineStr">
        <is>
          <t>Ryzen 7 7800X3D</t>
        </is>
      </c>
      <c r="C116" s="5" t="inlineStr">
        <is>
          <t>CPU</t>
        </is>
      </c>
      <c r="D116" s="7" t="n">
        <v>299.99</v>
      </c>
      <c r="E116" s="7" t="n">
        <v>279.95</v>
      </c>
      <c r="F116" s="2" t="n"/>
      <c r="G116" s="2" t="n"/>
      <c r="H116" s="9">
        <f>IFERROR(IF(INDEX(Dólar!$B:$B,MATCH(A116,Dólar!$A:$A,0))="","",INDEX(Dólar!$B:$B,MATCH(A116,Dólar!$A:$A,0))),"")</f>
        <v/>
      </c>
      <c r="I116" s="10">
        <f>IFERROR(INDEX(Dólar!$E:$E,MATCH(A116,Dólar!$A:$A,0)),"")</f>
        <v/>
      </c>
      <c r="J116" s="6" t="inlineStr">
        <is>
          <t>ver anuncio</t>
        </is>
      </c>
      <c r="K116" s="15" t="n">
        <v>46317</v>
      </c>
      <c r="L116" s="16">
        <f>IF(OR($K116="",D116=""),"",IF(COUNTIFS($B:$B,$B116,$A:$A,$K116,D:D,"&gt;=0")=0,"",D116-SUMIFS(D:D,$B:$B,$B116,$A:$A,$K116)))</f>
        <v/>
      </c>
      <c r="M116" s="16">
        <f>IF(OR($K116="",E116=""),"",IF(COUNTIFS($B:$B,$B116,$A:$A,$K116,E:E,"&gt;=0")=0,"",E116-SUMIFS(E:E,$B:$B,$B116,$A:$A,$K116)))</f>
        <v/>
      </c>
      <c r="N116" s="16">
        <f>IF(OR($K116="",F116=""),"",IF(COUNTIFS($B:$B,$B116,$A:$A,$K116,F:F,"&gt;=0")=0,"",F116-SUMIFS(F:F,$B:$B,$B116,$A:$A,$K116)))</f>
        <v/>
      </c>
      <c r="O116" s="16">
        <f>IF(OR($K116="",G116=""),"",IF(COUNTIFS($B:$B,$B116,$A:$A,$K116,G:G,"&gt;=0")=0,"",G116-SUMIFS(G:G,$B:$B,$B116,$A:$A,$K116)))</f>
        <v/>
      </c>
    </row>
    <row r="117">
      <c r="A117" s="15" t="n">
        <v>46318</v>
      </c>
      <c r="B117" s="5" t="inlineStr">
        <is>
          <t>Ryzen 7 7700X</t>
        </is>
      </c>
      <c r="C117" s="5" t="inlineStr">
        <is>
          <t>CPU</t>
        </is>
      </c>
      <c r="D117" s="7" t="n">
        <v>212</v>
      </c>
      <c r="E117" s="7" t="n">
        <v>189.99</v>
      </c>
      <c r="F117" s="2" t="n"/>
      <c r="G117" s="8" t="n">
        <v>3673.5</v>
      </c>
      <c r="H117" s="9">
        <f>IFERROR(IF(INDEX(Dólar!$B:$B,MATCH(A117,Dólar!$A:$A,0))="","",INDEX(Dólar!$B:$B,MATCH(A117,Dólar!$A:$A,0))),"")</f>
        <v/>
      </c>
      <c r="I117" s="10">
        <f>IFERROR(INDEX(Dólar!$E:$E,MATCH(A117,Dólar!$A:$A,0)),"")</f>
        <v/>
      </c>
      <c r="J117" s="6" t="inlineStr">
        <is>
          <t>ver anuncio</t>
        </is>
      </c>
      <c r="K117" s="15" t="n">
        <v>46317</v>
      </c>
      <c r="L117" s="16">
        <f>IF(OR($K117="",D117=""),"",IF(COUNTIFS($B:$B,$B117,$A:$A,$K117,D:D,"&gt;=0")=0,"",D117-SUMIFS(D:D,$B:$B,$B117,$A:$A,$K117)))</f>
        <v/>
      </c>
      <c r="M117" s="16">
        <f>IF(OR($K117="",E117=""),"",IF(COUNTIFS($B:$B,$B117,$A:$A,$K117,E:E,"&gt;=0")=0,"",E117-SUMIFS(E:E,$B:$B,$B117,$A:$A,$K117)))</f>
        <v/>
      </c>
      <c r="N117" s="16">
        <f>IF(OR($K117="",F117=""),"",IF(COUNTIFS($B:$B,$B117,$A:$A,$K117,F:F,"&gt;=0")=0,"",F117-SUMIFS(F:F,$B:$B,$B117,$A:$A,$K117)))</f>
        <v/>
      </c>
      <c r="O117" s="16">
        <f>IF(OR($K117="",G117=""),"",IF(COUNTIFS($B:$B,$B117,$A:$A,$K117,G:G,"&gt;=0")=0,"",G117-SUMIFS(G:G,$B:$B,$B117,$A:$A,$K117)))</f>
        <v/>
      </c>
    </row>
    <row r="118">
      <c r="A118" s="15" t="n">
        <v>46318</v>
      </c>
      <c r="B118" s="5" t="inlineStr">
        <is>
          <t>Ryzen 7 5700X3D</t>
        </is>
      </c>
      <c r="C118" s="5" t="inlineStr">
        <is>
          <t>CPU</t>
        </is>
      </c>
      <c r="D118" s="2" t="n"/>
      <c r="E118" s="7" t="n">
        <v>304.95</v>
      </c>
      <c r="F118" s="2" t="n"/>
      <c r="G118" s="2" t="n"/>
      <c r="H118" s="9">
        <f>IFERROR(IF(INDEX(Dólar!$B:$B,MATCH(A118,Dólar!$A:$A,0))="","",INDEX(Dólar!$B:$B,MATCH(A118,Dólar!$A:$A,0))),"")</f>
        <v/>
      </c>
      <c r="I118" s="10">
        <f>IFERROR(INDEX(Dólar!$E:$E,MATCH(A118,Dólar!$A:$A,0)),"")</f>
        <v/>
      </c>
      <c r="J118" s="6" t="inlineStr">
        <is>
          <t>ver anuncio</t>
        </is>
      </c>
      <c r="K118" s="15" t="n">
        <v>46317</v>
      </c>
      <c r="L118" s="16">
        <f>IF(OR($K118="",D118=""),"",IF(COUNTIFS($B:$B,$B118,$A:$A,$K118,D:D,"&gt;=0")=0,"",D118-SUMIFS(D:D,$B:$B,$B118,$A:$A,$K118)))</f>
        <v/>
      </c>
      <c r="M118" s="16">
        <f>IF(OR($K118="",E118=""),"",IF(COUNTIFS($B:$B,$B118,$A:$A,$K118,E:E,"&gt;=0")=0,"",E118-SUMIFS(E:E,$B:$B,$B118,$A:$A,$K118)))</f>
        <v/>
      </c>
      <c r="N118" s="16">
        <f>IF(OR($K118="",F118=""),"",IF(COUNTIFS($B:$B,$B118,$A:$A,$K118,F:F,"&gt;=0")=0,"",F118-SUMIFS(F:F,$B:$B,$B118,$A:$A,$K118)))</f>
        <v/>
      </c>
      <c r="O118" s="16">
        <f>IF(OR($K118="",G118=""),"",IF(COUNTIFS($B:$B,$B118,$A:$A,$K118,G:G,"&gt;=0")=0,"",G118-SUMIFS(G:G,$B:$B,$B118,$A:$A,$K118)))</f>
        <v/>
      </c>
    </row>
    <row r="119">
      <c r="A119" s="15" t="n">
        <v>46318</v>
      </c>
      <c r="B119" s="5" t="inlineStr">
        <is>
          <t>Ryzen 5 7600</t>
        </is>
      </c>
      <c r="C119" s="5" t="inlineStr">
        <is>
          <t>CPU</t>
        </is>
      </c>
      <c r="D119" s="7" t="n">
        <v>199.99</v>
      </c>
      <c r="E119" s="7" t="n">
        <v>119</v>
      </c>
      <c r="F119" s="2" t="n"/>
      <c r="G119" s="2" t="n"/>
      <c r="H119" s="9">
        <f>IFERROR(IF(INDEX(Dólar!$B:$B,MATCH(A119,Dólar!$A:$A,0))="","",INDEX(Dólar!$B:$B,MATCH(A119,Dólar!$A:$A,0))),"")</f>
        <v/>
      </c>
      <c r="I119" s="10">
        <f>IFERROR(INDEX(Dólar!$E:$E,MATCH(A119,Dólar!$A:$A,0)),"")</f>
        <v/>
      </c>
      <c r="J119" s="6" t="inlineStr">
        <is>
          <t>ver anuncio</t>
        </is>
      </c>
      <c r="K119" s="15" t="n">
        <v>46317</v>
      </c>
      <c r="L119" s="16">
        <f>IF(OR($K119="",D119=""),"",IF(COUNTIFS($B:$B,$B119,$A:$A,$K119,D:D,"&gt;=0")=0,"",D119-SUMIFS(D:D,$B:$B,$B119,$A:$A,$K119)))</f>
        <v/>
      </c>
      <c r="M119" s="16">
        <f>IF(OR($K119="",E119=""),"",IF(COUNTIFS($B:$B,$B119,$A:$A,$K119,E:E,"&gt;=0")=0,"",E119-SUMIFS(E:E,$B:$B,$B119,$A:$A,$K119)))</f>
        <v/>
      </c>
      <c r="N119" s="16">
        <f>IF(OR($K119="",F119=""),"",IF(COUNTIFS($B:$B,$B119,$A:$A,$K119,F:F,"&gt;=0")=0,"",F119-SUMIFS(F:F,$B:$B,$B119,$A:$A,$K119)))</f>
        <v/>
      </c>
      <c r="O119" s="16">
        <f>IF(OR($K119="",G119=""),"",IF(COUNTIFS($B:$B,$B119,$A:$A,$K119,G:G,"&gt;=0")=0,"",G119-SUMIFS(G:G,$B:$B,$B119,$A:$A,$K119)))</f>
        <v/>
      </c>
    </row>
    <row r="120">
      <c r="A120" s="15" t="n">
        <v>46318</v>
      </c>
      <c r="B120" s="5" t="inlineStr">
        <is>
          <t>Ryzen 5 7500F</t>
        </is>
      </c>
      <c r="C120" s="5" t="inlineStr">
        <is>
          <t>CPU</t>
        </is>
      </c>
      <c r="D120" s="7" t="n">
        <v>135.99</v>
      </c>
      <c r="E120" s="7" t="n">
        <v>129.99</v>
      </c>
      <c r="F120" s="2" t="n"/>
      <c r="G120" s="2" t="n"/>
      <c r="H120" s="9">
        <f>IFERROR(IF(INDEX(Dólar!$B:$B,MATCH(A120,Dólar!$A:$A,0))="","",INDEX(Dólar!$B:$B,MATCH(A120,Dólar!$A:$A,0))),"")</f>
        <v/>
      </c>
      <c r="I120" s="10">
        <f>IFERROR(INDEX(Dólar!$E:$E,MATCH(A120,Dólar!$A:$A,0)),"")</f>
        <v/>
      </c>
      <c r="J120" s="6" t="inlineStr">
        <is>
          <t>ver anuncio</t>
        </is>
      </c>
      <c r="K120" s="15" t="n">
        <v>46317</v>
      </c>
      <c r="L120" s="16">
        <f>IF(OR($K120="",D120=""),"",IF(COUNTIFS($B:$B,$B120,$A:$A,$K120,D:D,"&gt;=0")=0,"",D120-SUMIFS(D:D,$B:$B,$B120,$A:$A,$K120)))</f>
        <v/>
      </c>
      <c r="M120" s="16">
        <f>IF(OR($K120="",E120=""),"",IF(COUNTIFS($B:$B,$B120,$A:$A,$K120,E:E,"&gt;=0")=0,"",E120-SUMIFS(E:E,$B:$B,$B120,$A:$A,$K120)))</f>
        <v/>
      </c>
      <c r="N120" s="16">
        <f>IF(OR($K120="",F120=""),"",IF(COUNTIFS($B:$B,$B120,$A:$A,$K120,F:F,"&gt;=0")=0,"",F120-SUMIFS(F:F,$B:$B,$B120,$A:$A,$K120)))</f>
        <v/>
      </c>
      <c r="O120" s="16">
        <f>IF(OR($K120="",G120=""),"",IF(COUNTIFS($B:$B,$B120,$A:$A,$K120,G:G,"&gt;=0")=0,"",G120-SUMIFS(G:G,$B:$B,$B120,$A:$A,$K120)))</f>
        <v/>
      </c>
    </row>
    <row r="121">
      <c r="A121" s="15" t="n">
        <v>46318</v>
      </c>
      <c r="B121" s="5" t="inlineStr">
        <is>
          <t>Ryzen 5 5600</t>
        </is>
      </c>
      <c r="C121" s="5" t="inlineStr">
        <is>
          <t>CPU</t>
        </is>
      </c>
      <c r="D121" s="7" t="n">
        <v>135.98</v>
      </c>
      <c r="E121" s="7" t="n">
        <v>129.99</v>
      </c>
      <c r="F121" s="2" t="n"/>
      <c r="G121" s="2" t="n"/>
      <c r="H121" s="9">
        <f>IFERROR(IF(INDEX(Dólar!$B:$B,MATCH(A121,Dólar!$A:$A,0))="","",INDEX(Dólar!$B:$B,MATCH(A121,Dólar!$A:$A,0))),"")</f>
        <v/>
      </c>
      <c r="I121" s="10">
        <f>IFERROR(INDEX(Dólar!$E:$E,MATCH(A121,Dólar!$A:$A,0)),"")</f>
        <v/>
      </c>
      <c r="J121" s="6" t="inlineStr">
        <is>
          <t>ver anuncio</t>
        </is>
      </c>
      <c r="K121" s="15" t="n">
        <v>46317</v>
      </c>
      <c r="L121" s="16">
        <f>IF(OR($K121="",D121=""),"",IF(COUNTIFS($B:$B,$B121,$A:$A,$K121,D:D,"&gt;=0")=0,"",D121-SUMIFS(D:D,$B:$B,$B121,$A:$A,$K121)))</f>
        <v/>
      </c>
      <c r="M121" s="16">
        <f>IF(OR($K121="",E121=""),"",IF(COUNTIFS($B:$B,$B121,$A:$A,$K121,E:E,"&gt;=0")=0,"",E121-SUMIFS(E:E,$B:$B,$B121,$A:$A,$K121)))</f>
        <v/>
      </c>
      <c r="N121" s="16">
        <f>IF(OR($K121="",F121=""),"",IF(COUNTIFS($B:$B,$B121,$A:$A,$K121,F:F,"&gt;=0")=0,"",F121-SUMIFS(F:F,$B:$B,$B121,$A:$A,$K121)))</f>
        <v/>
      </c>
      <c r="O121" s="16">
        <f>IF(OR($K121="",G121=""),"",IF(COUNTIFS($B:$B,$B121,$A:$A,$K121,G:G,"&gt;=0")=0,"",G121-SUMIFS(G:G,$B:$B,$B121,$A:$A,$K121)))</f>
        <v/>
      </c>
    </row>
    <row r="122">
      <c r="A122" s="15" t="n">
        <v>46318</v>
      </c>
      <c r="B122" s="5" t="inlineStr">
        <is>
          <t>RAM DDR4 16GB (2x8) 3200</t>
        </is>
      </c>
      <c r="C122" s="5" t="inlineStr">
        <is>
          <t>RAM</t>
        </is>
      </c>
      <c r="D122" s="7" t="n">
        <v>98.66</v>
      </c>
      <c r="E122" s="7" t="n">
        <v>64.98999999999999</v>
      </c>
      <c r="F122" s="8" t="n">
        <v>1600</v>
      </c>
      <c r="G122" s="2" t="n"/>
      <c r="H122" s="9">
        <f>IFERROR(IF(INDEX(Dólar!$B:$B,MATCH(A122,Dólar!$A:$A,0))="","",INDEX(Dólar!$B:$B,MATCH(A122,Dólar!$A:$A,0))),"")</f>
        <v/>
      </c>
      <c r="I122" s="10">
        <f>IFERROR(INDEX(Dólar!$E:$E,MATCH(A122,Dólar!$A:$A,0)),"")</f>
        <v/>
      </c>
      <c r="J122" s="6" t="inlineStr">
        <is>
          <t>ver anuncio</t>
        </is>
      </c>
      <c r="K122" s="15" t="n">
        <v>46317</v>
      </c>
      <c r="L122" s="16">
        <f>IF(OR($K122="",D122=""),"",IF(COUNTIFS($B:$B,$B122,$A:$A,$K122,D:D,"&gt;=0")=0,"",D122-SUMIFS(D:D,$B:$B,$B122,$A:$A,$K122)))</f>
        <v/>
      </c>
      <c r="M122" s="16">
        <f>IF(OR($K122="",E122=""),"",IF(COUNTIFS($B:$B,$B122,$A:$A,$K122,E:E,"&gt;=0")=0,"",E122-SUMIFS(E:E,$B:$B,$B122,$A:$A,$K122)))</f>
        <v/>
      </c>
      <c r="N122" s="16">
        <f>IF(OR($K122="",F122=""),"",IF(COUNTIFS($B:$B,$B122,$A:$A,$K122,F:F,"&gt;=0")=0,"",F122-SUMIFS(F:F,$B:$B,$B122,$A:$A,$K122)))</f>
        <v/>
      </c>
      <c r="O122" s="16">
        <f>IF(OR($K122="",G122=""),"",IF(COUNTIFS($B:$B,$B122,$A:$A,$K122,G:G,"&gt;=0")=0,"",G122-SUMIFS(G:G,$B:$B,$B122,$A:$A,$K122)))</f>
        <v/>
      </c>
    </row>
    <row r="123">
      <c r="A123" s="15" t="n">
        <v>46318</v>
      </c>
      <c r="B123" s="5" t="inlineStr">
        <is>
          <t>Intel Core i5-14400F</t>
        </is>
      </c>
      <c r="C123" s="5" t="inlineStr">
        <is>
          <t>CPU</t>
        </is>
      </c>
      <c r="D123" s="7" t="n">
        <v>164.49</v>
      </c>
      <c r="E123" s="7" t="n">
        <v>130</v>
      </c>
      <c r="F123" s="2" t="n"/>
      <c r="G123" s="2" t="n"/>
      <c r="H123" s="9">
        <f>IFERROR(IF(INDEX(Dólar!$B:$B,MATCH(A123,Dólar!$A:$A,0))="","",INDEX(Dólar!$B:$B,MATCH(A123,Dólar!$A:$A,0))),"")</f>
        <v/>
      </c>
      <c r="I123" s="10">
        <f>IFERROR(INDEX(Dólar!$E:$E,MATCH(A123,Dólar!$A:$A,0)),"")</f>
        <v/>
      </c>
      <c r="J123" s="6" t="inlineStr">
        <is>
          <t>ver anuncio</t>
        </is>
      </c>
      <c r="K123" s="15" t="n">
        <v>46317</v>
      </c>
      <c r="L123" s="16">
        <f>IF(OR($K123="",D123=""),"",IF(COUNTIFS($B:$B,$B123,$A:$A,$K123,D:D,"&gt;=0")=0,"",D123-SUMIFS(D:D,$B:$B,$B123,$A:$A,$K123)))</f>
        <v/>
      </c>
      <c r="M123" s="16">
        <f>IF(OR($K123="",E123=""),"",IF(COUNTIFS($B:$B,$B123,$A:$A,$K123,E:E,"&gt;=0")=0,"",E123-SUMIFS(E:E,$B:$B,$B123,$A:$A,$K123)))</f>
        <v/>
      </c>
      <c r="N123" s="16">
        <f>IF(OR($K123="",F123=""),"",IF(COUNTIFS($B:$B,$B123,$A:$A,$K123,F:F,"&gt;=0")=0,"",F123-SUMIFS(F:F,$B:$B,$B123,$A:$A,$K123)))</f>
        <v/>
      </c>
      <c r="O123" s="16">
        <f>IF(OR($K123="",G123=""),"",IF(COUNTIFS($B:$B,$B123,$A:$A,$K123,G:G,"&gt;=0")=0,"",G123-SUMIFS(G:G,$B:$B,$B123,$A:$A,$K123)))</f>
        <v/>
      </c>
    </row>
    <row r="124">
      <c r="A124" s="15" t="n">
        <v>46318</v>
      </c>
      <c r="B124" s="5" t="inlineStr">
        <is>
          <t>Intel Core i5-13400</t>
        </is>
      </c>
      <c r="C124" s="5" t="inlineStr">
        <is>
          <t>CPU</t>
        </is>
      </c>
      <c r="D124" s="2" t="n"/>
      <c r="E124" s="7" t="n">
        <v>145</v>
      </c>
      <c r="F124" s="2" t="n"/>
      <c r="G124" s="2" t="n"/>
      <c r="H124" s="9">
        <f>IFERROR(IF(INDEX(Dólar!$B:$B,MATCH(A124,Dólar!$A:$A,0))="","",INDEX(Dólar!$B:$B,MATCH(A124,Dólar!$A:$A,0))),"")</f>
        <v/>
      </c>
      <c r="I124" s="10">
        <f>IFERROR(INDEX(Dólar!$E:$E,MATCH(A124,Dólar!$A:$A,0)),"")</f>
        <v/>
      </c>
      <c r="J124" s="6" t="inlineStr">
        <is>
          <t>ver anuncio</t>
        </is>
      </c>
      <c r="K124" s="15" t="n">
        <v>46317</v>
      </c>
      <c r="L124" s="16">
        <f>IF(OR($K124="",D124=""),"",IF(COUNTIFS($B:$B,$B124,$A:$A,$K124,D:D,"&gt;=0")=0,"",D124-SUMIFS(D:D,$B:$B,$B124,$A:$A,$K124)))</f>
        <v/>
      </c>
      <c r="M124" s="16">
        <f>IF(OR($K124="",E124=""),"",IF(COUNTIFS($B:$B,$B124,$A:$A,$K124,E:E,"&gt;=0")=0,"",E124-SUMIFS(E:E,$B:$B,$B124,$A:$A,$K124)))</f>
        <v/>
      </c>
      <c r="N124" s="16">
        <f>IF(OR($K124="",F124=""),"",IF(COUNTIFS($B:$B,$B124,$A:$A,$K124,F:F,"&gt;=0")=0,"",F124-SUMIFS(F:F,$B:$B,$B124,$A:$A,$K124)))</f>
        <v/>
      </c>
      <c r="O124" s="16">
        <f>IF(OR($K124="",G124=""),"",IF(COUNTIFS($B:$B,$B124,$A:$A,$K124,G:G,"&gt;=0")=0,"",G124-SUMIFS(G:G,$B:$B,$B124,$A:$A,$K124)))</f>
        <v/>
      </c>
    </row>
    <row r="125">
      <c r="A125" s="15" t="n">
        <v>46318</v>
      </c>
      <c r="B125" s="5" t="inlineStr">
        <is>
          <t>Intel Core i5-12400F</t>
        </is>
      </c>
      <c r="C125" s="5" t="inlineStr">
        <is>
          <t>CPU</t>
        </is>
      </c>
      <c r="D125" s="7" t="n">
        <v>145</v>
      </c>
      <c r="E125" s="7" t="n">
        <v>119.99</v>
      </c>
      <c r="F125" s="2" t="n"/>
      <c r="G125" s="2" t="n"/>
      <c r="H125" s="9">
        <f>IFERROR(IF(INDEX(Dólar!$B:$B,MATCH(A125,Dólar!$A:$A,0))="","",INDEX(Dólar!$B:$B,MATCH(A125,Dólar!$A:$A,0))),"")</f>
        <v/>
      </c>
      <c r="I125" s="10">
        <f>IFERROR(INDEX(Dólar!$E:$E,MATCH(A125,Dólar!$A:$A,0)),"")</f>
        <v/>
      </c>
      <c r="J125" s="6" t="inlineStr">
        <is>
          <t>ver anuncio</t>
        </is>
      </c>
      <c r="K125" s="15" t="n">
        <v>46317</v>
      </c>
      <c r="L125" s="16">
        <f>IF(OR($K125="",D125=""),"",IF(COUNTIFS($B:$B,$B125,$A:$A,$K125,D:D,"&gt;=0")=0,"",D125-SUMIFS(D:D,$B:$B,$B125,$A:$A,$K125)))</f>
        <v/>
      </c>
      <c r="M125" s="16">
        <f>IF(OR($K125="",E125=""),"",IF(COUNTIFS($B:$B,$B125,$A:$A,$K125,E:E,"&gt;=0")=0,"",E125-SUMIFS(E:E,$B:$B,$B125,$A:$A,$K125)))</f>
        <v/>
      </c>
      <c r="N125" s="16">
        <f>IF(OR($K125="",F125=""),"",IF(COUNTIFS($B:$B,$B125,$A:$A,$K125,F:F,"&gt;=0")=0,"",F125-SUMIFS(F:F,$B:$B,$B125,$A:$A,$K125)))</f>
        <v/>
      </c>
      <c r="O125" s="16">
        <f>IF(OR($K125="",G125=""),"",IF(COUNTIFS($B:$B,$B125,$A:$A,$K125,G:G,"&gt;=0")=0,"",G125-SUMIFS(G:G,$B:$B,$B125,$A:$A,$K125)))</f>
        <v/>
      </c>
    </row>
    <row r="126">
      <c r="A126" s="15" t="n">
        <v>46318</v>
      </c>
      <c r="B126" s="5" t="inlineStr">
        <is>
          <t>Intel Core Ultra 7 265K</t>
        </is>
      </c>
      <c r="C126" s="5" t="inlineStr">
        <is>
          <t>CPU</t>
        </is>
      </c>
      <c r="D126" s="7" t="n">
        <v>259.99</v>
      </c>
      <c r="E126" s="2" t="n"/>
      <c r="F126" s="2" t="n"/>
      <c r="G126" s="2" t="n"/>
      <c r="H126" s="9">
        <f>IFERROR(IF(INDEX(Dólar!$B:$B,MATCH(A126,Dólar!$A:$A,0))="","",INDEX(Dólar!$B:$B,MATCH(A126,Dólar!$A:$A,0))),"")</f>
        <v/>
      </c>
      <c r="I126" s="10">
        <f>IFERROR(INDEX(Dólar!$E:$E,MATCH(A126,Dólar!$A:$A,0)),"")</f>
        <v/>
      </c>
      <c r="J126" s="6" t="inlineStr">
        <is>
          <t>ver anuncio</t>
        </is>
      </c>
      <c r="K126" s="15" t="n">
        <v>46317</v>
      </c>
      <c r="L126" s="16">
        <f>IF(OR($K126="",D126=""),"",IF(COUNTIFS($B:$B,$B126,$A:$A,$K126,D:D,"&gt;=0")=0,"",D126-SUMIFS(D:D,$B:$B,$B126,$A:$A,$K126)))</f>
        <v/>
      </c>
      <c r="M126" s="16">
        <f>IF(OR($K126="",E126=""),"",IF(COUNTIFS($B:$B,$B126,$A:$A,$K126,E:E,"&gt;=0")=0,"",E126-SUMIFS(E:E,$B:$B,$B126,$A:$A,$K126)))</f>
        <v/>
      </c>
      <c r="N126" s="16">
        <f>IF(OR($K126="",F126=""),"",IF(COUNTIFS($B:$B,$B126,$A:$A,$K126,F:F,"&gt;=0")=0,"",F126-SUMIFS(F:F,$B:$B,$B126,$A:$A,$K126)))</f>
        <v/>
      </c>
      <c r="O126" s="16">
        <f>IF(OR($K126="",G126=""),"",IF(COUNTIFS($B:$B,$B126,$A:$A,$K126,G:G,"&gt;=0")=0,"",G126-SUMIFS(G:G,$B:$B,$B126,$A:$A,$K126)))</f>
        <v/>
      </c>
    </row>
    <row r="127">
      <c r="A127" s="15" t="n">
        <v>46318</v>
      </c>
      <c r="B127" s="5" t="inlineStr">
        <is>
          <t>Corsair Vengeance RGB DDR5 32GB (2x16) 6000</t>
        </is>
      </c>
      <c r="C127" s="5" t="inlineStr">
        <is>
          <t>RAM</t>
        </is>
      </c>
      <c r="D127" s="7" t="n">
        <v>465</v>
      </c>
      <c r="E127" s="7" t="n">
        <v>389.99</v>
      </c>
      <c r="F127" s="2" t="n"/>
      <c r="G127" s="2" t="n"/>
      <c r="H127" s="9">
        <f>IFERROR(IF(INDEX(Dólar!$B:$B,MATCH(A127,Dólar!$A:$A,0))="","",INDEX(Dólar!$B:$B,MATCH(A127,Dólar!$A:$A,0))),"")</f>
        <v/>
      </c>
      <c r="I127" s="10">
        <f>IFERROR(INDEX(Dólar!$E:$E,MATCH(A127,Dólar!$A:$A,0)),"")</f>
        <v/>
      </c>
      <c r="J127" s="6" t="inlineStr">
        <is>
          <t>ver anuncio</t>
        </is>
      </c>
      <c r="K127" s="15" t="n">
        <v>46317</v>
      </c>
      <c r="L127" s="16">
        <f>IF(OR($K127="",D127=""),"",IF(COUNTIFS($B:$B,$B127,$A:$A,$K127,D:D,"&gt;=0")=0,"",D127-SUMIFS(D:D,$B:$B,$B127,$A:$A,$K127)))</f>
        <v/>
      </c>
      <c r="M127" s="16">
        <f>IF(OR($K127="",E127=""),"",IF(COUNTIFS($B:$B,$B127,$A:$A,$K127,E:E,"&gt;=0")=0,"",E127-SUMIFS(E:E,$B:$B,$B127,$A:$A,$K127)))</f>
        <v/>
      </c>
      <c r="N127" s="16">
        <f>IF(OR($K127="",F127=""),"",IF(COUNTIFS($B:$B,$B127,$A:$A,$K127,F:F,"&gt;=0")=0,"",F127-SUMIFS(F:F,$B:$B,$B127,$A:$A,$K127)))</f>
        <v/>
      </c>
      <c r="O127" s="16">
        <f>IF(OR($K127="",G127=""),"",IF(COUNTIFS($B:$B,$B127,$A:$A,$K127,G:G,"&gt;=0")=0,"",G127-SUMIFS(G:G,$B:$B,$B127,$A:$A,$K127)))</f>
        <v/>
      </c>
    </row>
    <row r="128">
      <c r="A128" s="15" t="n">
        <v>46318</v>
      </c>
      <c r="B128" s="5" t="inlineStr">
        <is>
          <t>Corsair Vengeance RGB DDR5 32GB (2x16) 5600</t>
        </is>
      </c>
      <c r="C128" s="5" t="inlineStr">
        <is>
          <t>RAM</t>
        </is>
      </c>
      <c r="D128" s="7" t="n">
        <v>465</v>
      </c>
      <c r="E128" s="7" t="n">
        <v>399.99</v>
      </c>
      <c r="F128" s="2" t="n"/>
      <c r="G128" s="2" t="n"/>
      <c r="H128" s="9">
        <f>IFERROR(IF(INDEX(Dólar!$B:$B,MATCH(A128,Dólar!$A:$A,0))="","",INDEX(Dólar!$B:$B,MATCH(A128,Dólar!$A:$A,0))),"")</f>
        <v/>
      </c>
      <c r="I128" s="10">
        <f>IFERROR(INDEX(Dólar!$E:$E,MATCH(A128,Dólar!$A:$A,0)),"")</f>
        <v/>
      </c>
      <c r="J128" s="6" t="inlineStr">
        <is>
          <t>ver anuncio</t>
        </is>
      </c>
      <c r="K128" s="15" t="n">
        <v>46317</v>
      </c>
      <c r="L128" s="16">
        <f>IF(OR($K128="",D128=""),"",IF(COUNTIFS($B:$B,$B128,$A:$A,$K128,D:D,"&gt;=0")=0,"",D128-SUMIFS(D:D,$B:$B,$B128,$A:$A,$K128)))</f>
        <v/>
      </c>
      <c r="M128" s="16">
        <f>IF(OR($K128="",E128=""),"",IF(COUNTIFS($B:$B,$B128,$A:$A,$K128,E:E,"&gt;=0")=0,"",E128-SUMIFS(E:E,$B:$B,$B128,$A:$A,$K128)))</f>
        <v/>
      </c>
      <c r="N128" s="16">
        <f>IF(OR($K128="",F128=""),"",IF(COUNTIFS($B:$B,$B128,$A:$A,$K128,F:F,"&gt;=0")=0,"",F128-SUMIFS(F:F,$B:$B,$B128,$A:$A,$K128)))</f>
        <v/>
      </c>
      <c r="O128" s="16">
        <f>IF(OR($K128="",G128=""),"",IF(COUNTIFS($B:$B,$B128,$A:$A,$K128,G:G,"&gt;=0")=0,"",G128-SUMIFS(G:G,$B:$B,$B128,$A:$A,$K128)))</f>
        <v/>
      </c>
    </row>
    <row r="129">
      <c r="A129" s="15" t="n">
        <v>46317</v>
      </c>
      <c r="B129" s="5" t="inlineStr">
        <is>
          <t>SSD NVMe 2TB</t>
        </is>
      </c>
      <c r="C129" s="5" t="inlineStr">
        <is>
          <t>SSD</t>
        </is>
      </c>
      <c r="D129" s="7" t="n">
        <v>208</v>
      </c>
      <c r="E129" s="7" t="n">
        <v>184.99</v>
      </c>
      <c r="F129" s="2" t="n"/>
      <c r="G129" s="2" t="n"/>
      <c r="H129" s="9">
        <f>IFERROR(IF(INDEX(Dólar!$B:$B,MATCH(A129,Dólar!$A:$A,0))="","",INDEX(Dólar!$B:$B,MATCH(A129,Dólar!$A:$A,0))),"")</f>
        <v/>
      </c>
      <c r="I129" s="10">
        <f>IFERROR(INDEX(Dólar!$E:$E,MATCH(A129,Dólar!$A:$A,0)),"")</f>
        <v/>
      </c>
      <c r="J129" s="6" t="inlineStr">
        <is>
          <t>ver anuncio</t>
        </is>
      </c>
      <c r="K129" s="15" t="n">
        <v>46316</v>
      </c>
      <c r="L129" s="16">
        <f>IF(OR($K129="",D129=""),"",IF(COUNTIFS($B:$B,$B129,$A:$A,$K129,D:D,"&gt;=0")=0,"",D129-SUMIFS(D:D,$B:$B,$B129,$A:$A,$K129)))</f>
        <v/>
      </c>
      <c r="M129" s="16">
        <f>IF(OR($K129="",E129=""),"",IF(COUNTIFS($B:$B,$B129,$A:$A,$K129,E:E,"&gt;=0")=0,"",E129-SUMIFS(E:E,$B:$B,$B129,$A:$A,$K129)))</f>
        <v/>
      </c>
      <c r="N129" s="16">
        <f>IF(OR($K129="",F129=""),"",IF(COUNTIFS($B:$B,$B129,$A:$A,$K129,F:F,"&gt;=0")=0,"",F129-SUMIFS(F:F,$B:$B,$B129,$A:$A,$K129)))</f>
        <v/>
      </c>
      <c r="O129" s="16">
        <f>IF(OR($K129="",G129=""),"",IF(COUNTIFS($B:$B,$B129,$A:$A,$K129,G:G,"&gt;=0")=0,"",G129-SUMIFS(G:G,$B:$B,$B129,$A:$A,$K129)))</f>
        <v/>
      </c>
    </row>
    <row r="130">
      <c r="A130" s="15" t="n">
        <v>46317</v>
      </c>
      <c r="B130" s="5" t="inlineStr">
        <is>
          <t>SSD NVMe 1TB</t>
        </is>
      </c>
      <c r="C130" s="5" t="inlineStr">
        <is>
          <t>SSD</t>
        </is>
      </c>
      <c r="D130" s="7" t="n">
        <v>114.99</v>
      </c>
      <c r="E130" s="7" t="n">
        <v>85</v>
      </c>
      <c r="F130" s="8" t="n">
        <v>2050</v>
      </c>
      <c r="G130" s="2" t="n"/>
      <c r="H130" s="9">
        <f>IFERROR(IF(INDEX(Dólar!$B:$B,MATCH(A130,Dólar!$A:$A,0))="","",INDEX(Dólar!$B:$B,MATCH(A130,Dólar!$A:$A,0))),"")</f>
        <v/>
      </c>
      <c r="I130" s="10">
        <f>IFERROR(INDEX(Dólar!$E:$E,MATCH(A130,Dólar!$A:$A,0)),"")</f>
        <v/>
      </c>
      <c r="J130" s="6" t="inlineStr">
        <is>
          <t>ver anuncio</t>
        </is>
      </c>
      <c r="K130" s="15" t="n">
        <v>46316</v>
      </c>
      <c r="L130" s="16">
        <f>IF(OR($K130="",D130=""),"",IF(COUNTIFS($B:$B,$B130,$A:$A,$K130,D:D,"&gt;=0")=0,"",D130-SUMIFS(D:D,$B:$B,$B130,$A:$A,$K130)))</f>
        <v/>
      </c>
      <c r="M130" s="16">
        <f>IF(OR($K130="",E130=""),"",IF(COUNTIFS($B:$B,$B130,$A:$A,$K130,E:E,"&gt;=0")=0,"",E130-SUMIFS(E:E,$B:$B,$B130,$A:$A,$K130)))</f>
        <v/>
      </c>
      <c r="N130" s="16">
        <f>IF(OR($K130="",F130=""),"",IF(COUNTIFS($B:$B,$B130,$A:$A,$K130,F:F,"&gt;=0")=0,"",F130-SUMIFS(F:F,$B:$B,$B130,$A:$A,$K130)))</f>
        <v/>
      </c>
      <c r="O130" s="16">
        <f>IF(OR($K130="",G130=""),"",IF(COUNTIFS($B:$B,$B130,$A:$A,$K130,G:G,"&gt;=0")=0,"",G130-SUMIFS(G:G,$B:$B,$B130,$A:$A,$K130)))</f>
        <v/>
      </c>
    </row>
    <row r="131">
      <c r="A131" s="15" t="n">
        <v>46317</v>
      </c>
      <c r="B131" s="5" t="inlineStr">
        <is>
          <t>Ryzen 9 9950X</t>
        </is>
      </c>
      <c r="C131" s="5" t="inlineStr">
        <is>
          <t>CPU</t>
        </is>
      </c>
      <c r="D131" s="7" t="n">
        <v>549.99</v>
      </c>
      <c r="E131" s="7" t="n">
        <v>454.99</v>
      </c>
      <c r="F131" s="2" t="n"/>
      <c r="G131" s="2" t="n"/>
      <c r="H131" s="9">
        <f>IFERROR(IF(INDEX(Dólar!$B:$B,MATCH(A131,Dólar!$A:$A,0))="","",INDEX(Dólar!$B:$B,MATCH(A131,Dólar!$A:$A,0))),"")</f>
        <v/>
      </c>
      <c r="I131" s="10">
        <f>IFERROR(INDEX(Dólar!$E:$E,MATCH(A131,Dólar!$A:$A,0)),"")</f>
        <v/>
      </c>
      <c r="J131" s="6" t="inlineStr">
        <is>
          <t>ver anuncio</t>
        </is>
      </c>
      <c r="K131" s="15" t="n">
        <v>46316</v>
      </c>
      <c r="L131" s="16">
        <f>IF(OR($K131="",D131=""),"",IF(COUNTIFS($B:$B,$B131,$A:$A,$K131,D:D,"&gt;=0")=0,"",D131-SUMIFS(D:D,$B:$B,$B131,$A:$A,$K131)))</f>
        <v/>
      </c>
      <c r="M131" s="16">
        <f>IF(OR($K131="",E131=""),"",IF(COUNTIFS($B:$B,$B131,$A:$A,$K131,E:E,"&gt;=0")=0,"",E131-SUMIFS(E:E,$B:$B,$B131,$A:$A,$K131)))</f>
        <v/>
      </c>
      <c r="N131" s="16">
        <f>IF(OR($K131="",F131=""),"",IF(COUNTIFS($B:$B,$B131,$A:$A,$K131,F:F,"&gt;=0")=0,"",F131-SUMIFS(F:F,$B:$B,$B131,$A:$A,$K131)))</f>
        <v/>
      </c>
      <c r="O131" s="16">
        <f>IF(OR($K131="",G131=""),"",IF(COUNTIFS($B:$B,$B131,$A:$A,$K131,G:G,"&gt;=0")=0,"",G131-SUMIFS(G:G,$B:$B,$B131,$A:$A,$K131)))</f>
        <v/>
      </c>
    </row>
    <row r="132">
      <c r="A132" s="15" t="n">
        <v>46317</v>
      </c>
      <c r="B132" s="5" t="inlineStr">
        <is>
          <t>Ryzen 7 7800X3D</t>
        </is>
      </c>
      <c r="C132" s="5" t="inlineStr">
        <is>
          <t>CPU</t>
        </is>
      </c>
      <c r="D132" s="7" t="n">
        <v>329</v>
      </c>
      <c r="E132" s="7" t="n">
        <v>274.99</v>
      </c>
      <c r="F132" s="2" t="n"/>
      <c r="G132" s="8" t="n">
        <v>6162</v>
      </c>
      <c r="H132" s="9">
        <f>IFERROR(IF(INDEX(Dólar!$B:$B,MATCH(A132,Dólar!$A:$A,0))="","",INDEX(Dólar!$B:$B,MATCH(A132,Dólar!$A:$A,0))),"")</f>
        <v/>
      </c>
      <c r="I132" s="10">
        <f>IFERROR(INDEX(Dólar!$E:$E,MATCH(A132,Dólar!$A:$A,0)),"")</f>
        <v/>
      </c>
      <c r="J132" s="6" t="inlineStr">
        <is>
          <t>ver anuncio</t>
        </is>
      </c>
      <c r="K132" s="15" t="n">
        <v>46316</v>
      </c>
      <c r="L132" s="16">
        <f>IF(OR($K132="",D132=""),"",IF(COUNTIFS($B:$B,$B132,$A:$A,$K132,D:D,"&gt;=0")=0,"",D132-SUMIFS(D:D,$B:$B,$B132,$A:$A,$K132)))</f>
        <v/>
      </c>
      <c r="M132" s="16">
        <f>IF(OR($K132="",E132=""),"",IF(COUNTIFS($B:$B,$B132,$A:$A,$K132,E:E,"&gt;=0")=0,"",E132-SUMIFS(E:E,$B:$B,$B132,$A:$A,$K132)))</f>
        <v/>
      </c>
      <c r="N132" s="16">
        <f>IF(OR($K132="",F132=""),"",IF(COUNTIFS($B:$B,$B132,$A:$A,$K132,F:F,"&gt;=0")=0,"",F132-SUMIFS(F:F,$B:$B,$B132,$A:$A,$K132)))</f>
        <v/>
      </c>
      <c r="O132" s="16">
        <f>IF(OR($K132="",G132=""),"",IF(COUNTIFS($B:$B,$B132,$A:$A,$K132,G:G,"&gt;=0")=0,"",G132-SUMIFS(G:G,$B:$B,$B132,$A:$A,$K132)))</f>
        <v/>
      </c>
    </row>
    <row r="133">
      <c r="A133" s="15" t="n">
        <v>46317</v>
      </c>
      <c r="B133" s="5" t="inlineStr">
        <is>
          <t>Ryzen 7 7700X</t>
        </is>
      </c>
      <c r="C133" s="5" t="inlineStr">
        <is>
          <t>CPU</t>
        </is>
      </c>
      <c r="D133" s="7" t="n">
        <v>212</v>
      </c>
      <c r="E133" s="7" t="n">
        <v>189.99</v>
      </c>
      <c r="F133" s="8" t="n">
        <v>3100</v>
      </c>
      <c r="G133" s="2" t="n"/>
      <c r="H133" s="9">
        <f>IFERROR(IF(INDEX(Dólar!$B:$B,MATCH(A133,Dólar!$A:$A,0))="","",INDEX(Dólar!$B:$B,MATCH(A133,Dólar!$A:$A,0))),"")</f>
        <v/>
      </c>
      <c r="I133" s="10">
        <f>IFERROR(INDEX(Dólar!$E:$E,MATCH(A133,Dólar!$A:$A,0)),"")</f>
        <v/>
      </c>
      <c r="J133" s="6" t="inlineStr">
        <is>
          <t>ver anuncio</t>
        </is>
      </c>
      <c r="K133" s="15" t="n">
        <v>46316</v>
      </c>
      <c r="L133" s="16">
        <f>IF(OR($K133="",D133=""),"",IF(COUNTIFS($B:$B,$B133,$A:$A,$K133,D:D,"&gt;=0")=0,"",D133-SUMIFS(D:D,$B:$B,$B133,$A:$A,$K133)))</f>
        <v/>
      </c>
      <c r="M133" s="16">
        <f>IF(OR($K133="",E133=""),"",IF(COUNTIFS($B:$B,$B133,$A:$A,$K133,E:E,"&gt;=0")=0,"",E133-SUMIFS(E:E,$B:$B,$B133,$A:$A,$K133)))</f>
        <v/>
      </c>
      <c r="N133" s="16">
        <f>IF(OR($K133="",F133=""),"",IF(COUNTIFS($B:$B,$B133,$A:$A,$K133,F:F,"&gt;=0")=0,"",F133-SUMIFS(F:F,$B:$B,$B133,$A:$A,$K133)))</f>
        <v/>
      </c>
      <c r="O133" s="16">
        <f>IF(OR($K133="",G133=""),"",IF(COUNTIFS($B:$B,$B133,$A:$A,$K133,G:G,"&gt;=0")=0,"",G133-SUMIFS(G:G,$B:$B,$B133,$A:$A,$K133)))</f>
        <v/>
      </c>
    </row>
    <row r="134">
      <c r="A134" s="15" t="n">
        <v>46317</v>
      </c>
      <c r="B134" s="5" t="inlineStr">
        <is>
          <t>Ryzen 7 5700X3D</t>
        </is>
      </c>
      <c r="C134" s="5" t="inlineStr">
        <is>
          <t>CPU</t>
        </is>
      </c>
      <c r="D134" s="2" t="n"/>
      <c r="E134" s="7" t="n">
        <v>304.95</v>
      </c>
      <c r="F134" s="2" t="n"/>
      <c r="G134" s="2" t="n"/>
      <c r="H134" s="9">
        <f>IFERROR(IF(INDEX(Dólar!$B:$B,MATCH(A134,Dólar!$A:$A,0))="","",INDEX(Dólar!$B:$B,MATCH(A134,Dólar!$A:$A,0))),"")</f>
        <v/>
      </c>
      <c r="I134" s="10">
        <f>IFERROR(INDEX(Dólar!$E:$E,MATCH(A134,Dólar!$A:$A,0)),"")</f>
        <v/>
      </c>
      <c r="J134" s="6" t="inlineStr">
        <is>
          <t>ver anuncio</t>
        </is>
      </c>
      <c r="K134" s="15" t="n">
        <v>46316</v>
      </c>
      <c r="L134" s="16">
        <f>IF(OR($K134="",D134=""),"",IF(COUNTIFS($B:$B,$B134,$A:$A,$K134,D:D,"&gt;=0")=0,"",D134-SUMIFS(D:D,$B:$B,$B134,$A:$A,$K134)))</f>
        <v/>
      </c>
      <c r="M134" s="16">
        <f>IF(OR($K134="",E134=""),"",IF(COUNTIFS($B:$B,$B134,$A:$A,$K134,E:E,"&gt;=0")=0,"",E134-SUMIFS(E:E,$B:$B,$B134,$A:$A,$K134)))</f>
        <v/>
      </c>
      <c r="N134" s="16">
        <f>IF(OR($K134="",F134=""),"",IF(COUNTIFS($B:$B,$B134,$A:$A,$K134,F:F,"&gt;=0")=0,"",F134-SUMIFS(F:F,$B:$B,$B134,$A:$A,$K134)))</f>
        <v/>
      </c>
      <c r="O134" s="16">
        <f>IF(OR($K134="",G134=""),"",IF(COUNTIFS($B:$B,$B134,$A:$A,$K134,G:G,"&gt;=0")=0,"",G134-SUMIFS(G:G,$B:$B,$B134,$A:$A,$K134)))</f>
        <v/>
      </c>
    </row>
    <row r="135">
      <c r="A135" s="15" t="n">
        <v>46317</v>
      </c>
      <c r="B135" s="5" t="inlineStr">
        <is>
          <t>Ryzen 5 7600</t>
        </is>
      </c>
      <c r="C135" s="5" t="inlineStr">
        <is>
          <t>CPU</t>
        </is>
      </c>
      <c r="D135" s="7" t="n">
        <v>199.99</v>
      </c>
      <c r="E135" s="7" t="n">
        <v>124.99</v>
      </c>
      <c r="F135" s="2" t="n"/>
      <c r="G135" s="2" t="n"/>
      <c r="H135" s="9">
        <f>IFERROR(IF(INDEX(Dólar!$B:$B,MATCH(A135,Dólar!$A:$A,0))="","",INDEX(Dólar!$B:$B,MATCH(A135,Dólar!$A:$A,0))),"")</f>
        <v/>
      </c>
      <c r="I135" s="10">
        <f>IFERROR(INDEX(Dólar!$E:$E,MATCH(A135,Dólar!$A:$A,0)),"")</f>
        <v/>
      </c>
      <c r="J135" s="6" t="inlineStr">
        <is>
          <t>ver anuncio</t>
        </is>
      </c>
      <c r="K135" s="15" t="n">
        <v>46316</v>
      </c>
      <c r="L135" s="16">
        <f>IF(OR($K135="",D135=""),"",IF(COUNTIFS($B:$B,$B135,$A:$A,$K135,D:D,"&gt;=0")=0,"",D135-SUMIFS(D:D,$B:$B,$B135,$A:$A,$K135)))</f>
        <v/>
      </c>
      <c r="M135" s="16">
        <f>IF(OR($K135="",E135=""),"",IF(COUNTIFS($B:$B,$B135,$A:$A,$K135,E:E,"&gt;=0")=0,"",E135-SUMIFS(E:E,$B:$B,$B135,$A:$A,$K135)))</f>
        <v/>
      </c>
      <c r="N135" s="16">
        <f>IF(OR($K135="",F135=""),"",IF(COUNTIFS($B:$B,$B135,$A:$A,$K135,F:F,"&gt;=0")=0,"",F135-SUMIFS(F:F,$B:$B,$B135,$A:$A,$K135)))</f>
        <v/>
      </c>
      <c r="O135" s="16">
        <f>IF(OR($K135="",G135=""),"",IF(COUNTIFS($B:$B,$B135,$A:$A,$K135,G:G,"&gt;=0")=0,"",G135-SUMIFS(G:G,$B:$B,$B135,$A:$A,$K135)))</f>
        <v/>
      </c>
    </row>
    <row r="136">
      <c r="A136" s="15" t="n">
        <v>46317</v>
      </c>
      <c r="B136" s="5" t="inlineStr">
        <is>
          <t>Ryzen 5 7500F</t>
        </is>
      </c>
      <c r="C136" s="5" t="inlineStr">
        <is>
          <t>CPU</t>
        </is>
      </c>
      <c r="D136" s="7" t="n">
        <v>135.99</v>
      </c>
      <c r="E136" s="7" t="n">
        <v>129.99</v>
      </c>
      <c r="F136" s="2" t="n"/>
      <c r="G136" s="2" t="n"/>
      <c r="H136" s="9">
        <f>IFERROR(IF(INDEX(Dólar!$B:$B,MATCH(A136,Dólar!$A:$A,0))="","",INDEX(Dólar!$B:$B,MATCH(A136,Dólar!$A:$A,0))),"")</f>
        <v/>
      </c>
      <c r="I136" s="10">
        <f>IFERROR(INDEX(Dólar!$E:$E,MATCH(A136,Dólar!$A:$A,0)),"")</f>
        <v/>
      </c>
      <c r="J136" s="6" t="inlineStr">
        <is>
          <t>ver anuncio</t>
        </is>
      </c>
      <c r="K136" s="15" t="n">
        <v>46316</v>
      </c>
      <c r="L136" s="16">
        <f>IF(OR($K136="",D136=""),"",IF(COUNTIFS($B:$B,$B136,$A:$A,$K136,D:D,"&gt;=0")=0,"",D136-SUMIFS(D:D,$B:$B,$B136,$A:$A,$K136)))</f>
        <v/>
      </c>
      <c r="M136" s="16">
        <f>IF(OR($K136="",E136=""),"",IF(COUNTIFS($B:$B,$B136,$A:$A,$K136,E:E,"&gt;=0")=0,"",E136-SUMIFS(E:E,$B:$B,$B136,$A:$A,$K136)))</f>
        <v/>
      </c>
      <c r="N136" s="16">
        <f>IF(OR($K136="",F136=""),"",IF(COUNTIFS($B:$B,$B136,$A:$A,$K136,F:F,"&gt;=0")=0,"",F136-SUMIFS(F:F,$B:$B,$B136,$A:$A,$K136)))</f>
        <v/>
      </c>
      <c r="O136" s="16">
        <f>IF(OR($K136="",G136=""),"",IF(COUNTIFS($B:$B,$B136,$A:$A,$K136,G:G,"&gt;=0")=0,"",G136-SUMIFS(G:G,$B:$B,$B136,$A:$A,$K136)))</f>
        <v/>
      </c>
    </row>
    <row r="137">
      <c r="A137" s="15" t="n">
        <v>46317</v>
      </c>
      <c r="B137" s="5" t="inlineStr">
        <is>
          <t>Ryzen 5 5600</t>
        </is>
      </c>
      <c r="C137" s="5" t="inlineStr">
        <is>
          <t>CPU</t>
        </is>
      </c>
      <c r="D137" s="7" t="n">
        <v>135.98</v>
      </c>
      <c r="E137" s="7" t="n">
        <v>129.99</v>
      </c>
      <c r="F137" s="2" t="n"/>
      <c r="G137" s="2" t="n"/>
      <c r="H137" s="9">
        <f>IFERROR(IF(INDEX(Dólar!$B:$B,MATCH(A137,Dólar!$A:$A,0))="","",INDEX(Dólar!$B:$B,MATCH(A137,Dólar!$A:$A,0))),"")</f>
        <v/>
      </c>
      <c r="I137" s="10">
        <f>IFERROR(INDEX(Dólar!$E:$E,MATCH(A137,Dólar!$A:$A,0)),"")</f>
        <v/>
      </c>
      <c r="J137" s="6" t="inlineStr">
        <is>
          <t>ver anuncio</t>
        </is>
      </c>
      <c r="K137" s="15" t="n">
        <v>46316</v>
      </c>
      <c r="L137" s="16">
        <f>IF(OR($K137="",D137=""),"",IF(COUNTIFS($B:$B,$B137,$A:$A,$K137,D:D,"&gt;=0")=0,"",D137-SUMIFS(D:D,$B:$B,$B137,$A:$A,$K137)))</f>
        <v/>
      </c>
      <c r="M137" s="16">
        <f>IF(OR($K137="",E137=""),"",IF(COUNTIFS($B:$B,$B137,$A:$A,$K137,E:E,"&gt;=0")=0,"",E137-SUMIFS(E:E,$B:$B,$B137,$A:$A,$K137)))</f>
        <v/>
      </c>
      <c r="N137" s="16">
        <f>IF(OR($K137="",F137=""),"",IF(COUNTIFS($B:$B,$B137,$A:$A,$K137,F:F,"&gt;=0")=0,"",F137-SUMIFS(F:F,$B:$B,$B137,$A:$A,$K137)))</f>
        <v/>
      </c>
      <c r="O137" s="16">
        <f>IF(OR($K137="",G137=""),"",IF(COUNTIFS($B:$B,$B137,$A:$A,$K137,G:G,"&gt;=0")=0,"",G137-SUMIFS(G:G,$B:$B,$B137,$A:$A,$K137)))</f>
        <v/>
      </c>
    </row>
    <row r="138">
      <c r="A138" s="15" t="n">
        <v>46317</v>
      </c>
      <c r="B138" s="5" t="inlineStr">
        <is>
          <t>RAM DDR4 16GB (2x8) 3200</t>
        </is>
      </c>
      <c r="C138" s="5" t="inlineStr">
        <is>
          <t>RAM</t>
        </is>
      </c>
      <c r="D138" s="7" t="n">
        <v>97.98999999999999</v>
      </c>
      <c r="E138" s="7" t="n">
        <v>69.95</v>
      </c>
      <c r="F138" s="8" t="n">
        <v>540</v>
      </c>
      <c r="G138" s="2" t="n"/>
      <c r="H138" s="9">
        <f>IFERROR(IF(INDEX(Dólar!$B:$B,MATCH(A138,Dólar!$A:$A,0))="","",INDEX(Dólar!$B:$B,MATCH(A138,Dólar!$A:$A,0))),"")</f>
        <v/>
      </c>
      <c r="I138" s="10">
        <f>IFERROR(INDEX(Dólar!$E:$E,MATCH(A138,Dólar!$A:$A,0)),"")</f>
        <v/>
      </c>
      <c r="J138" s="6" t="inlineStr">
        <is>
          <t>ver anuncio</t>
        </is>
      </c>
      <c r="K138" s="15" t="n">
        <v>46316</v>
      </c>
      <c r="L138" s="16">
        <f>IF(OR($K138="",D138=""),"",IF(COUNTIFS($B:$B,$B138,$A:$A,$K138,D:D,"&gt;=0")=0,"",D138-SUMIFS(D:D,$B:$B,$B138,$A:$A,$K138)))</f>
        <v/>
      </c>
      <c r="M138" s="16">
        <f>IF(OR($K138="",E138=""),"",IF(COUNTIFS($B:$B,$B138,$A:$A,$K138,E:E,"&gt;=0")=0,"",E138-SUMIFS(E:E,$B:$B,$B138,$A:$A,$K138)))</f>
        <v/>
      </c>
      <c r="N138" s="16">
        <f>IF(OR($K138="",F138=""),"",IF(COUNTIFS($B:$B,$B138,$A:$A,$K138,F:F,"&gt;=0")=0,"",F138-SUMIFS(F:F,$B:$B,$B138,$A:$A,$K138)))</f>
        <v/>
      </c>
      <c r="O138" s="16">
        <f>IF(OR($K138="",G138=""),"",IF(COUNTIFS($B:$B,$B138,$A:$A,$K138,G:G,"&gt;=0")=0,"",G138-SUMIFS(G:G,$B:$B,$B138,$A:$A,$K138)))</f>
        <v/>
      </c>
    </row>
    <row r="139">
      <c r="A139" s="15" t="n">
        <v>46317</v>
      </c>
      <c r="B139" s="5" t="inlineStr">
        <is>
          <t>Intel Core i5-14400F</t>
        </is>
      </c>
      <c r="C139" s="5" t="inlineStr">
        <is>
          <t>CPU</t>
        </is>
      </c>
      <c r="D139" s="7" t="n">
        <v>164.49</v>
      </c>
      <c r="E139" s="7" t="n">
        <v>139.99</v>
      </c>
      <c r="F139" s="2" t="n"/>
      <c r="G139" s="2" t="n"/>
      <c r="H139" s="9">
        <f>IFERROR(IF(INDEX(Dólar!$B:$B,MATCH(A139,Dólar!$A:$A,0))="","",INDEX(Dólar!$B:$B,MATCH(A139,Dólar!$A:$A,0))),"")</f>
        <v/>
      </c>
      <c r="I139" s="10">
        <f>IFERROR(INDEX(Dólar!$E:$E,MATCH(A139,Dólar!$A:$A,0)),"")</f>
        <v/>
      </c>
      <c r="J139" s="6" t="inlineStr">
        <is>
          <t>ver anuncio</t>
        </is>
      </c>
      <c r="K139" s="15" t="n">
        <v>46316</v>
      </c>
      <c r="L139" s="16">
        <f>IF(OR($K139="",D139=""),"",IF(COUNTIFS($B:$B,$B139,$A:$A,$K139,D:D,"&gt;=0")=0,"",D139-SUMIFS(D:D,$B:$B,$B139,$A:$A,$K139)))</f>
        <v/>
      </c>
      <c r="M139" s="16">
        <f>IF(OR($K139="",E139=""),"",IF(COUNTIFS($B:$B,$B139,$A:$A,$K139,E:E,"&gt;=0")=0,"",E139-SUMIFS(E:E,$B:$B,$B139,$A:$A,$K139)))</f>
        <v/>
      </c>
      <c r="N139" s="16">
        <f>IF(OR($K139="",F139=""),"",IF(COUNTIFS($B:$B,$B139,$A:$A,$K139,F:F,"&gt;=0")=0,"",F139-SUMIFS(F:F,$B:$B,$B139,$A:$A,$K139)))</f>
        <v/>
      </c>
      <c r="O139" s="16">
        <f>IF(OR($K139="",G139=""),"",IF(COUNTIFS($B:$B,$B139,$A:$A,$K139,G:G,"&gt;=0")=0,"",G139-SUMIFS(G:G,$B:$B,$B139,$A:$A,$K139)))</f>
        <v/>
      </c>
    </row>
    <row r="140">
      <c r="A140" s="15" t="n">
        <v>46317</v>
      </c>
      <c r="B140" s="5" t="inlineStr">
        <is>
          <t>Intel Core i5-13400</t>
        </is>
      </c>
      <c r="C140" s="5" t="inlineStr">
        <is>
          <t>CPU</t>
        </is>
      </c>
      <c r="D140" s="2" t="n"/>
      <c r="E140" s="7" t="n">
        <v>145</v>
      </c>
      <c r="F140" s="2" t="n"/>
      <c r="G140" s="2" t="n"/>
      <c r="H140" s="9">
        <f>IFERROR(IF(INDEX(Dólar!$B:$B,MATCH(A140,Dólar!$A:$A,0))="","",INDEX(Dólar!$B:$B,MATCH(A140,Dólar!$A:$A,0))),"")</f>
        <v/>
      </c>
      <c r="I140" s="10">
        <f>IFERROR(INDEX(Dólar!$E:$E,MATCH(A140,Dólar!$A:$A,0)),"")</f>
        <v/>
      </c>
      <c r="J140" s="6" t="inlineStr">
        <is>
          <t>ver anuncio</t>
        </is>
      </c>
      <c r="K140" s="15" t="n">
        <v>46316</v>
      </c>
      <c r="L140" s="16">
        <f>IF(OR($K140="",D140=""),"",IF(COUNTIFS($B:$B,$B140,$A:$A,$K140,D:D,"&gt;=0")=0,"",D140-SUMIFS(D:D,$B:$B,$B140,$A:$A,$K140)))</f>
        <v/>
      </c>
      <c r="M140" s="16">
        <f>IF(OR($K140="",E140=""),"",IF(COUNTIFS($B:$B,$B140,$A:$A,$K140,E:E,"&gt;=0")=0,"",E140-SUMIFS(E:E,$B:$B,$B140,$A:$A,$K140)))</f>
        <v/>
      </c>
      <c r="N140" s="16">
        <f>IF(OR($K140="",F140=""),"",IF(COUNTIFS($B:$B,$B140,$A:$A,$K140,F:F,"&gt;=0")=0,"",F140-SUMIFS(F:F,$B:$B,$B140,$A:$A,$K140)))</f>
        <v/>
      </c>
      <c r="O140" s="16">
        <f>IF(OR($K140="",G140=""),"",IF(COUNTIFS($B:$B,$B140,$A:$A,$K140,G:G,"&gt;=0")=0,"",G140-SUMIFS(G:G,$B:$B,$B140,$A:$A,$K140)))</f>
        <v/>
      </c>
    </row>
    <row r="141">
      <c r="A141" s="15" t="n">
        <v>46317</v>
      </c>
      <c r="B141" s="5" t="inlineStr">
        <is>
          <t>Intel Core i5-12400F</t>
        </is>
      </c>
      <c r="C141" s="5" t="inlineStr">
        <is>
          <t>CPU</t>
        </is>
      </c>
      <c r="D141" s="7" t="n">
        <v>150</v>
      </c>
      <c r="E141" s="7" t="n">
        <v>119.99</v>
      </c>
      <c r="F141" s="2" t="n"/>
      <c r="G141" s="2" t="n"/>
      <c r="H141" s="9">
        <f>IFERROR(IF(INDEX(Dólar!$B:$B,MATCH(A141,Dólar!$A:$A,0))="","",INDEX(Dólar!$B:$B,MATCH(A141,Dólar!$A:$A,0))),"")</f>
        <v/>
      </c>
      <c r="I141" s="10">
        <f>IFERROR(INDEX(Dólar!$E:$E,MATCH(A141,Dólar!$A:$A,0)),"")</f>
        <v/>
      </c>
      <c r="J141" s="6" t="inlineStr">
        <is>
          <t>ver anuncio</t>
        </is>
      </c>
      <c r="K141" s="15" t="n">
        <v>46316</v>
      </c>
      <c r="L141" s="16">
        <f>IF(OR($K141="",D141=""),"",IF(COUNTIFS($B:$B,$B141,$A:$A,$K141,D:D,"&gt;=0")=0,"",D141-SUMIFS(D:D,$B:$B,$B141,$A:$A,$K141)))</f>
        <v/>
      </c>
      <c r="M141" s="16">
        <f>IF(OR($K141="",E141=""),"",IF(COUNTIFS($B:$B,$B141,$A:$A,$K141,E:E,"&gt;=0")=0,"",E141-SUMIFS(E:E,$B:$B,$B141,$A:$A,$K141)))</f>
        <v/>
      </c>
      <c r="N141" s="16">
        <f>IF(OR($K141="",F141=""),"",IF(COUNTIFS($B:$B,$B141,$A:$A,$K141,F:F,"&gt;=0")=0,"",F141-SUMIFS(F:F,$B:$B,$B141,$A:$A,$K141)))</f>
        <v/>
      </c>
      <c r="O141" s="16">
        <f>IF(OR($K141="",G141=""),"",IF(COUNTIFS($B:$B,$B141,$A:$A,$K141,G:G,"&gt;=0")=0,"",G141-SUMIFS(G:G,$B:$B,$B141,$A:$A,$K141)))</f>
        <v/>
      </c>
    </row>
    <row r="142">
      <c r="A142" s="15" t="n">
        <v>46317</v>
      </c>
      <c r="B142" s="5" t="inlineStr">
        <is>
          <t>Intel Core Ultra 7 265K</t>
        </is>
      </c>
      <c r="C142" s="5" t="inlineStr">
        <is>
          <t>CPU</t>
        </is>
      </c>
      <c r="D142" s="7" t="n">
        <v>243.6</v>
      </c>
      <c r="E142" s="2" t="n"/>
      <c r="F142" s="2" t="n"/>
      <c r="G142" s="2" t="n"/>
      <c r="H142" s="9">
        <f>IFERROR(IF(INDEX(Dólar!$B:$B,MATCH(A142,Dólar!$A:$A,0))="","",INDEX(Dólar!$B:$B,MATCH(A142,Dólar!$A:$A,0))),"")</f>
        <v/>
      </c>
      <c r="I142" s="10">
        <f>IFERROR(INDEX(Dólar!$E:$E,MATCH(A142,Dólar!$A:$A,0)),"")</f>
        <v/>
      </c>
      <c r="J142" s="6" t="inlineStr">
        <is>
          <t>ver anuncio</t>
        </is>
      </c>
      <c r="K142" s="15" t="n">
        <v>46316</v>
      </c>
      <c r="L142" s="16">
        <f>IF(OR($K142="",D142=""),"",IF(COUNTIFS($B:$B,$B142,$A:$A,$K142,D:D,"&gt;=0")=0,"",D142-SUMIFS(D:D,$B:$B,$B142,$A:$A,$K142)))</f>
        <v/>
      </c>
      <c r="M142" s="16">
        <f>IF(OR($K142="",E142=""),"",IF(COUNTIFS($B:$B,$B142,$A:$A,$K142,E:E,"&gt;=0")=0,"",E142-SUMIFS(E:E,$B:$B,$B142,$A:$A,$K142)))</f>
        <v/>
      </c>
      <c r="N142" s="16">
        <f>IF(OR($K142="",F142=""),"",IF(COUNTIFS($B:$B,$B142,$A:$A,$K142,F:F,"&gt;=0")=0,"",F142-SUMIFS(F:F,$B:$B,$B142,$A:$A,$K142)))</f>
        <v/>
      </c>
      <c r="O142" s="16">
        <f>IF(OR($K142="",G142=""),"",IF(COUNTIFS($B:$B,$B142,$A:$A,$K142,G:G,"&gt;=0")=0,"",G142-SUMIFS(G:G,$B:$B,$B142,$A:$A,$K142)))</f>
        <v/>
      </c>
    </row>
    <row r="143">
      <c r="A143" s="15" t="n">
        <v>46317</v>
      </c>
      <c r="B143" s="5" t="inlineStr">
        <is>
          <t>Corsair Vengeance RGB DDR5 32GB (2x16) 6000</t>
        </is>
      </c>
      <c r="C143" s="5" t="inlineStr">
        <is>
          <t>RAM</t>
        </is>
      </c>
      <c r="D143" s="7" t="n">
        <v>465</v>
      </c>
      <c r="E143" s="7" t="n">
        <v>419.99</v>
      </c>
      <c r="F143" s="2" t="n"/>
      <c r="G143" s="2" t="n"/>
      <c r="H143" s="9">
        <f>IFERROR(IF(INDEX(Dólar!$B:$B,MATCH(A143,Dólar!$A:$A,0))="","",INDEX(Dólar!$B:$B,MATCH(A143,Dólar!$A:$A,0))),"")</f>
        <v/>
      </c>
      <c r="I143" s="10">
        <f>IFERROR(INDEX(Dólar!$E:$E,MATCH(A143,Dólar!$A:$A,0)),"")</f>
        <v/>
      </c>
      <c r="J143" s="6" t="inlineStr">
        <is>
          <t>ver anuncio</t>
        </is>
      </c>
      <c r="K143" s="15" t="n">
        <v>46316</v>
      </c>
      <c r="L143" s="16">
        <f>IF(OR($K143="",D143=""),"",IF(COUNTIFS($B:$B,$B143,$A:$A,$K143,D:D,"&gt;=0")=0,"",D143-SUMIFS(D:D,$B:$B,$B143,$A:$A,$K143)))</f>
        <v/>
      </c>
      <c r="M143" s="16">
        <f>IF(OR($K143="",E143=""),"",IF(COUNTIFS($B:$B,$B143,$A:$A,$K143,E:E,"&gt;=0")=0,"",E143-SUMIFS(E:E,$B:$B,$B143,$A:$A,$K143)))</f>
        <v/>
      </c>
      <c r="N143" s="16">
        <f>IF(OR($K143="",F143=""),"",IF(COUNTIFS($B:$B,$B143,$A:$A,$K143,F:F,"&gt;=0")=0,"",F143-SUMIFS(F:F,$B:$B,$B143,$A:$A,$K143)))</f>
        <v/>
      </c>
      <c r="O143" s="16">
        <f>IF(OR($K143="",G143=""),"",IF(COUNTIFS($B:$B,$B143,$A:$A,$K143,G:G,"&gt;=0")=0,"",G143-SUMIFS(G:G,$B:$B,$B143,$A:$A,$K143)))</f>
        <v/>
      </c>
    </row>
    <row r="144">
      <c r="A144" s="15" t="n">
        <v>46317</v>
      </c>
      <c r="B144" s="5" t="inlineStr">
        <is>
          <t>Corsair Vengeance RGB DDR5 32GB (2x16) 5600</t>
        </is>
      </c>
      <c r="C144" s="5" t="inlineStr">
        <is>
          <t>RAM</t>
        </is>
      </c>
      <c r="D144" s="7" t="n">
        <v>465</v>
      </c>
      <c r="E144" s="7" t="n">
        <v>399.99</v>
      </c>
      <c r="F144" s="2" t="n"/>
      <c r="G144" s="2" t="n"/>
      <c r="H144" s="9">
        <f>IFERROR(IF(INDEX(Dólar!$B:$B,MATCH(A144,Dólar!$A:$A,0))="","",INDEX(Dólar!$B:$B,MATCH(A144,Dólar!$A:$A,0))),"")</f>
        <v/>
      </c>
      <c r="I144" s="10">
        <f>IFERROR(INDEX(Dólar!$E:$E,MATCH(A144,Dólar!$A:$A,0)),"")</f>
        <v/>
      </c>
      <c r="J144" s="6" t="inlineStr">
        <is>
          <t>ver anuncio</t>
        </is>
      </c>
      <c r="K144" s="15" t="n">
        <v>46316</v>
      </c>
      <c r="L144" s="16">
        <f>IF(OR($K144="",D144=""),"",IF(COUNTIFS($B:$B,$B144,$A:$A,$K144,D:D,"&gt;=0")=0,"",D144-SUMIFS(D:D,$B:$B,$B144,$A:$A,$K144)))</f>
        <v/>
      </c>
      <c r="M144" s="16">
        <f>IF(OR($K144="",E144=""),"",IF(COUNTIFS($B:$B,$B144,$A:$A,$K144,E:E,"&gt;=0")=0,"",E144-SUMIFS(E:E,$B:$B,$B144,$A:$A,$K144)))</f>
        <v/>
      </c>
      <c r="N144" s="16">
        <f>IF(OR($K144="",F144=""),"",IF(COUNTIFS($B:$B,$B144,$A:$A,$K144,F:F,"&gt;=0")=0,"",F144-SUMIFS(F:F,$B:$B,$B144,$A:$A,$K144)))</f>
        <v/>
      </c>
      <c r="O144" s="16">
        <f>IF(OR($K144="",G144=""),"",IF(COUNTIFS($B:$B,$B144,$A:$A,$K144,G:G,"&gt;=0")=0,"",G144-SUMIFS(G:G,$B:$B,$B144,$A:$A,$K144)))</f>
        <v/>
      </c>
    </row>
    <row r="145">
      <c r="A145" s="15" t="n">
        <v>46316</v>
      </c>
      <c r="B145" s="5" t="inlineStr">
        <is>
          <t>SSD NVMe 2TB</t>
        </is>
      </c>
      <c r="C145" s="5" t="inlineStr">
        <is>
          <t>SSD</t>
        </is>
      </c>
      <c r="D145" s="7" t="n">
        <v>208</v>
      </c>
      <c r="E145" s="7" t="n">
        <v>174.99</v>
      </c>
      <c r="F145" s="2" t="n"/>
      <c r="G145" s="2" t="n"/>
      <c r="H145" s="9">
        <f>IFERROR(IF(INDEX(Dólar!$B:$B,MATCH(A145,Dólar!$A:$A,0))="","",INDEX(Dólar!$B:$B,MATCH(A145,Dólar!$A:$A,0))),"")</f>
        <v/>
      </c>
      <c r="I145" s="10">
        <f>IFERROR(INDEX(Dólar!$E:$E,MATCH(A145,Dólar!$A:$A,0)),"")</f>
        <v/>
      </c>
      <c r="J145" s="6" t="inlineStr">
        <is>
          <t>ver anuncio</t>
        </is>
      </c>
      <c r="K145" s="15" t="n">
        <v>46315</v>
      </c>
      <c r="L145" s="16">
        <f>IF(OR($K145="",D145=""),"",IF(COUNTIFS($B:$B,$B145,$A:$A,$K145,D:D,"&gt;=0")=0,"",D145-SUMIFS(D:D,$B:$B,$B145,$A:$A,$K145)))</f>
        <v/>
      </c>
      <c r="M145" s="16">
        <f>IF(OR($K145="",E145=""),"",IF(COUNTIFS($B:$B,$B145,$A:$A,$K145,E:E,"&gt;=0")=0,"",E145-SUMIFS(E:E,$B:$B,$B145,$A:$A,$K145)))</f>
        <v/>
      </c>
      <c r="N145" s="16">
        <f>IF(OR($K145="",F145=""),"",IF(COUNTIFS($B:$B,$B145,$A:$A,$K145,F:F,"&gt;=0")=0,"",F145-SUMIFS(F:F,$B:$B,$B145,$A:$A,$K145)))</f>
        <v/>
      </c>
      <c r="O145" s="16">
        <f>IF(OR($K145="",G145=""),"",IF(COUNTIFS($B:$B,$B145,$A:$A,$K145,G:G,"&gt;=0")=0,"",G145-SUMIFS(G:G,$B:$B,$B145,$A:$A,$K145)))</f>
        <v/>
      </c>
    </row>
    <row r="146">
      <c r="A146" s="15" t="n">
        <v>46316</v>
      </c>
      <c r="B146" s="5" t="inlineStr">
        <is>
          <t>SSD NVMe 1TB</t>
        </is>
      </c>
      <c r="C146" s="5" t="inlineStr">
        <is>
          <t>SSD</t>
        </is>
      </c>
      <c r="D146" s="7" t="n">
        <v>114.99</v>
      </c>
      <c r="E146" s="7" t="n">
        <v>90</v>
      </c>
      <c r="F146" s="8" t="n">
        <v>1700</v>
      </c>
      <c r="G146" s="2" t="n"/>
      <c r="H146" s="9">
        <f>IFERROR(IF(INDEX(Dólar!$B:$B,MATCH(A146,Dólar!$A:$A,0))="","",INDEX(Dólar!$B:$B,MATCH(A146,Dólar!$A:$A,0))),"")</f>
        <v/>
      </c>
      <c r="I146" s="10">
        <f>IFERROR(INDEX(Dólar!$E:$E,MATCH(A146,Dólar!$A:$A,0)),"")</f>
        <v/>
      </c>
      <c r="J146" s="6" t="inlineStr">
        <is>
          <t>ver anuncio</t>
        </is>
      </c>
      <c r="K146" s="15" t="n">
        <v>46315</v>
      </c>
      <c r="L146" s="16">
        <f>IF(OR($K146="",D146=""),"",IF(COUNTIFS($B:$B,$B146,$A:$A,$K146,D:D,"&gt;=0")=0,"",D146-SUMIFS(D:D,$B:$B,$B146,$A:$A,$K146)))</f>
        <v/>
      </c>
      <c r="M146" s="16">
        <f>IF(OR($K146="",E146=""),"",IF(COUNTIFS($B:$B,$B146,$A:$A,$K146,E:E,"&gt;=0")=0,"",E146-SUMIFS(E:E,$B:$B,$B146,$A:$A,$K146)))</f>
        <v/>
      </c>
      <c r="N146" s="16">
        <f>IF(OR($K146="",F146=""),"",IF(COUNTIFS($B:$B,$B146,$A:$A,$K146,F:F,"&gt;=0")=0,"",F146-SUMIFS(F:F,$B:$B,$B146,$A:$A,$K146)))</f>
        <v/>
      </c>
      <c r="O146" s="16">
        <f>IF(OR($K146="",G146=""),"",IF(COUNTIFS($B:$B,$B146,$A:$A,$K146,G:G,"&gt;=0")=0,"",G146-SUMIFS(G:G,$B:$B,$B146,$A:$A,$K146)))</f>
        <v/>
      </c>
    </row>
    <row r="147">
      <c r="A147" s="15" t="n">
        <v>46316</v>
      </c>
      <c r="B147" s="5" t="inlineStr">
        <is>
          <t>Ryzen 9 9950X</t>
        </is>
      </c>
      <c r="C147" s="5" t="inlineStr">
        <is>
          <t>CPU</t>
        </is>
      </c>
      <c r="D147" s="7" t="n">
        <v>499</v>
      </c>
      <c r="E147" s="7" t="n">
        <v>454.99</v>
      </c>
      <c r="F147" s="2" t="n"/>
      <c r="G147" s="2" t="n"/>
      <c r="H147" s="9">
        <f>IFERROR(IF(INDEX(Dólar!$B:$B,MATCH(A147,Dólar!$A:$A,0))="","",INDEX(Dólar!$B:$B,MATCH(A147,Dólar!$A:$A,0))),"")</f>
        <v/>
      </c>
      <c r="I147" s="10">
        <f>IFERROR(INDEX(Dólar!$E:$E,MATCH(A147,Dólar!$A:$A,0)),"")</f>
        <v/>
      </c>
      <c r="J147" s="6" t="inlineStr">
        <is>
          <t>ver anuncio</t>
        </is>
      </c>
      <c r="K147" s="15" t="n">
        <v>46315</v>
      </c>
      <c r="L147" s="16">
        <f>IF(OR($K147="",D147=""),"",IF(COUNTIFS($B:$B,$B147,$A:$A,$K147,D:D,"&gt;=0")=0,"",D147-SUMIFS(D:D,$B:$B,$B147,$A:$A,$K147)))</f>
        <v/>
      </c>
      <c r="M147" s="16">
        <f>IF(OR($K147="",E147=""),"",IF(COUNTIFS($B:$B,$B147,$A:$A,$K147,E:E,"&gt;=0")=0,"",E147-SUMIFS(E:E,$B:$B,$B147,$A:$A,$K147)))</f>
        <v/>
      </c>
      <c r="N147" s="16">
        <f>IF(OR($K147="",F147=""),"",IF(COUNTIFS($B:$B,$B147,$A:$A,$K147,F:F,"&gt;=0")=0,"",F147-SUMIFS(F:F,$B:$B,$B147,$A:$A,$K147)))</f>
        <v/>
      </c>
      <c r="O147" s="16">
        <f>IF(OR($K147="",G147=""),"",IF(COUNTIFS($B:$B,$B147,$A:$A,$K147,G:G,"&gt;=0")=0,"",G147-SUMIFS(G:G,$B:$B,$B147,$A:$A,$K147)))</f>
        <v/>
      </c>
    </row>
    <row r="148">
      <c r="A148" s="15" t="n">
        <v>46316</v>
      </c>
      <c r="B148" s="5" t="inlineStr">
        <is>
          <t>Ryzen 7 7800X3D</t>
        </is>
      </c>
      <c r="C148" s="5" t="inlineStr">
        <is>
          <t>CPU</t>
        </is>
      </c>
      <c r="D148" s="7" t="n">
        <v>329</v>
      </c>
      <c r="E148" s="7" t="n">
        <v>289.99</v>
      </c>
      <c r="F148" s="8" t="n">
        <v>4860</v>
      </c>
      <c r="G148" s="8" t="n">
        <v>6193</v>
      </c>
      <c r="H148" s="9">
        <f>IFERROR(IF(INDEX(Dólar!$B:$B,MATCH(A148,Dólar!$A:$A,0))="","",INDEX(Dólar!$B:$B,MATCH(A148,Dólar!$A:$A,0))),"")</f>
        <v/>
      </c>
      <c r="I148" s="10">
        <f>IFERROR(INDEX(Dólar!$E:$E,MATCH(A148,Dólar!$A:$A,0)),"")</f>
        <v/>
      </c>
      <c r="J148" s="6" t="inlineStr">
        <is>
          <t>ver anuncio</t>
        </is>
      </c>
      <c r="K148" s="15" t="n">
        <v>46315</v>
      </c>
      <c r="L148" s="16">
        <f>IF(OR($K148="",D148=""),"",IF(COUNTIFS($B:$B,$B148,$A:$A,$K148,D:D,"&gt;=0")=0,"",D148-SUMIFS(D:D,$B:$B,$B148,$A:$A,$K148)))</f>
        <v/>
      </c>
      <c r="M148" s="16">
        <f>IF(OR($K148="",E148=""),"",IF(COUNTIFS($B:$B,$B148,$A:$A,$K148,E:E,"&gt;=0")=0,"",E148-SUMIFS(E:E,$B:$B,$B148,$A:$A,$K148)))</f>
        <v/>
      </c>
      <c r="N148" s="16">
        <f>IF(OR($K148="",F148=""),"",IF(COUNTIFS($B:$B,$B148,$A:$A,$K148,F:F,"&gt;=0")=0,"",F148-SUMIFS(F:F,$B:$B,$B148,$A:$A,$K148)))</f>
        <v/>
      </c>
      <c r="O148" s="16">
        <f>IF(OR($K148="",G148=""),"",IF(COUNTIFS($B:$B,$B148,$A:$A,$K148,G:G,"&gt;=0")=0,"",G148-SUMIFS(G:G,$B:$B,$B148,$A:$A,$K148)))</f>
        <v/>
      </c>
    </row>
    <row r="149">
      <c r="A149" s="15" t="n">
        <v>46316</v>
      </c>
      <c r="B149" s="5" t="inlineStr">
        <is>
          <t>Ryzen 7 7700X</t>
        </is>
      </c>
      <c r="C149" s="5" t="inlineStr">
        <is>
          <t>CPU</t>
        </is>
      </c>
      <c r="D149" s="7" t="n">
        <v>212</v>
      </c>
      <c r="E149" s="7" t="n">
        <v>189.99</v>
      </c>
      <c r="F149" s="2" t="n"/>
      <c r="G149" s="8" t="n">
        <v>3480</v>
      </c>
      <c r="H149" s="9">
        <f>IFERROR(IF(INDEX(Dólar!$B:$B,MATCH(A149,Dólar!$A:$A,0))="","",INDEX(Dólar!$B:$B,MATCH(A149,Dólar!$A:$A,0))),"")</f>
        <v/>
      </c>
      <c r="I149" s="10">
        <f>IFERROR(INDEX(Dólar!$E:$E,MATCH(A149,Dólar!$A:$A,0)),"")</f>
        <v/>
      </c>
      <c r="J149" s="6" t="inlineStr">
        <is>
          <t>ver anuncio</t>
        </is>
      </c>
      <c r="K149" s="15" t="n">
        <v>46315</v>
      </c>
      <c r="L149" s="16">
        <f>IF(OR($K149="",D149=""),"",IF(COUNTIFS($B:$B,$B149,$A:$A,$K149,D:D,"&gt;=0")=0,"",D149-SUMIFS(D:D,$B:$B,$B149,$A:$A,$K149)))</f>
        <v/>
      </c>
      <c r="M149" s="16">
        <f>IF(OR($K149="",E149=""),"",IF(COUNTIFS($B:$B,$B149,$A:$A,$K149,E:E,"&gt;=0")=0,"",E149-SUMIFS(E:E,$B:$B,$B149,$A:$A,$K149)))</f>
        <v/>
      </c>
      <c r="N149" s="16">
        <f>IF(OR($K149="",F149=""),"",IF(COUNTIFS($B:$B,$B149,$A:$A,$K149,F:F,"&gt;=0")=0,"",F149-SUMIFS(F:F,$B:$B,$B149,$A:$A,$K149)))</f>
        <v/>
      </c>
      <c r="O149" s="16">
        <f>IF(OR($K149="",G149=""),"",IF(COUNTIFS($B:$B,$B149,$A:$A,$K149,G:G,"&gt;=0")=0,"",G149-SUMIFS(G:G,$B:$B,$B149,$A:$A,$K149)))</f>
        <v/>
      </c>
    </row>
    <row r="150">
      <c r="A150" s="15" t="n">
        <v>46316</v>
      </c>
      <c r="B150" s="5" t="inlineStr">
        <is>
          <t>Ryzen 7 5700X3D</t>
        </is>
      </c>
      <c r="C150" s="5" t="inlineStr">
        <is>
          <t>CPU</t>
        </is>
      </c>
      <c r="D150" s="2" t="n"/>
      <c r="E150" s="7" t="n">
        <v>304.95</v>
      </c>
      <c r="F150" s="2" t="n"/>
      <c r="G150" s="2" t="n"/>
      <c r="H150" s="9">
        <f>IFERROR(IF(INDEX(Dólar!$B:$B,MATCH(A150,Dólar!$A:$A,0))="","",INDEX(Dólar!$B:$B,MATCH(A150,Dólar!$A:$A,0))),"")</f>
        <v/>
      </c>
      <c r="I150" s="10">
        <f>IFERROR(INDEX(Dólar!$E:$E,MATCH(A150,Dólar!$A:$A,0)),"")</f>
        <v/>
      </c>
      <c r="J150" s="6" t="inlineStr">
        <is>
          <t>ver anuncio</t>
        </is>
      </c>
      <c r="K150" s="15" t="n">
        <v>46315</v>
      </c>
      <c r="L150" s="16">
        <f>IF(OR($K150="",D150=""),"",IF(COUNTIFS($B:$B,$B150,$A:$A,$K150,D:D,"&gt;=0")=0,"",D150-SUMIFS(D:D,$B:$B,$B150,$A:$A,$K150)))</f>
        <v/>
      </c>
      <c r="M150" s="16">
        <f>IF(OR($K150="",E150=""),"",IF(COUNTIFS($B:$B,$B150,$A:$A,$K150,E:E,"&gt;=0")=0,"",E150-SUMIFS(E:E,$B:$B,$B150,$A:$A,$K150)))</f>
        <v/>
      </c>
      <c r="N150" s="16">
        <f>IF(OR($K150="",F150=""),"",IF(COUNTIFS($B:$B,$B150,$A:$A,$K150,F:F,"&gt;=0")=0,"",F150-SUMIFS(F:F,$B:$B,$B150,$A:$A,$K150)))</f>
        <v/>
      </c>
      <c r="O150" s="16">
        <f>IF(OR($K150="",G150=""),"",IF(COUNTIFS($B:$B,$B150,$A:$A,$K150,G:G,"&gt;=0")=0,"",G150-SUMIFS(G:G,$B:$B,$B150,$A:$A,$K150)))</f>
        <v/>
      </c>
    </row>
    <row r="151">
      <c r="A151" s="15" t="n">
        <v>46316</v>
      </c>
      <c r="B151" s="5" t="inlineStr">
        <is>
          <t>Ryzen 5 7600</t>
        </is>
      </c>
      <c r="C151" s="5" t="inlineStr">
        <is>
          <t>CPU</t>
        </is>
      </c>
      <c r="D151" s="7" t="n">
        <v>213.85</v>
      </c>
      <c r="E151" s="7" t="n">
        <v>125.99</v>
      </c>
      <c r="F151" s="2" t="n"/>
      <c r="G151" s="2" t="n"/>
      <c r="H151" s="9">
        <f>IFERROR(IF(INDEX(Dólar!$B:$B,MATCH(A151,Dólar!$A:$A,0))="","",INDEX(Dólar!$B:$B,MATCH(A151,Dólar!$A:$A,0))),"")</f>
        <v/>
      </c>
      <c r="I151" s="10">
        <f>IFERROR(INDEX(Dólar!$E:$E,MATCH(A151,Dólar!$A:$A,0)),"")</f>
        <v/>
      </c>
      <c r="J151" s="6" t="inlineStr">
        <is>
          <t>ver anuncio</t>
        </is>
      </c>
      <c r="K151" s="15" t="n">
        <v>46315</v>
      </c>
      <c r="L151" s="16">
        <f>IF(OR($K151="",D151=""),"",IF(COUNTIFS($B:$B,$B151,$A:$A,$K151,D:D,"&gt;=0")=0,"",D151-SUMIFS(D:D,$B:$B,$B151,$A:$A,$K151)))</f>
        <v/>
      </c>
      <c r="M151" s="16">
        <f>IF(OR($K151="",E151=""),"",IF(COUNTIFS($B:$B,$B151,$A:$A,$K151,E:E,"&gt;=0")=0,"",E151-SUMIFS(E:E,$B:$B,$B151,$A:$A,$K151)))</f>
        <v/>
      </c>
      <c r="N151" s="16">
        <f>IF(OR($K151="",F151=""),"",IF(COUNTIFS($B:$B,$B151,$A:$A,$K151,F:F,"&gt;=0")=0,"",F151-SUMIFS(F:F,$B:$B,$B151,$A:$A,$K151)))</f>
        <v/>
      </c>
      <c r="O151" s="16">
        <f>IF(OR($K151="",G151=""),"",IF(COUNTIFS($B:$B,$B151,$A:$A,$K151,G:G,"&gt;=0")=0,"",G151-SUMIFS(G:G,$B:$B,$B151,$A:$A,$K151)))</f>
        <v/>
      </c>
    </row>
    <row r="152">
      <c r="A152" s="15" t="n">
        <v>46316</v>
      </c>
      <c r="B152" s="5" t="inlineStr">
        <is>
          <t>Ryzen 5 7500F</t>
        </is>
      </c>
      <c r="C152" s="5" t="inlineStr">
        <is>
          <t>CPU</t>
        </is>
      </c>
      <c r="D152" s="7" t="n">
        <v>135.99</v>
      </c>
      <c r="E152" s="7" t="n">
        <v>115</v>
      </c>
      <c r="F152" s="2" t="n"/>
      <c r="G152" s="2" t="n"/>
      <c r="H152" s="9">
        <f>IFERROR(IF(INDEX(Dólar!$B:$B,MATCH(A152,Dólar!$A:$A,0))="","",INDEX(Dólar!$B:$B,MATCH(A152,Dólar!$A:$A,0))),"")</f>
        <v/>
      </c>
      <c r="I152" s="10">
        <f>IFERROR(INDEX(Dólar!$E:$E,MATCH(A152,Dólar!$A:$A,0)),"")</f>
        <v/>
      </c>
      <c r="J152" s="6" t="inlineStr">
        <is>
          <t>ver anuncio</t>
        </is>
      </c>
      <c r="K152" s="5" t="n"/>
      <c r="L152" s="16">
        <f>IF(OR($K152="",D152=""),"",IF(COUNTIFS($B:$B,$B152,$A:$A,$K152,D:D,"&gt;=0")=0,"",D152-SUMIFS(D:D,$B:$B,$B152,$A:$A,$K152)))</f>
        <v/>
      </c>
      <c r="M152" s="16">
        <f>IF(OR($K152="",E152=""),"",IF(COUNTIFS($B:$B,$B152,$A:$A,$K152,E:E,"&gt;=0")=0,"",E152-SUMIFS(E:E,$B:$B,$B152,$A:$A,$K152)))</f>
        <v/>
      </c>
      <c r="N152" s="16">
        <f>IF(OR($K152="",F152=""),"",IF(COUNTIFS($B:$B,$B152,$A:$A,$K152,F:F,"&gt;=0")=0,"",F152-SUMIFS(F:F,$B:$B,$B152,$A:$A,$K152)))</f>
        <v/>
      </c>
      <c r="O152" s="16">
        <f>IF(OR($K152="",G152=""),"",IF(COUNTIFS($B:$B,$B152,$A:$A,$K152,G:G,"&gt;=0")=0,"",G152-SUMIFS(G:G,$B:$B,$B152,$A:$A,$K152)))</f>
        <v/>
      </c>
    </row>
    <row r="153">
      <c r="A153" s="15" t="n">
        <v>46316</v>
      </c>
      <c r="B153" s="5" t="inlineStr">
        <is>
          <t>Ryzen 5 5600</t>
        </is>
      </c>
      <c r="C153" s="5" t="inlineStr">
        <is>
          <t>CPU</t>
        </is>
      </c>
      <c r="D153" s="7" t="n">
        <v>138.9</v>
      </c>
      <c r="E153" s="7" t="n">
        <v>129.99</v>
      </c>
      <c r="F153" s="2" t="n"/>
      <c r="G153" s="2" t="n"/>
      <c r="H153" s="9">
        <f>IFERROR(IF(INDEX(Dólar!$B:$B,MATCH(A153,Dólar!$A:$A,0))="","",INDEX(Dólar!$B:$B,MATCH(A153,Dólar!$A:$A,0))),"")</f>
        <v/>
      </c>
      <c r="I153" s="10">
        <f>IFERROR(INDEX(Dólar!$E:$E,MATCH(A153,Dólar!$A:$A,0)),"")</f>
        <v/>
      </c>
      <c r="J153" s="6" t="inlineStr">
        <is>
          <t>ver anuncio</t>
        </is>
      </c>
      <c r="K153" s="15" t="n">
        <v>46315</v>
      </c>
      <c r="L153" s="16">
        <f>IF(OR($K153="",D153=""),"",IF(COUNTIFS($B:$B,$B153,$A:$A,$K153,D:D,"&gt;=0")=0,"",D153-SUMIFS(D:D,$B:$B,$B153,$A:$A,$K153)))</f>
        <v/>
      </c>
      <c r="M153" s="16">
        <f>IF(OR($K153="",E153=""),"",IF(COUNTIFS($B:$B,$B153,$A:$A,$K153,E:E,"&gt;=0")=0,"",E153-SUMIFS(E:E,$B:$B,$B153,$A:$A,$K153)))</f>
        <v/>
      </c>
      <c r="N153" s="16">
        <f>IF(OR($K153="",F153=""),"",IF(COUNTIFS($B:$B,$B153,$A:$A,$K153,F:F,"&gt;=0")=0,"",F153-SUMIFS(F:F,$B:$B,$B153,$A:$A,$K153)))</f>
        <v/>
      </c>
      <c r="O153" s="16">
        <f>IF(OR($K153="",G153=""),"",IF(COUNTIFS($B:$B,$B153,$A:$A,$K153,G:G,"&gt;=0")=0,"",G153-SUMIFS(G:G,$B:$B,$B153,$A:$A,$K153)))</f>
        <v/>
      </c>
    </row>
    <row r="154">
      <c r="A154" s="15" t="n">
        <v>46316</v>
      </c>
      <c r="B154" s="5" t="inlineStr">
        <is>
          <t>RAM DDR4 16GB (2x8) 3200</t>
        </is>
      </c>
      <c r="C154" s="5" t="inlineStr">
        <is>
          <t>RAM</t>
        </is>
      </c>
      <c r="D154" s="7" t="n">
        <v>97.98999999999999</v>
      </c>
      <c r="E154" s="7" t="n">
        <v>69.95</v>
      </c>
      <c r="F154" s="2" t="n"/>
      <c r="G154" s="2" t="n"/>
      <c r="H154" s="9">
        <f>IFERROR(IF(INDEX(Dólar!$B:$B,MATCH(A154,Dólar!$A:$A,0))="","",INDEX(Dólar!$B:$B,MATCH(A154,Dólar!$A:$A,0))),"")</f>
        <v/>
      </c>
      <c r="I154" s="10">
        <f>IFERROR(INDEX(Dólar!$E:$E,MATCH(A154,Dólar!$A:$A,0)),"")</f>
        <v/>
      </c>
      <c r="J154" s="6" t="inlineStr">
        <is>
          <t>ver anuncio</t>
        </is>
      </c>
      <c r="K154" s="15" t="n">
        <v>46315</v>
      </c>
      <c r="L154" s="16">
        <f>IF(OR($K154="",D154=""),"",IF(COUNTIFS($B:$B,$B154,$A:$A,$K154,D:D,"&gt;=0")=0,"",D154-SUMIFS(D:D,$B:$B,$B154,$A:$A,$K154)))</f>
        <v/>
      </c>
      <c r="M154" s="16">
        <f>IF(OR($K154="",E154=""),"",IF(COUNTIFS($B:$B,$B154,$A:$A,$K154,E:E,"&gt;=0")=0,"",E154-SUMIFS(E:E,$B:$B,$B154,$A:$A,$K154)))</f>
        <v/>
      </c>
      <c r="N154" s="16">
        <f>IF(OR($K154="",F154=""),"",IF(COUNTIFS($B:$B,$B154,$A:$A,$K154,F:F,"&gt;=0")=0,"",F154-SUMIFS(F:F,$B:$B,$B154,$A:$A,$K154)))</f>
        <v/>
      </c>
      <c r="O154" s="16">
        <f>IF(OR($K154="",G154=""),"",IF(COUNTIFS($B:$B,$B154,$A:$A,$K154,G:G,"&gt;=0")=0,"",G154-SUMIFS(G:G,$B:$B,$B154,$A:$A,$K154)))</f>
        <v/>
      </c>
    </row>
    <row r="155">
      <c r="A155" s="15" t="n">
        <v>46316</v>
      </c>
      <c r="B155" s="5" t="inlineStr">
        <is>
          <t>Intel Core i5-14400F</t>
        </is>
      </c>
      <c r="C155" s="5" t="inlineStr">
        <is>
          <t>CPU</t>
        </is>
      </c>
      <c r="D155" s="7" t="n">
        <v>164.49</v>
      </c>
      <c r="E155" s="7" t="n">
        <v>139.99</v>
      </c>
      <c r="F155" s="2" t="n"/>
      <c r="G155" s="2" t="n"/>
      <c r="H155" s="9">
        <f>IFERROR(IF(INDEX(Dólar!$B:$B,MATCH(A155,Dólar!$A:$A,0))="","",INDEX(Dólar!$B:$B,MATCH(A155,Dólar!$A:$A,0))),"")</f>
        <v/>
      </c>
      <c r="I155" s="10">
        <f>IFERROR(INDEX(Dólar!$E:$E,MATCH(A155,Dólar!$A:$A,0)),"")</f>
        <v/>
      </c>
      <c r="J155" s="6" t="inlineStr">
        <is>
          <t>ver anuncio</t>
        </is>
      </c>
      <c r="K155" s="15" t="n">
        <v>46315</v>
      </c>
      <c r="L155" s="16">
        <f>IF(OR($K155="",D155=""),"",IF(COUNTIFS($B:$B,$B155,$A:$A,$K155,D:D,"&gt;=0")=0,"",D155-SUMIFS(D:D,$B:$B,$B155,$A:$A,$K155)))</f>
        <v/>
      </c>
      <c r="M155" s="16">
        <f>IF(OR($K155="",E155=""),"",IF(COUNTIFS($B:$B,$B155,$A:$A,$K155,E:E,"&gt;=0")=0,"",E155-SUMIFS(E:E,$B:$B,$B155,$A:$A,$K155)))</f>
        <v/>
      </c>
      <c r="N155" s="16">
        <f>IF(OR($K155="",F155=""),"",IF(COUNTIFS($B:$B,$B155,$A:$A,$K155,F:F,"&gt;=0")=0,"",F155-SUMIFS(F:F,$B:$B,$B155,$A:$A,$K155)))</f>
        <v/>
      </c>
      <c r="O155" s="16">
        <f>IF(OR($K155="",G155=""),"",IF(COUNTIFS($B:$B,$B155,$A:$A,$K155,G:G,"&gt;=0")=0,"",G155-SUMIFS(G:G,$B:$B,$B155,$A:$A,$K155)))</f>
        <v/>
      </c>
    </row>
    <row r="156">
      <c r="A156" s="15" t="n">
        <v>46316</v>
      </c>
      <c r="B156" s="5" t="inlineStr">
        <is>
          <t>Intel Core i5-13400</t>
        </is>
      </c>
      <c r="C156" s="5" t="inlineStr">
        <is>
          <t>CPU</t>
        </is>
      </c>
      <c r="D156" s="2" t="n"/>
      <c r="E156" s="7" t="n">
        <v>150</v>
      </c>
      <c r="F156" s="2" t="n"/>
      <c r="G156" s="2" t="n"/>
      <c r="H156" s="9">
        <f>IFERROR(IF(INDEX(Dólar!$B:$B,MATCH(A156,Dólar!$A:$A,0))="","",INDEX(Dólar!$B:$B,MATCH(A156,Dólar!$A:$A,0))),"")</f>
        <v/>
      </c>
      <c r="I156" s="10">
        <f>IFERROR(INDEX(Dólar!$E:$E,MATCH(A156,Dólar!$A:$A,0)),"")</f>
        <v/>
      </c>
      <c r="J156" s="6" t="inlineStr">
        <is>
          <t>ver anuncio</t>
        </is>
      </c>
      <c r="K156" s="15" t="n">
        <v>46315</v>
      </c>
      <c r="L156" s="16">
        <f>IF(OR($K156="",D156=""),"",IF(COUNTIFS($B:$B,$B156,$A:$A,$K156,D:D,"&gt;=0")=0,"",D156-SUMIFS(D:D,$B:$B,$B156,$A:$A,$K156)))</f>
        <v/>
      </c>
      <c r="M156" s="16">
        <f>IF(OR($K156="",E156=""),"",IF(COUNTIFS($B:$B,$B156,$A:$A,$K156,E:E,"&gt;=0")=0,"",E156-SUMIFS(E:E,$B:$B,$B156,$A:$A,$K156)))</f>
        <v/>
      </c>
      <c r="N156" s="16">
        <f>IF(OR($K156="",F156=""),"",IF(COUNTIFS($B:$B,$B156,$A:$A,$K156,F:F,"&gt;=0")=0,"",F156-SUMIFS(F:F,$B:$B,$B156,$A:$A,$K156)))</f>
        <v/>
      </c>
      <c r="O156" s="16">
        <f>IF(OR($K156="",G156=""),"",IF(COUNTIFS($B:$B,$B156,$A:$A,$K156,G:G,"&gt;=0")=0,"",G156-SUMIFS(G:G,$B:$B,$B156,$A:$A,$K156)))</f>
        <v/>
      </c>
    </row>
    <row r="157">
      <c r="A157" s="15" t="n">
        <v>46316</v>
      </c>
      <c r="B157" s="5" t="inlineStr">
        <is>
          <t>Intel Core i5-12400F</t>
        </is>
      </c>
      <c r="C157" s="5" t="inlineStr">
        <is>
          <t>CPU</t>
        </is>
      </c>
      <c r="D157" s="7" t="n">
        <v>150</v>
      </c>
      <c r="E157" s="7" t="n">
        <v>124</v>
      </c>
      <c r="F157" s="8" t="n">
        <v>2350</v>
      </c>
      <c r="G157" s="2" t="n"/>
      <c r="H157" s="9">
        <f>IFERROR(IF(INDEX(Dólar!$B:$B,MATCH(A157,Dólar!$A:$A,0))="","",INDEX(Dólar!$B:$B,MATCH(A157,Dólar!$A:$A,0))),"")</f>
        <v/>
      </c>
      <c r="I157" s="10">
        <f>IFERROR(INDEX(Dólar!$E:$E,MATCH(A157,Dólar!$A:$A,0)),"")</f>
        <v/>
      </c>
      <c r="J157" s="6" t="inlineStr">
        <is>
          <t>ver anuncio</t>
        </is>
      </c>
      <c r="K157" s="15" t="n">
        <v>46315</v>
      </c>
      <c r="L157" s="16">
        <f>IF(OR($K157="",D157=""),"",IF(COUNTIFS($B:$B,$B157,$A:$A,$K157,D:D,"&gt;=0")=0,"",D157-SUMIFS(D:D,$B:$B,$B157,$A:$A,$K157)))</f>
        <v/>
      </c>
      <c r="M157" s="16">
        <f>IF(OR($K157="",E157=""),"",IF(COUNTIFS($B:$B,$B157,$A:$A,$K157,E:E,"&gt;=0")=0,"",E157-SUMIFS(E:E,$B:$B,$B157,$A:$A,$K157)))</f>
        <v/>
      </c>
      <c r="N157" s="16">
        <f>IF(OR($K157="",F157=""),"",IF(COUNTIFS($B:$B,$B157,$A:$A,$K157,F:F,"&gt;=0")=0,"",F157-SUMIFS(F:F,$B:$B,$B157,$A:$A,$K157)))</f>
        <v/>
      </c>
      <c r="O157" s="16">
        <f>IF(OR($K157="",G157=""),"",IF(COUNTIFS($B:$B,$B157,$A:$A,$K157,G:G,"&gt;=0")=0,"",G157-SUMIFS(G:G,$B:$B,$B157,$A:$A,$K157)))</f>
        <v/>
      </c>
    </row>
    <row r="158">
      <c r="A158" s="15" t="n">
        <v>46316</v>
      </c>
      <c r="B158" s="5" t="inlineStr">
        <is>
          <t>Intel Core Ultra 7 265K</t>
        </is>
      </c>
      <c r="C158" s="5" t="inlineStr">
        <is>
          <t>CPU</t>
        </is>
      </c>
      <c r="D158" s="7" t="n">
        <v>243.6</v>
      </c>
      <c r="E158" s="7" t="n">
        <v>230</v>
      </c>
      <c r="F158" s="2" t="n"/>
      <c r="G158" s="2" t="n"/>
      <c r="H158" s="9">
        <f>IFERROR(IF(INDEX(Dólar!$B:$B,MATCH(A158,Dólar!$A:$A,0))="","",INDEX(Dólar!$B:$B,MATCH(A158,Dólar!$A:$A,0))),"")</f>
        <v/>
      </c>
      <c r="I158" s="10">
        <f>IFERROR(INDEX(Dólar!$E:$E,MATCH(A158,Dólar!$A:$A,0)),"")</f>
        <v/>
      </c>
      <c r="J158" s="6" t="inlineStr">
        <is>
          <t>ver anuncio</t>
        </is>
      </c>
      <c r="K158" s="15" t="n">
        <v>46315</v>
      </c>
      <c r="L158" s="16">
        <f>IF(OR($K158="",D158=""),"",IF(COUNTIFS($B:$B,$B158,$A:$A,$K158,D:D,"&gt;=0")=0,"",D158-SUMIFS(D:D,$B:$B,$B158,$A:$A,$K158)))</f>
        <v/>
      </c>
      <c r="M158" s="16">
        <f>IF(OR($K158="",E158=""),"",IF(COUNTIFS($B:$B,$B158,$A:$A,$K158,E:E,"&gt;=0")=0,"",E158-SUMIFS(E:E,$B:$B,$B158,$A:$A,$K158)))</f>
        <v/>
      </c>
      <c r="N158" s="16">
        <f>IF(OR($K158="",F158=""),"",IF(COUNTIFS($B:$B,$B158,$A:$A,$K158,F:F,"&gt;=0")=0,"",F158-SUMIFS(F:F,$B:$B,$B158,$A:$A,$K158)))</f>
        <v/>
      </c>
      <c r="O158" s="16">
        <f>IF(OR($K158="",G158=""),"",IF(COUNTIFS($B:$B,$B158,$A:$A,$K158,G:G,"&gt;=0")=0,"",G158-SUMIFS(G:G,$B:$B,$B158,$A:$A,$K158)))</f>
        <v/>
      </c>
    </row>
    <row r="159">
      <c r="A159" s="15" t="n">
        <v>46316</v>
      </c>
      <c r="B159" s="5" t="inlineStr">
        <is>
          <t>Corsair Vengeance RGB DDR5 32GB (2x16) 6000</t>
        </is>
      </c>
      <c r="C159" s="5" t="inlineStr">
        <is>
          <t>RAM</t>
        </is>
      </c>
      <c r="D159" s="7" t="n">
        <v>450</v>
      </c>
      <c r="E159" s="7" t="n">
        <v>399.99</v>
      </c>
      <c r="F159" s="8" t="n">
        <v>6200</v>
      </c>
      <c r="G159" s="2" t="n"/>
      <c r="H159" s="9">
        <f>IFERROR(IF(INDEX(Dólar!$B:$B,MATCH(A159,Dólar!$A:$A,0))="","",INDEX(Dólar!$B:$B,MATCH(A159,Dólar!$A:$A,0))),"")</f>
        <v/>
      </c>
      <c r="I159" s="10">
        <f>IFERROR(INDEX(Dólar!$E:$E,MATCH(A159,Dólar!$A:$A,0)),"")</f>
        <v/>
      </c>
      <c r="J159" s="6" t="inlineStr">
        <is>
          <t>ver anuncio</t>
        </is>
      </c>
      <c r="K159" s="15" t="n">
        <v>46315</v>
      </c>
      <c r="L159" s="16">
        <f>IF(OR($K159="",D159=""),"",IF(COUNTIFS($B:$B,$B159,$A:$A,$K159,D:D,"&gt;=0")=0,"",D159-SUMIFS(D:D,$B:$B,$B159,$A:$A,$K159)))</f>
        <v/>
      </c>
      <c r="M159" s="16">
        <f>IF(OR($K159="",E159=""),"",IF(COUNTIFS($B:$B,$B159,$A:$A,$K159,E:E,"&gt;=0")=0,"",E159-SUMIFS(E:E,$B:$B,$B159,$A:$A,$K159)))</f>
        <v/>
      </c>
      <c r="N159" s="16">
        <f>IF(OR($K159="",F159=""),"",IF(COUNTIFS($B:$B,$B159,$A:$A,$K159,F:F,"&gt;=0")=0,"",F159-SUMIFS(F:F,$B:$B,$B159,$A:$A,$K159)))</f>
        <v/>
      </c>
      <c r="O159" s="16">
        <f>IF(OR($K159="",G159=""),"",IF(COUNTIFS($B:$B,$B159,$A:$A,$K159,G:G,"&gt;=0")=0,"",G159-SUMIFS(G:G,$B:$B,$B159,$A:$A,$K159)))</f>
        <v/>
      </c>
    </row>
    <row r="160">
      <c r="A160" s="15" t="n">
        <v>46316</v>
      </c>
      <c r="B160" s="5" t="inlineStr">
        <is>
          <t>Corsair Vengeance RGB DDR5 32GB (2x16) 5600</t>
        </is>
      </c>
      <c r="C160" s="5" t="inlineStr">
        <is>
          <t>RAM</t>
        </is>
      </c>
      <c r="D160" s="7" t="n">
        <v>479.99</v>
      </c>
      <c r="E160" s="7" t="n">
        <v>399.99</v>
      </c>
      <c r="F160" s="2" t="n"/>
      <c r="G160" s="2" t="n"/>
      <c r="H160" s="9">
        <f>IFERROR(IF(INDEX(Dólar!$B:$B,MATCH(A160,Dólar!$A:$A,0))="","",INDEX(Dólar!$B:$B,MATCH(A160,Dólar!$A:$A,0))),"")</f>
        <v/>
      </c>
      <c r="I160" s="10">
        <f>IFERROR(INDEX(Dólar!$E:$E,MATCH(A160,Dólar!$A:$A,0)),"")</f>
        <v/>
      </c>
      <c r="J160" s="6" t="inlineStr">
        <is>
          <t>ver anuncio</t>
        </is>
      </c>
      <c r="K160" s="15" t="n">
        <v>46315</v>
      </c>
      <c r="L160" s="16">
        <f>IF(OR($K160="",D160=""),"",IF(COUNTIFS($B:$B,$B160,$A:$A,$K160,D:D,"&gt;=0")=0,"",D160-SUMIFS(D:D,$B:$B,$B160,$A:$A,$K160)))</f>
        <v/>
      </c>
      <c r="M160" s="16">
        <f>IF(OR($K160="",E160=""),"",IF(COUNTIFS($B:$B,$B160,$A:$A,$K160,E:E,"&gt;=0")=0,"",E160-SUMIFS(E:E,$B:$B,$B160,$A:$A,$K160)))</f>
        <v/>
      </c>
      <c r="N160" s="16">
        <f>IF(OR($K160="",F160=""),"",IF(COUNTIFS($B:$B,$B160,$A:$A,$K160,F:F,"&gt;=0")=0,"",F160-SUMIFS(F:F,$B:$B,$B160,$A:$A,$K160)))</f>
        <v/>
      </c>
      <c r="O160" s="16">
        <f>IF(OR($K160="",G160=""),"",IF(COUNTIFS($B:$B,$B160,$A:$A,$K160,G:G,"&gt;=0")=0,"",G160-SUMIFS(G:G,$B:$B,$B160,$A:$A,$K160)))</f>
        <v/>
      </c>
    </row>
    <row r="161">
      <c r="A161" s="15" t="n">
        <v>46315</v>
      </c>
      <c r="B161" s="5" t="inlineStr">
        <is>
          <t>SSD NVMe 2TB</t>
        </is>
      </c>
      <c r="C161" s="5" t="inlineStr">
        <is>
          <t>SSD</t>
        </is>
      </c>
      <c r="D161" s="7" t="n">
        <v>163.11</v>
      </c>
      <c r="E161" s="7" t="n">
        <v>184.99</v>
      </c>
      <c r="F161" s="2" t="n"/>
      <c r="G161" s="2" t="n"/>
      <c r="H161" s="9">
        <f>IFERROR(IF(INDEX(Dólar!$B:$B,MATCH(A161,Dólar!$A:$A,0))="","",INDEX(Dólar!$B:$B,MATCH(A161,Dólar!$A:$A,0))),"")</f>
        <v/>
      </c>
      <c r="I161" s="10">
        <f>IFERROR(INDEX(Dólar!$E:$E,MATCH(A161,Dólar!$A:$A,0)),"")</f>
        <v/>
      </c>
      <c r="J161" s="6" t="inlineStr">
        <is>
          <t>ver anuncio</t>
        </is>
      </c>
      <c r="K161" s="15" t="n">
        <v>46314</v>
      </c>
      <c r="L161" s="16">
        <f>IF(OR($K161="",D161=""),"",IF(COUNTIFS($B:$B,$B161,$A:$A,$K161,D:D,"&gt;=0")=0,"",D161-SUMIFS(D:D,$B:$B,$B161,$A:$A,$K161)))</f>
        <v/>
      </c>
      <c r="M161" s="16">
        <f>IF(OR($K161="",E161=""),"",IF(COUNTIFS($B:$B,$B161,$A:$A,$K161,E:E,"&gt;=0")=0,"",E161-SUMIFS(E:E,$B:$B,$B161,$A:$A,$K161)))</f>
        <v/>
      </c>
      <c r="N161" s="16">
        <f>IF(OR($K161="",F161=""),"",IF(COUNTIFS($B:$B,$B161,$A:$A,$K161,F:F,"&gt;=0")=0,"",F161-SUMIFS(F:F,$B:$B,$B161,$A:$A,$K161)))</f>
        <v/>
      </c>
      <c r="O161" s="16">
        <f>IF(OR($K161="",G161=""),"",IF(COUNTIFS($B:$B,$B161,$A:$A,$K161,G:G,"&gt;=0")=0,"",G161-SUMIFS(G:G,$B:$B,$B161,$A:$A,$K161)))</f>
        <v/>
      </c>
    </row>
    <row r="162">
      <c r="A162" s="15" t="n">
        <v>46315</v>
      </c>
      <c r="B162" s="5" t="inlineStr">
        <is>
          <t>SSD NVMe 1TB</t>
        </is>
      </c>
      <c r="C162" s="5" t="inlineStr">
        <is>
          <t>SSD</t>
        </is>
      </c>
      <c r="D162" s="7" t="n">
        <v>114.99</v>
      </c>
      <c r="E162" s="7" t="n">
        <v>90</v>
      </c>
      <c r="F162" s="2" t="n"/>
      <c r="G162" s="2" t="n"/>
      <c r="H162" s="9">
        <f>IFERROR(IF(INDEX(Dólar!$B:$B,MATCH(A162,Dólar!$A:$A,0))="","",INDEX(Dólar!$B:$B,MATCH(A162,Dólar!$A:$A,0))),"")</f>
        <v/>
      </c>
      <c r="I162" s="10">
        <f>IFERROR(INDEX(Dólar!$E:$E,MATCH(A162,Dólar!$A:$A,0)),"")</f>
        <v/>
      </c>
      <c r="J162" s="6" t="inlineStr">
        <is>
          <t>ver anuncio</t>
        </is>
      </c>
      <c r="K162" s="15" t="n">
        <v>46314</v>
      </c>
      <c r="L162" s="16">
        <f>IF(OR($K162="",D162=""),"",IF(COUNTIFS($B:$B,$B162,$A:$A,$K162,D:D,"&gt;=0")=0,"",D162-SUMIFS(D:D,$B:$B,$B162,$A:$A,$K162)))</f>
        <v/>
      </c>
      <c r="M162" s="16">
        <f>IF(OR($K162="",E162=""),"",IF(COUNTIFS($B:$B,$B162,$A:$A,$K162,E:E,"&gt;=0")=0,"",E162-SUMIFS(E:E,$B:$B,$B162,$A:$A,$K162)))</f>
        <v/>
      </c>
      <c r="N162" s="16">
        <f>IF(OR($K162="",F162=""),"",IF(COUNTIFS($B:$B,$B162,$A:$A,$K162,F:F,"&gt;=0")=0,"",F162-SUMIFS(F:F,$B:$B,$B162,$A:$A,$K162)))</f>
        <v/>
      </c>
      <c r="O162" s="16">
        <f>IF(OR($K162="",G162=""),"",IF(COUNTIFS($B:$B,$B162,$A:$A,$K162,G:G,"&gt;=0")=0,"",G162-SUMIFS(G:G,$B:$B,$B162,$A:$A,$K162)))</f>
        <v/>
      </c>
    </row>
    <row r="163">
      <c r="A163" s="15" t="n">
        <v>46315</v>
      </c>
      <c r="B163" s="5" t="inlineStr">
        <is>
          <t>Ryzen 9 9950X</t>
        </is>
      </c>
      <c r="C163" s="5" t="inlineStr">
        <is>
          <t>CPU</t>
        </is>
      </c>
      <c r="D163" s="7" t="n">
        <v>549.99</v>
      </c>
      <c r="E163" s="7" t="n">
        <v>454.99</v>
      </c>
      <c r="F163" s="2" t="n"/>
      <c r="G163" s="2" t="n"/>
      <c r="H163" s="9">
        <f>IFERROR(IF(INDEX(Dólar!$B:$B,MATCH(A163,Dólar!$A:$A,0))="","",INDEX(Dólar!$B:$B,MATCH(A163,Dólar!$A:$A,0))),"")</f>
        <v/>
      </c>
      <c r="I163" s="10">
        <f>IFERROR(INDEX(Dólar!$E:$E,MATCH(A163,Dólar!$A:$A,0)),"")</f>
        <v/>
      </c>
      <c r="J163" s="6" t="inlineStr">
        <is>
          <t>ver anuncio</t>
        </is>
      </c>
      <c r="K163" s="15" t="n">
        <v>46314</v>
      </c>
      <c r="L163" s="16">
        <f>IF(OR($K163="",D163=""),"",IF(COUNTIFS($B:$B,$B163,$A:$A,$K163,D:D,"&gt;=0")=0,"",D163-SUMIFS(D:D,$B:$B,$B163,$A:$A,$K163)))</f>
        <v/>
      </c>
      <c r="M163" s="16">
        <f>IF(OR($K163="",E163=""),"",IF(COUNTIFS($B:$B,$B163,$A:$A,$K163,E:E,"&gt;=0")=0,"",E163-SUMIFS(E:E,$B:$B,$B163,$A:$A,$K163)))</f>
        <v/>
      </c>
      <c r="N163" s="16">
        <f>IF(OR($K163="",F163=""),"",IF(COUNTIFS($B:$B,$B163,$A:$A,$K163,F:F,"&gt;=0")=0,"",F163-SUMIFS(F:F,$B:$B,$B163,$A:$A,$K163)))</f>
        <v/>
      </c>
      <c r="O163" s="16">
        <f>IF(OR($K163="",G163=""),"",IF(COUNTIFS($B:$B,$B163,$A:$A,$K163,G:G,"&gt;=0")=0,"",G163-SUMIFS(G:G,$B:$B,$B163,$A:$A,$K163)))</f>
        <v/>
      </c>
    </row>
    <row r="164">
      <c r="A164" s="15" t="n">
        <v>46315</v>
      </c>
      <c r="B164" s="5" t="inlineStr">
        <is>
          <t>Ryzen 7 7800X3D</t>
        </is>
      </c>
      <c r="C164" s="5" t="inlineStr">
        <is>
          <t>CPU</t>
        </is>
      </c>
      <c r="D164" s="7" t="n">
        <v>324.99</v>
      </c>
      <c r="E164" s="7" t="n">
        <v>289.99</v>
      </c>
      <c r="F164" s="8" t="n">
        <v>5390</v>
      </c>
      <c r="G164" s="2" t="n"/>
      <c r="H164" s="9">
        <f>IFERROR(IF(INDEX(Dólar!$B:$B,MATCH(A164,Dólar!$A:$A,0))="","",INDEX(Dólar!$B:$B,MATCH(A164,Dólar!$A:$A,0))),"")</f>
        <v/>
      </c>
      <c r="I164" s="10">
        <f>IFERROR(INDEX(Dólar!$E:$E,MATCH(A164,Dólar!$A:$A,0)),"")</f>
        <v/>
      </c>
      <c r="J164" s="6" t="inlineStr">
        <is>
          <t>ver anuncio</t>
        </is>
      </c>
      <c r="K164" s="15" t="n">
        <v>46314</v>
      </c>
      <c r="L164" s="16">
        <f>IF(OR($K164="",D164=""),"",IF(COUNTIFS($B:$B,$B164,$A:$A,$K164,D:D,"&gt;=0")=0,"",D164-SUMIFS(D:D,$B:$B,$B164,$A:$A,$K164)))</f>
        <v/>
      </c>
      <c r="M164" s="16">
        <f>IF(OR($K164="",E164=""),"",IF(COUNTIFS($B:$B,$B164,$A:$A,$K164,E:E,"&gt;=0")=0,"",E164-SUMIFS(E:E,$B:$B,$B164,$A:$A,$K164)))</f>
        <v/>
      </c>
      <c r="N164" s="16">
        <f>IF(OR($K164="",F164=""),"",IF(COUNTIFS($B:$B,$B164,$A:$A,$K164,F:F,"&gt;=0")=0,"",F164-SUMIFS(F:F,$B:$B,$B164,$A:$A,$K164)))</f>
        <v/>
      </c>
      <c r="O164" s="16">
        <f>IF(OR($K164="",G164=""),"",IF(COUNTIFS($B:$B,$B164,$A:$A,$K164,G:G,"&gt;=0")=0,"",G164-SUMIFS(G:G,$B:$B,$B164,$A:$A,$K164)))</f>
        <v/>
      </c>
    </row>
    <row r="165">
      <c r="A165" s="15" t="n">
        <v>46315</v>
      </c>
      <c r="B165" s="5" t="inlineStr">
        <is>
          <t>Ryzen 7 7700X</t>
        </is>
      </c>
      <c r="C165" s="5" t="inlineStr">
        <is>
          <t>CPU</t>
        </is>
      </c>
      <c r="D165" s="7" t="n">
        <v>199.99</v>
      </c>
      <c r="E165" s="7" t="n">
        <v>169.99</v>
      </c>
      <c r="F165" s="8" t="n">
        <v>4000</v>
      </c>
      <c r="G165" s="8" t="n">
        <v>3667</v>
      </c>
      <c r="H165" s="9">
        <f>IFERROR(IF(INDEX(Dólar!$B:$B,MATCH(A165,Dólar!$A:$A,0))="","",INDEX(Dólar!$B:$B,MATCH(A165,Dólar!$A:$A,0))),"")</f>
        <v/>
      </c>
      <c r="I165" s="10">
        <f>IFERROR(INDEX(Dólar!$E:$E,MATCH(A165,Dólar!$A:$A,0)),"")</f>
        <v/>
      </c>
      <c r="J165" s="6" t="inlineStr">
        <is>
          <t>ver anuncio</t>
        </is>
      </c>
      <c r="K165" s="15" t="n">
        <v>46310</v>
      </c>
      <c r="L165" s="16">
        <f>IF(OR($K165="",D165=""),"",IF(COUNTIFS($B:$B,$B165,$A:$A,$K165,D:D,"&gt;=0")=0,"",D165-SUMIFS(D:D,$B:$B,$B165,$A:$A,$K165)))</f>
        <v/>
      </c>
      <c r="M165" s="16">
        <f>IF(OR($K165="",E165=""),"",IF(COUNTIFS($B:$B,$B165,$A:$A,$K165,E:E,"&gt;=0")=0,"",E165-SUMIFS(E:E,$B:$B,$B165,$A:$A,$K165)))</f>
        <v/>
      </c>
      <c r="N165" s="16">
        <f>IF(OR($K165="",F165=""),"",IF(COUNTIFS($B:$B,$B165,$A:$A,$K165,F:F,"&gt;=0")=0,"",F165-SUMIFS(F:F,$B:$B,$B165,$A:$A,$K165)))</f>
        <v/>
      </c>
      <c r="O165" s="16">
        <f>IF(OR($K165="",G165=""),"",IF(COUNTIFS($B:$B,$B165,$A:$A,$K165,G:G,"&gt;=0")=0,"",G165-SUMIFS(G:G,$B:$B,$B165,$A:$A,$K165)))</f>
        <v/>
      </c>
    </row>
    <row r="166">
      <c r="A166" s="15" t="n">
        <v>46315</v>
      </c>
      <c r="B166" s="5" t="inlineStr">
        <is>
          <t>Ryzen 7 5700X3D</t>
        </is>
      </c>
      <c r="C166" s="5" t="inlineStr">
        <is>
          <t>CPU</t>
        </is>
      </c>
      <c r="D166" s="2" t="n"/>
      <c r="E166" s="7" t="n">
        <v>336</v>
      </c>
      <c r="F166" s="2" t="n"/>
      <c r="G166" s="2" t="n"/>
      <c r="H166" s="9">
        <f>IFERROR(IF(INDEX(Dólar!$B:$B,MATCH(A166,Dólar!$A:$A,0))="","",INDEX(Dólar!$B:$B,MATCH(A166,Dólar!$A:$A,0))),"")</f>
        <v/>
      </c>
      <c r="I166" s="10">
        <f>IFERROR(INDEX(Dólar!$E:$E,MATCH(A166,Dólar!$A:$A,0)),"")</f>
        <v/>
      </c>
      <c r="J166" s="6" t="inlineStr">
        <is>
          <t>ver anuncio</t>
        </is>
      </c>
      <c r="K166" s="15" t="n">
        <v>46314</v>
      </c>
      <c r="L166" s="16">
        <f>IF(OR($K166="",D166=""),"",IF(COUNTIFS($B:$B,$B166,$A:$A,$K166,D:D,"&gt;=0")=0,"",D166-SUMIFS(D:D,$B:$B,$B166,$A:$A,$K166)))</f>
        <v/>
      </c>
      <c r="M166" s="16">
        <f>IF(OR($K166="",E166=""),"",IF(COUNTIFS($B:$B,$B166,$A:$A,$K166,E:E,"&gt;=0")=0,"",E166-SUMIFS(E:E,$B:$B,$B166,$A:$A,$K166)))</f>
        <v/>
      </c>
      <c r="N166" s="16">
        <f>IF(OR($K166="",F166=""),"",IF(COUNTIFS($B:$B,$B166,$A:$A,$K166,F:F,"&gt;=0")=0,"",F166-SUMIFS(F:F,$B:$B,$B166,$A:$A,$K166)))</f>
        <v/>
      </c>
      <c r="O166" s="16">
        <f>IF(OR($K166="",G166=""),"",IF(COUNTIFS($B:$B,$B166,$A:$A,$K166,G:G,"&gt;=0")=0,"",G166-SUMIFS(G:G,$B:$B,$B166,$A:$A,$K166)))</f>
        <v/>
      </c>
    </row>
    <row r="167">
      <c r="A167" s="15" t="n">
        <v>46315</v>
      </c>
      <c r="B167" s="5" t="inlineStr">
        <is>
          <t>Ryzen 5 7600</t>
        </is>
      </c>
      <c r="C167" s="5" t="inlineStr">
        <is>
          <t>CPU</t>
        </is>
      </c>
      <c r="D167" s="7" t="n">
        <v>213.95</v>
      </c>
      <c r="E167" s="7" t="n">
        <v>120</v>
      </c>
      <c r="F167" s="2" t="n"/>
      <c r="G167" s="2" t="n"/>
      <c r="H167" s="9">
        <f>IFERROR(IF(INDEX(Dólar!$B:$B,MATCH(A167,Dólar!$A:$A,0))="","",INDEX(Dólar!$B:$B,MATCH(A167,Dólar!$A:$A,0))),"")</f>
        <v/>
      </c>
      <c r="I167" s="10">
        <f>IFERROR(INDEX(Dólar!$E:$E,MATCH(A167,Dólar!$A:$A,0)),"")</f>
        <v/>
      </c>
      <c r="J167" s="6" t="inlineStr">
        <is>
          <t>ver anuncio</t>
        </is>
      </c>
      <c r="K167" s="15" t="n">
        <v>46314</v>
      </c>
      <c r="L167" s="16">
        <f>IF(OR($K167="",D167=""),"",IF(COUNTIFS($B:$B,$B167,$A:$A,$K167,D:D,"&gt;=0")=0,"",D167-SUMIFS(D:D,$B:$B,$B167,$A:$A,$K167)))</f>
        <v/>
      </c>
      <c r="M167" s="16">
        <f>IF(OR($K167="",E167=""),"",IF(COUNTIFS($B:$B,$B167,$A:$A,$K167,E:E,"&gt;=0")=0,"",E167-SUMIFS(E:E,$B:$B,$B167,$A:$A,$K167)))</f>
        <v/>
      </c>
      <c r="N167" s="16">
        <f>IF(OR($K167="",F167=""),"",IF(COUNTIFS($B:$B,$B167,$A:$A,$K167,F:F,"&gt;=0")=0,"",F167-SUMIFS(F:F,$B:$B,$B167,$A:$A,$K167)))</f>
        <v/>
      </c>
      <c r="O167" s="16">
        <f>IF(OR($K167="",G167=""),"",IF(COUNTIFS($B:$B,$B167,$A:$A,$K167,G:G,"&gt;=0")=0,"",G167-SUMIFS(G:G,$B:$B,$B167,$A:$A,$K167)))</f>
        <v/>
      </c>
    </row>
    <row r="168">
      <c r="A168" s="15" t="n">
        <v>46315</v>
      </c>
      <c r="B168" s="5" t="inlineStr">
        <is>
          <t>Ryzen 5 5600</t>
        </is>
      </c>
      <c r="C168" s="5" t="inlineStr">
        <is>
          <t>CPU</t>
        </is>
      </c>
      <c r="D168" s="7" t="n">
        <v>138.9</v>
      </c>
      <c r="E168" s="7" t="n">
        <v>129.99</v>
      </c>
      <c r="F168" s="2" t="n"/>
      <c r="G168" s="2" t="n"/>
      <c r="H168" s="9">
        <f>IFERROR(IF(INDEX(Dólar!$B:$B,MATCH(A168,Dólar!$A:$A,0))="","",INDEX(Dólar!$B:$B,MATCH(A168,Dólar!$A:$A,0))),"")</f>
        <v/>
      </c>
      <c r="I168" s="10">
        <f>IFERROR(INDEX(Dólar!$E:$E,MATCH(A168,Dólar!$A:$A,0)),"")</f>
        <v/>
      </c>
      <c r="J168" s="6" t="inlineStr">
        <is>
          <t>ver anuncio</t>
        </is>
      </c>
      <c r="K168" s="15" t="n">
        <v>46314</v>
      </c>
      <c r="L168" s="16">
        <f>IF(OR($K168="",D168=""),"",IF(COUNTIFS($B:$B,$B168,$A:$A,$K168,D:D,"&gt;=0")=0,"",D168-SUMIFS(D:D,$B:$B,$B168,$A:$A,$K168)))</f>
        <v/>
      </c>
      <c r="M168" s="16">
        <f>IF(OR($K168="",E168=""),"",IF(COUNTIFS($B:$B,$B168,$A:$A,$K168,E:E,"&gt;=0")=0,"",E168-SUMIFS(E:E,$B:$B,$B168,$A:$A,$K168)))</f>
        <v/>
      </c>
      <c r="N168" s="16">
        <f>IF(OR($K168="",F168=""),"",IF(COUNTIFS($B:$B,$B168,$A:$A,$K168,F:F,"&gt;=0")=0,"",F168-SUMIFS(F:F,$B:$B,$B168,$A:$A,$K168)))</f>
        <v/>
      </c>
      <c r="O168" s="16">
        <f>IF(OR($K168="",G168=""),"",IF(COUNTIFS($B:$B,$B168,$A:$A,$K168,G:G,"&gt;=0")=0,"",G168-SUMIFS(G:G,$B:$B,$B168,$A:$A,$K168)))</f>
        <v/>
      </c>
    </row>
    <row r="169">
      <c r="A169" s="15" t="n">
        <v>46315</v>
      </c>
      <c r="B169" s="5" t="inlineStr">
        <is>
          <t>RAM DDR4 16GB (2x8) 3200</t>
        </is>
      </c>
      <c r="C169" s="5" t="inlineStr">
        <is>
          <t>RAM</t>
        </is>
      </c>
      <c r="D169" s="7" t="n">
        <v>77.98999999999999</v>
      </c>
      <c r="E169" s="7" t="n">
        <v>69.95</v>
      </c>
      <c r="F169" s="8" t="n">
        <v>1400</v>
      </c>
      <c r="G169" s="2" t="n"/>
      <c r="H169" s="9">
        <f>IFERROR(IF(INDEX(Dólar!$B:$B,MATCH(A169,Dólar!$A:$A,0))="","",INDEX(Dólar!$B:$B,MATCH(A169,Dólar!$A:$A,0))),"")</f>
        <v/>
      </c>
      <c r="I169" s="10">
        <f>IFERROR(INDEX(Dólar!$E:$E,MATCH(A169,Dólar!$A:$A,0)),"")</f>
        <v/>
      </c>
      <c r="J169" s="6" t="inlineStr">
        <is>
          <t>ver anuncio</t>
        </is>
      </c>
      <c r="K169" s="15" t="n">
        <v>46314</v>
      </c>
      <c r="L169" s="16">
        <f>IF(OR($K169="",D169=""),"",IF(COUNTIFS($B:$B,$B169,$A:$A,$K169,D:D,"&gt;=0")=0,"",D169-SUMIFS(D:D,$B:$B,$B169,$A:$A,$K169)))</f>
        <v/>
      </c>
      <c r="M169" s="16">
        <f>IF(OR($K169="",E169=""),"",IF(COUNTIFS($B:$B,$B169,$A:$A,$K169,E:E,"&gt;=0")=0,"",E169-SUMIFS(E:E,$B:$B,$B169,$A:$A,$K169)))</f>
        <v/>
      </c>
      <c r="N169" s="16">
        <f>IF(OR($K169="",F169=""),"",IF(COUNTIFS($B:$B,$B169,$A:$A,$K169,F:F,"&gt;=0")=0,"",F169-SUMIFS(F:F,$B:$B,$B169,$A:$A,$K169)))</f>
        <v/>
      </c>
      <c r="O169" s="16">
        <f>IF(OR($K169="",G169=""),"",IF(COUNTIFS($B:$B,$B169,$A:$A,$K169,G:G,"&gt;=0")=0,"",G169-SUMIFS(G:G,$B:$B,$B169,$A:$A,$K169)))</f>
        <v/>
      </c>
    </row>
    <row r="170">
      <c r="A170" s="15" t="n">
        <v>46315</v>
      </c>
      <c r="B170" s="5" t="inlineStr">
        <is>
          <t>Intel Core i5-14400F</t>
        </is>
      </c>
      <c r="C170" s="5" t="inlineStr">
        <is>
          <t>CPU</t>
        </is>
      </c>
      <c r="D170" s="7" t="n">
        <v>164.49</v>
      </c>
      <c r="E170" s="7" t="n">
        <v>134.99</v>
      </c>
      <c r="F170" s="2" t="n"/>
      <c r="G170" s="2" t="n"/>
      <c r="H170" s="9">
        <f>IFERROR(IF(INDEX(Dólar!$B:$B,MATCH(A170,Dólar!$A:$A,0))="","",INDEX(Dólar!$B:$B,MATCH(A170,Dólar!$A:$A,0))),"")</f>
        <v/>
      </c>
      <c r="I170" s="10">
        <f>IFERROR(INDEX(Dólar!$E:$E,MATCH(A170,Dólar!$A:$A,0)),"")</f>
        <v/>
      </c>
      <c r="J170" s="6" t="inlineStr">
        <is>
          <t>ver anuncio</t>
        </is>
      </c>
      <c r="K170" s="15" t="n">
        <v>46314</v>
      </c>
      <c r="L170" s="16">
        <f>IF(OR($K170="",D170=""),"",IF(COUNTIFS($B:$B,$B170,$A:$A,$K170,D:D,"&gt;=0")=0,"",D170-SUMIFS(D:D,$B:$B,$B170,$A:$A,$K170)))</f>
        <v/>
      </c>
      <c r="M170" s="16">
        <f>IF(OR($K170="",E170=""),"",IF(COUNTIFS($B:$B,$B170,$A:$A,$K170,E:E,"&gt;=0")=0,"",E170-SUMIFS(E:E,$B:$B,$B170,$A:$A,$K170)))</f>
        <v/>
      </c>
      <c r="N170" s="16">
        <f>IF(OR($K170="",F170=""),"",IF(COUNTIFS($B:$B,$B170,$A:$A,$K170,F:F,"&gt;=0")=0,"",F170-SUMIFS(F:F,$B:$B,$B170,$A:$A,$K170)))</f>
        <v/>
      </c>
      <c r="O170" s="16">
        <f>IF(OR($K170="",G170=""),"",IF(COUNTIFS($B:$B,$B170,$A:$A,$K170,G:G,"&gt;=0")=0,"",G170-SUMIFS(G:G,$B:$B,$B170,$A:$A,$K170)))</f>
        <v/>
      </c>
    </row>
    <row r="171">
      <c r="A171" s="15" t="n">
        <v>46315</v>
      </c>
      <c r="B171" s="5" t="inlineStr">
        <is>
          <t>Intel Core i5-13400</t>
        </is>
      </c>
      <c r="C171" s="5" t="inlineStr">
        <is>
          <t>CPU</t>
        </is>
      </c>
      <c r="D171" s="2" t="n"/>
      <c r="E171" s="7" t="n">
        <v>150</v>
      </c>
      <c r="F171" s="2" t="n"/>
      <c r="G171" s="2" t="n"/>
      <c r="H171" s="9">
        <f>IFERROR(IF(INDEX(Dólar!$B:$B,MATCH(A171,Dólar!$A:$A,0))="","",INDEX(Dólar!$B:$B,MATCH(A171,Dólar!$A:$A,0))),"")</f>
        <v/>
      </c>
      <c r="I171" s="10">
        <f>IFERROR(INDEX(Dólar!$E:$E,MATCH(A171,Dólar!$A:$A,0)),"")</f>
        <v/>
      </c>
      <c r="J171" s="6" t="inlineStr">
        <is>
          <t>ver anuncio</t>
        </is>
      </c>
      <c r="K171" s="15" t="n">
        <v>46314</v>
      </c>
      <c r="L171" s="16">
        <f>IF(OR($K171="",D171=""),"",IF(COUNTIFS($B:$B,$B171,$A:$A,$K171,D:D,"&gt;=0")=0,"",D171-SUMIFS(D:D,$B:$B,$B171,$A:$A,$K171)))</f>
        <v/>
      </c>
      <c r="M171" s="16">
        <f>IF(OR($K171="",E171=""),"",IF(COUNTIFS($B:$B,$B171,$A:$A,$K171,E:E,"&gt;=0")=0,"",E171-SUMIFS(E:E,$B:$B,$B171,$A:$A,$K171)))</f>
        <v/>
      </c>
      <c r="N171" s="16">
        <f>IF(OR($K171="",F171=""),"",IF(COUNTIFS($B:$B,$B171,$A:$A,$K171,F:F,"&gt;=0")=0,"",F171-SUMIFS(F:F,$B:$B,$B171,$A:$A,$K171)))</f>
        <v/>
      </c>
      <c r="O171" s="16">
        <f>IF(OR($K171="",G171=""),"",IF(COUNTIFS($B:$B,$B171,$A:$A,$K171,G:G,"&gt;=0")=0,"",G171-SUMIFS(G:G,$B:$B,$B171,$A:$A,$K171)))</f>
        <v/>
      </c>
    </row>
    <row r="172">
      <c r="A172" s="15" t="n">
        <v>46315</v>
      </c>
      <c r="B172" s="5" t="inlineStr">
        <is>
          <t>Intel Core i5-12400F</t>
        </is>
      </c>
      <c r="C172" s="5" t="inlineStr">
        <is>
          <t>CPU</t>
        </is>
      </c>
      <c r="D172" s="7" t="n">
        <v>150</v>
      </c>
      <c r="E172" s="7" t="n">
        <v>124.99</v>
      </c>
      <c r="F172" s="2" t="n"/>
      <c r="G172" s="2" t="n"/>
      <c r="H172" s="9">
        <f>IFERROR(IF(INDEX(Dólar!$B:$B,MATCH(A172,Dólar!$A:$A,0))="","",INDEX(Dólar!$B:$B,MATCH(A172,Dólar!$A:$A,0))),"")</f>
        <v/>
      </c>
      <c r="I172" s="10">
        <f>IFERROR(INDEX(Dólar!$E:$E,MATCH(A172,Dólar!$A:$A,0)),"")</f>
        <v/>
      </c>
      <c r="J172" s="6" t="inlineStr">
        <is>
          <t>ver anuncio</t>
        </is>
      </c>
      <c r="K172" s="15" t="n">
        <v>46314</v>
      </c>
      <c r="L172" s="16">
        <f>IF(OR($K172="",D172=""),"",IF(COUNTIFS($B:$B,$B172,$A:$A,$K172,D:D,"&gt;=0")=0,"",D172-SUMIFS(D:D,$B:$B,$B172,$A:$A,$K172)))</f>
        <v/>
      </c>
      <c r="M172" s="16">
        <f>IF(OR($K172="",E172=""),"",IF(COUNTIFS($B:$B,$B172,$A:$A,$K172,E:E,"&gt;=0")=0,"",E172-SUMIFS(E:E,$B:$B,$B172,$A:$A,$K172)))</f>
        <v/>
      </c>
      <c r="N172" s="16">
        <f>IF(OR($K172="",F172=""),"",IF(COUNTIFS($B:$B,$B172,$A:$A,$K172,F:F,"&gt;=0")=0,"",F172-SUMIFS(F:F,$B:$B,$B172,$A:$A,$K172)))</f>
        <v/>
      </c>
      <c r="O172" s="16">
        <f>IF(OR($K172="",G172=""),"",IF(COUNTIFS($B:$B,$B172,$A:$A,$K172,G:G,"&gt;=0")=0,"",G172-SUMIFS(G:G,$B:$B,$B172,$A:$A,$K172)))</f>
        <v/>
      </c>
    </row>
    <row r="173">
      <c r="A173" s="15" t="n">
        <v>46315</v>
      </c>
      <c r="B173" s="5" t="inlineStr">
        <is>
          <t>Intel Core Ultra 7 265K</t>
        </is>
      </c>
      <c r="C173" s="5" t="inlineStr">
        <is>
          <t>CPU</t>
        </is>
      </c>
      <c r="D173" s="7" t="n">
        <v>244.88</v>
      </c>
      <c r="E173" s="2" t="n"/>
      <c r="F173" s="2" t="n"/>
      <c r="G173" s="2" t="n"/>
      <c r="H173" s="9">
        <f>IFERROR(IF(INDEX(Dólar!$B:$B,MATCH(A173,Dólar!$A:$A,0))="","",INDEX(Dólar!$B:$B,MATCH(A173,Dólar!$A:$A,0))),"")</f>
        <v/>
      </c>
      <c r="I173" s="10">
        <f>IFERROR(INDEX(Dólar!$E:$E,MATCH(A173,Dólar!$A:$A,0)),"")</f>
        <v/>
      </c>
      <c r="J173" s="6" t="inlineStr">
        <is>
          <t>ver anuncio</t>
        </is>
      </c>
      <c r="K173" s="15" t="n">
        <v>46314</v>
      </c>
      <c r="L173" s="16">
        <f>IF(OR($K173="",D173=""),"",IF(COUNTIFS($B:$B,$B173,$A:$A,$K173,D:D,"&gt;=0")=0,"",D173-SUMIFS(D:D,$B:$B,$B173,$A:$A,$K173)))</f>
        <v/>
      </c>
      <c r="M173" s="16">
        <f>IF(OR($K173="",E173=""),"",IF(COUNTIFS($B:$B,$B173,$A:$A,$K173,E:E,"&gt;=0")=0,"",E173-SUMIFS(E:E,$B:$B,$B173,$A:$A,$K173)))</f>
        <v/>
      </c>
      <c r="N173" s="16">
        <f>IF(OR($K173="",F173=""),"",IF(COUNTIFS($B:$B,$B173,$A:$A,$K173,F:F,"&gt;=0")=0,"",F173-SUMIFS(F:F,$B:$B,$B173,$A:$A,$K173)))</f>
        <v/>
      </c>
      <c r="O173" s="16">
        <f>IF(OR($K173="",G173=""),"",IF(COUNTIFS($B:$B,$B173,$A:$A,$K173,G:G,"&gt;=0")=0,"",G173-SUMIFS(G:G,$B:$B,$B173,$A:$A,$K173)))</f>
        <v/>
      </c>
    </row>
    <row r="174">
      <c r="A174" s="15" t="n">
        <v>46315</v>
      </c>
      <c r="B174" s="5" t="inlineStr">
        <is>
          <t>Corsair Vengeance RGB DDR5 32GB (2x16) 6000</t>
        </is>
      </c>
      <c r="C174" s="5" t="inlineStr">
        <is>
          <t>RAM</t>
        </is>
      </c>
      <c r="D174" s="7" t="n">
        <v>444.99</v>
      </c>
      <c r="E174" s="7" t="n">
        <v>399.99</v>
      </c>
      <c r="F174" s="2" t="n"/>
      <c r="G174" s="2" t="n"/>
      <c r="H174" s="9">
        <f>IFERROR(IF(INDEX(Dólar!$B:$B,MATCH(A174,Dólar!$A:$A,0))="","",INDEX(Dólar!$B:$B,MATCH(A174,Dólar!$A:$A,0))),"")</f>
        <v/>
      </c>
      <c r="I174" s="10">
        <f>IFERROR(INDEX(Dólar!$E:$E,MATCH(A174,Dólar!$A:$A,0)),"")</f>
        <v/>
      </c>
      <c r="J174" s="6" t="inlineStr">
        <is>
          <t>ver anuncio</t>
        </is>
      </c>
      <c r="K174" s="15" t="n">
        <v>46314</v>
      </c>
      <c r="L174" s="16">
        <f>IF(OR($K174="",D174=""),"",IF(COUNTIFS($B:$B,$B174,$A:$A,$K174,D:D,"&gt;=0")=0,"",D174-SUMIFS(D:D,$B:$B,$B174,$A:$A,$K174)))</f>
        <v/>
      </c>
      <c r="M174" s="16">
        <f>IF(OR($K174="",E174=""),"",IF(COUNTIFS($B:$B,$B174,$A:$A,$K174,E:E,"&gt;=0")=0,"",E174-SUMIFS(E:E,$B:$B,$B174,$A:$A,$K174)))</f>
        <v/>
      </c>
      <c r="N174" s="16">
        <f>IF(OR($K174="",F174=""),"",IF(COUNTIFS($B:$B,$B174,$A:$A,$K174,F:F,"&gt;=0")=0,"",F174-SUMIFS(F:F,$B:$B,$B174,$A:$A,$K174)))</f>
        <v/>
      </c>
      <c r="O174" s="16">
        <f>IF(OR($K174="",G174=""),"",IF(COUNTIFS($B:$B,$B174,$A:$A,$K174,G:G,"&gt;=0")=0,"",G174-SUMIFS(G:G,$B:$B,$B174,$A:$A,$K174)))</f>
        <v/>
      </c>
    </row>
    <row r="175">
      <c r="A175" s="15" t="n">
        <v>46315</v>
      </c>
      <c r="B175" s="5" t="inlineStr">
        <is>
          <t>Corsair Vengeance RGB DDR5 32GB (2x16) 5600</t>
        </is>
      </c>
      <c r="C175" s="5" t="inlineStr">
        <is>
          <t>RAM</t>
        </is>
      </c>
      <c r="D175" s="7" t="n">
        <v>479.99</v>
      </c>
      <c r="E175" s="7" t="n">
        <v>379.99</v>
      </c>
      <c r="F175" s="2" t="n"/>
      <c r="G175" s="2" t="n"/>
      <c r="H175" s="9">
        <f>IFERROR(IF(INDEX(Dólar!$B:$B,MATCH(A175,Dólar!$A:$A,0))="","",INDEX(Dólar!$B:$B,MATCH(A175,Dólar!$A:$A,0))),"")</f>
        <v/>
      </c>
      <c r="I175" s="10">
        <f>IFERROR(INDEX(Dólar!$E:$E,MATCH(A175,Dólar!$A:$A,0)),"")</f>
        <v/>
      </c>
      <c r="J175" s="6" t="inlineStr">
        <is>
          <t>ver anuncio</t>
        </is>
      </c>
      <c r="K175" s="15" t="n">
        <v>46314</v>
      </c>
      <c r="L175" s="16">
        <f>IF(OR($K175="",D175=""),"",IF(COUNTIFS($B:$B,$B175,$A:$A,$K175,D:D,"&gt;=0")=0,"",D175-SUMIFS(D:D,$B:$B,$B175,$A:$A,$K175)))</f>
        <v/>
      </c>
      <c r="M175" s="16">
        <f>IF(OR($K175="",E175=""),"",IF(COUNTIFS($B:$B,$B175,$A:$A,$K175,E:E,"&gt;=0")=0,"",E175-SUMIFS(E:E,$B:$B,$B175,$A:$A,$K175)))</f>
        <v/>
      </c>
      <c r="N175" s="16">
        <f>IF(OR($K175="",F175=""),"",IF(COUNTIFS($B:$B,$B175,$A:$A,$K175,F:F,"&gt;=0")=0,"",F175-SUMIFS(F:F,$B:$B,$B175,$A:$A,$K175)))</f>
        <v/>
      </c>
      <c r="O175" s="16">
        <f>IF(OR($K175="",G175=""),"",IF(COUNTIFS($B:$B,$B175,$A:$A,$K175,G:G,"&gt;=0")=0,"",G175-SUMIFS(G:G,$B:$B,$B175,$A:$A,$K175)))</f>
        <v/>
      </c>
    </row>
    <row r="176">
      <c r="A176" s="15" t="n">
        <v>46314</v>
      </c>
      <c r="B176" s="5" t="inlineStr">
        <is>
          <t>SSD NVMe 2TB</t>
        </is>
      </c>
      <c r="C176" s="5" t="inlineStr">
        <is>
          <t>SSD</t>
        </is>
      </c>
      <c r="D176" s="7" t="n">
        <v>209.99</v>
      </c>
      <c r="E176" s="7" t="n">
        <v>154.99</v>
      </c>
      <c r="F176" s="2" t="n"/>
      <c r="G176" s="2" t="n"/>
      <c r="H176" s="9">
        <f>IFERROR(IF(INDEX(Dólar!$B:$B,MATCH(A176,Dólar!$A:$A,0))="","",INDEX(Dólar!$B:$B,MATCH(A176,Dólar!$A:$A,0))),"")</f>
        <v/>
      </c>
      <c r="I176" s="10">
        <f>IFERROR(INDEX(Dólar!$E:$E,MATCH(A176,Dólar!$A:$A,0)),"")</f>
        <v/>
      </c>
      <c r="J176" s="6" t="inlineStr">
        <is>
          <t>ver anuncio</t>
        </is>
      </c>
      <c r="K176" s="15" t="n">
        <v>46313</v>
      </c>
      <c r="L176" s="16">
        <f>IF(OR($K176="",D176=""),"",IF(COUNTIFS($B:$B,$B176,$A:$A,$K176,D:D,"&gt;=0")=0,"",D176-SUMIFS(D:D,$B:$B,$B176,$A:$A,$K176)))</f>
        <v/>
      </c>
      <c r="M176" s="16">
        <f>IF(OR($K176="",E176=""),"",IF(COUNTIFS($B:$B,$B176,$A:$A,$K176,E:E,"&gt;=0")=0,"",E176-SUMIFS(E:E,$B:$B,$B176,$A:$A,$K176)))</f>
        <v/>
      </c>
      <c r="N176" s="16">
        <f>IF(OR($K176="",F176=""),"",IF(COUNTIFS($B:$B,$B176,$A:$A,$K176,F:F,"&gt;=0")=0,"",F176-SUMIFS(F:F,$B:$B,$B176,$A:$A,$K176)))</f>
        <v/>
      </c>
      <c r="O176" s="16">
        <f>IF(OR($K176="",G176=""),"",IF(COUNTIFS($B:$B,$B176,$A:$A,$K176,G:G,"&gt;=0")=0,"",G176-SUMIFS(G:G,$B:$B,$B176,$A:$A,$K176)))</f>
        <v/>
      </c>
    </row>
    <row r="177">
      <c r="A177" s="15" t="n">
        <v>46314</v>
      </c>
      <c r="B177" s="5" t="inlineStr">
        <is>
          <t>SSD NVMe 1TB</t>
        </is>
      </c>
      <c r="C177" s="5" t="inlineStr">
        <is>
          <t>SSD</t>
        </is>
      </c>
      <c r="D177" s="7" t="n">
        <v>117.94</v>
      </c>
      <c r="E177" s="7" t="n">
        <v>95</v>
      </c>
      <c r="F177" s="8" t="n">
        <v>2050</v>
      </c>
      <c r="G177" s="2" t="n"/>
      <c r="H177" s="9">
        <f>IFERROR(IF(INDEX(Dólar!$B:$B,MATCH(A177,Dólar!$A:$A,0))="","",INDEX(Dólar!$B:$B,MATCH(A177,Dólar!$A:$A,0))),"")</f>
        <v/>
      </c>
      <c r="I177" s="10">
        <f>IFERROR(INDEX(Dólar!$E:$E,MATCH(A177,Dólar!$A:$A,0)),"")</f>
        <v/>
      </c>
      <c r="J177" s="6" t="inlineStr">
        <is>
          <t>ver anuncio</t>
        </is>
      </c>
      <c r="K177" s="15" t="n">
        <v>46313</v>
      </c>
      <c r="L177" s="16">
        <f>IF(OR($K177="",D177=""),"",IF(COUNTIFS($B:$B,$B177,$A:$A,$K177,D:D,"&gt;=0")=0,"",D177-SUMIFS(D:D,$B:$B,$B177,$A:$A,$K177)))</f>
        <v/>
      </c>
      <c r="M177" s="16">
        <f>IF(OR($K177="",E177=""),"",IF(COUNTIFS($B:$B,$B177,$A:$A,$K177,E:E,"&gt;=0")=0,"",E177-SUMIFS(E:E,$B:$B,$B177,$A:$A,$K177)))</f>
        <v/>
      </c>
      <c r="N177" s="16">
        <f>IF(OR($K177="",F177=""),"",IF(COUNTIFS($B:$B,$B177,$A:$A,$K177,F:F,"&gt;=0")=0,"",F177-SUMIFS(F:F,$B:$B,$B177,$A:$A,$K177)))</f>
        <v/>
      </c>
      <c r="O177" s="16">
        <f>IF(OR($K177="",G177=""),"",IF(COUNTIFS($B:$B,$B177,$A:$A,$K177,G:G,"&gt;=0")=0,"",G177-SUMIFS(G:G,$B:$B,$B177,$A:$A,$K177)))</f>
        <v/>
      </c>
    </row>
    <row r="178">
      <c r="A178" s="15" t="n">
        <v>46314</v>
      </c>
      <c r="B178" s="5" t="inlineStr">
        <is>
          <t>Ryzen 9 9950X</t>
        </is>
      </c>
      <c r="C178" s="5" t="inlineStr">
        <is>
          <t>CPU</t>
        </is>
      </c>
      <c r="D178" s="7" t="n">
        <v>549.99</v>
      </c>
      <c r="E178" s="7" t="n">
        <v>454.99</v>
      </c>
      <c r="F178" s="2" t="n"/>
      <c r="G178" s="2" t="n"/>
      <c r="H178" s="9">
        <f>IFERROR(IF(INDEX(Dólar!$B:$B,MATCH(A178,Dólar!$A:$A,0))="","",INDEX(Dólar!$B:$B,MATCH(A178,Dólar!$A:$A,0))),"")</f>
        <v/>
      </c>
      <c r="I178" s="10">
        <f>IFERROR(INDEX(Dólar!$E:$E,MATCH(A178,Dólar!$A:$A,0)),"")</f>
        <v/>
      </c>
      <c r="J178" s="6" t="inlineStr">
        <is>
          <t>ver anuncio</t>
        </is>
      </c>
      <c r="K178" s="15" t="n">
        <v>46313</v>
      </c>
      <c r="L178" s="16">
        <f>IF(OR($K178="",D178=""),"",IF(COUNTIFS($B:$B,$B178,$A:$A,$K178,D:D,"&gt;=0")=0,"",D178-SUMIFS(D:D,$B:$B,$B178,$A:$A,$K178)))</f>
        <v/>
      </c>
      <c r="M178" s="16">
        <f>IF(OR($K178="",E178=""),"",IF(COUNTIFS($B:$B,$B178,$A:$A,$K178,E:E,"&gt;=0")=0,"",E178-SUMIFS(E:E,$B:$B,$B178,$A:$A,$K178)))</f>
        <v/>
      </c>
      <c r="N178" s="16">
        <f>IF(OR($K178="",F178=""),"",IF(COUNTIFS($B:$B,$B178,$A:$A,$K178,F:F,"&gt;=0")=0,"",F178-SUMIFS(F:F,$B:$B,$B178,$A:$A,$K178)))</f>
        <v/>
      </c>
      <c r="O178" s="16">
        <f>IF(OR($K178="",G178=""),"",IF(COUNTIFS($B:$B,$B178,$A:$A,$K178,G:G,"&gt;=0")=0,"",G178-SUMIFS(G:G,$B:$B,$B178,$A:$A,$K178)))</f>
        <v/>
      </c>
    </row>
    <row r="179">
      <c r="A179" s="15" t="n">
        <v>46314</v>
      </c>
      <c r="B179" s="5" t="inlineStr">
        <is>
          <t>Ryzen 7 7800X3D</t>
        </is>
      </c>
      <c r="C179" s="5" t="inlineStr">
        <is>
          <t>CPU</t>
        </is>
      </c>
      <c r="D179" s="7" t="n">
        <v>324.99</v>
      </c>
      <c r="E179" s="7" t="n">
        <v>285</v>
      </c>
      <c r="F179" s="2" t="n"/>
      <c r="G179" s="2" t="n"/>
      <c r="H179" s="9">
        <f>IFERROR(IF(INDEX(Dólar!$B:$B,MATCH(A179,Dólar!$A:$A,0))="","",INDEX(Dólar!$B:$B,MATCH(A179,Dólar!$A:$A,0))),"")</f>
        <v/>
      </c>
      <c r="I179" s="10">
        <f>IFERROR(INDEX(Dólar!$E:$E,MATCH(A179,Dólar!$A:$A,0)),"")</f>
        <v/>
      </c>
      <c r="J179" s="6" t="inlineStr">
        <is>
          <t>ver anuncio</t>
        </is>
      </c>
      <c r="K179" s="15" t="n">
        <v>46313</v>
      </c>
      <c r="L179" s="16">
        <f>IF(OR($K179="",D179=""),"",IF(COUNTIFS($B:$B,$B179,$A:$A,$K179,D:D,"&gt;=0")=0,"",D179-SUMIFS(D:D,$B:$B,$B179,$A:$A,$K179)))</f>
        <v/>
      </c>
      <c r="M179" s="16">
        <f>IF(OR($K179="",E179=""),"",IF(COUNTIFS($B:$B,$B179,$A:$A,$K179,E:E,"&gt;=0")=0,"",E179-SUMIFS(E:E,$B:$B,$B179,$A:$A,$K179)))</f>
        <v/>
      </c>
      <c r="N179" s="16">
        <f>IF(OR($K179="",F179=""),"",IF(COUNTIFS($B:$B,$B179,$A:$A,$K179,F:F,"&gt;=0")=0,"",F179-SUMIFS(F:F,$B:$B,$B179,$A:$A,$K179)))</f>
        <v/>
      </c>
      <c r="O179" s="16">
        <f>IF(OR($K179="",G179=""),"",IF(COUNTIFS($B:$B,$B179,$A:$A,$K179,G:G,"&gt;=0")=0,"",G179-SUMIFS(G:G,$B:$B,$B179,$A:$A,$K179)))</f>
        <v/>
      </c>
    </row>
    <row r="180">
      <c r="A180" s="15" t="n">
        <v>46314</v>
      </c>
      <c r="B180" s="5" t="inlineStr">
        <is>
          <t>Ryzen 7 5700X3D</t>
        </is>
      </c>
      <c r="C180" s="5" t="inlineStr">
        <is>
          <t>CPU</t>
        </is>
      </c>
      <c r="D180" s="2" t="n"/>
      <c r="E180" s="7" t="n">
        <v>336</v>
      </c>
      <c r="F180" s="2" t="n"/>
      <c r="G180" s="2" t="n"/>
      <c r="H180" s="9">
        <f>IFERROR(IF(INDEX(Dólar!$B:$B,MATCH(A180,Dólar!$A:$A,0))="","",INDEX(Dólar!$B:$B,MATCH(A180,Dólar!$A:$A,0))),"")</f>
        <v/>
      </c>
      <c r="I180" s="10">
        <f>IFERROR(INDEX(Dólar!$E:$E,MATCH(A180,Dólar!$A:$A,0)),"")</f>
        <v/>
      </c>
      <c r="J180" s="6" t="inlineStr">
        <is>
          <t>ver anuncio</t>
        </is>
      </c>
      <c r="K180" s="15" t="n">
        <v>46313</v>
      </c>
      <c r="L180" s="16">
        <f>IF(OR($K180="",D180=""),"",IF(COUNTIFS($B:$B,$B180,$A:$A,$K180,D:D,"&gt;=0")=0,"",D180-SUMIFS(D:D,$B:$B,$B180,$A:$A,$K180)))</f>
        <v/>
      </c>
      <c r="M180" s="16">
        <f>IF(OR($K180="",E180=""),"",IF(COUNTIFS($B:$B,$B180,$A:$A,$K180,E:E,"&gt;=0")=0,"",E180-SUMIFS(E:E,$B:$B,$B180,$A:$A,$K180)))</f>
        <v/>
      </c>
      <c r="N180" s="16">
        <f>IF(OR($K180="",F180=""),"",IF(COUNTIFS($B:$B,$B180,$A:$A,$K180,F:F,"&gt;=0")=0,"",F180-SUMIFS(F:F,$B:$B,$B180,$A:$A,$K180)))</f>
        <v/>
      </c>
      <c r="O180" s="16">
        <f>IF(OR($K180="",G180=""),"",IF(COUNTIFS($B:$B,$B180,$A:$A,$K180,G:G,"&gt;=0")=0,"",G180-SUMIFS(G:G,$B:$B,$B180,$A:$A,$K180)))</f>
        <v/>
      </c>
    </row>
    <row r="181">
      <c r="A181" s="15" t="n">
        <v>46314</v>
      </c>
      <c r="B181" s="5" t="inlineStr">
        <is>
          <t>Ryzen 5 7600</t>
        </is>
      </c>
      <c r="C181" s="5" t="inlineStr">
        <is>
          <t>CPU</t>
        </is>
      </c>
      <c r="D181" s="7" t="n">
        <v>140.26</v>
      </c>
      <c r="E181" s="7" t="n">
        <v>120</v>
      </c>
      <c r="F181" s="2" t="n"/>
      <c r="G181" s="8" t="n">
        <v>2800</v>
      </c>
      <c r="H181" s="9">
        <f>IFERROR(IF(INDEX(Dólar!$B:$B,MATCH(A181,Dólar!$A:$A,0))="","",INDEX(Dólar!$B:$B,MATCH(A181,Dólar!$A:$A,0))),"")</f>
        <v/>
      </c>
      <c r="I181" s="10">
        <f>IFERROR(INDEX(Dólar!$E:$E,MATCH(A181,Dólar!$A:$A,0)),"")</f>
        <v/>
      </c>
      <c r="J181" s="6" t="inlineStr">
        <is>
          <t>ver anuncio</t>
        </is>
      </c>
      <c r="K181" s="15" t="n">
        <v>46313</v>
      </c>
      <c r="L181" s="16">
        <f>IF(OR($K181="",D181=""),"",IF(COUNTIFS($B:$B,$B181,$A:$A,$K181,D:D,"&gt;=0")=0,"",D181-SUMIFS(D:D,$B:$B,$B181,$A:$A,$K181)))</f>
        <v/>
      </c>
      <c r="M181" s="16">
        <f>IF(OR($K181="",E181=""),"",IF(COUNTIFS($B:$B,$B181,$A:$A,$K181,E:E,"&gt;=0")=0,"",E181-SUMIFS(E:E,$B:$B,$B181,$A:$A,$K181)))</f>
        <v/>
      </c>
      <c r="N181" s="16">
        <f>IF(OR($K181="",F181=""),"",IF(COUNTIFS($B:$B,$B181,$A:$A,$K181,F:F,"&gt;=0")=0,"",F181-SUMIFS(F:F,$B:$B,$B181,$A:$A,$K181)))</f>
        <v/>
      </c>
      <c r="O181" s="16">
        <f>IF(OR($K181="",G181=""),"",IF(COUNTIFS($B:$B,$B181,$A:$A,$K181,G:G,"&gt;=0")=0,"",G181-SUMIFS(G:G,$B:$B,$B181,$A:$A,$K181)))</f>
        <v/>
      </c>
    </row>
    <row r="182">
      <c r="A182" s="15" t="n">
        <v>46314</v>
      </c>
      <c r="B182" s="5" t="inlineStr">
        <is>
          <t>Ryzen 5 5600</t>
        </is>
      </c>
      <c r="C182" s="5" t="inlineStr">
        <is>
          <t>CPU</t>
        </is>
      </c>
      <c r="D182" s="7" t="n">
        <v>138.9</v>
      </c>
      <c r="E182" s="7" t="n">
        <v>107.99</v>
      </c>
      <c r="F182" s="2" t="n"/>
      <c r="G182" s="2" t="n"/>
      <c r="H182" s="9">
        <f>IFERROR(IF(INDEX(Dólar!$B:$B,MATCH(A182,Dólar!$A:$A,0))="","",INDEX(Dólar!$B:$B,MATCH(A182,Dólar!$A:$A,0))),"")</f>
        <v/>
      </c>
      <c r="I182" s="10">
        <f>IFERROR(INDEX(Dólar!$E:$E,MATCH(A182,Dólar!$A:$A,0)),"")</f>
        <v/>
      </c>
      <c r="J182" s="6" t="inlineStr">
        <is>
          <t>ver anuncio</t>
        </is>
      </c>
      <c r="K182" s="15" t="n">
        <v>46313</v>
      </c>
      <c r="L182" s="16">
        <f>IF(OR($K182="",D182=""),"",IF(COUNTIFS($B:$B,$B182,$A:$A,$K182,D:D,"&gt;=0")=0,"",D182-SUMIFS(D:D,$B:$B,$B182,$A:$A,$K182)))</f>
        <v/>
      </c>
      <c r="M182" s="16">
        <f>IF(OR($K182="",E182=""),"",IF(COUNTIFS($B:$B,$B182,$A:$A,$K182,E:E,"&gt;=0")=0,"",E182-SUMIFS(E:E,$B:$B,$B182,$A:$A,$K182)))</f>
        <v/>
      </c>
      <c r="N182" s="16">
        <f>IF(OR($K182="",F182=""),"",IF(COUNTIFS($B:$B,$B182,$A:$A,$K182,F:F,"&gt;=0")=0,"",F182-SUMIFS(F:F,$B:$B,$B182,$A:$A,$K182)))</f>
        <v/>
      </c>
      <c r="O182" s="16">
        <f>IF(OR($K182="",G182=""),"",IF(COUNTIFS($B:$B,$B182,$A:$A,$K182,G:G,"&gt;=0")=0,"",G182-SUMIFS(G:G,$B:$B,$B182,$A:$A,$K182)))</f>
        <v/>
      </c>
    </row>
    <row r="183">
      <c r="A183" s="15" t="n">
        <v>46314</v>
      </c>
      <c r="B183" s="5" t="inlineStr">
        <is>
          <t>RAM DDR4 16GB (2x8) 3200</t>
        </is>
      </c>
      <c r="C183" s="5" t="inlineStr">
        <is>
          <t>RAM</t>
        </is>
      </c>
      <c r="D183" s="7" t="n">
        <v>118.96</v>
      </c>
      <c r="E183" s="7" t="n">
        <v>69.98999999999999</v>
      </c>
      <c r="F183" s="2" t="n"/>
      <c r="G183" s="2" t="n"/>
      <c r="H183" s="9">
        <f>IFERROR(IF(INDEX(Dólar!$B:$B,MATCH(A183,Dólar!$A:$A,0))="","",INDEX(Dólar!$B:$B,MATCH(A183,Dólar!$A:$A,0))),"")</f>
        <v/>
      </c>
      <c r="I183" s="10">
        <f>IFERROR(INDEX(Dólar!$E:$E,MATCH(A183,Dólar!$A:$A,0)),"")</f>
        <v/>
      </c>
      <c r="J183" s="6" t="inlineStr">
        <is>
          <t>ver anuncio</t>
        </is>
      </c>
      <c r="K183" s="15" t="n">
        <v>46313</v>
      </c>
      <c r="L183" s="16">
        <f>IF(OR($K183="",D183=""),"",IF(COUNTIFS($B:$B,$B183,$A:$A,$K183,D:D,"&gt;=0")=0,"",D183-SUMIFS(D:D,$B:$B,$B183,$A:$A,$K183)))</f>
        <v/>
      </c>
      <c r="M183" s="16">
        <f>IF(OR($K183="",E183=""),"",IF(COUNTIFS($B:$B,$B183,$A:$A,$K183,E:E,"&gt;=0")=0,"",E183-SUMIFS(E:E,$B:$B,$B183,$A:$A,$K183)))</f>
        <v/>
      </c>
      <c r="N183" s="16">
        <f>IF(OR($K183="",F183=""),"",IF(COUNTIFS($B:$B,$B183,$A:$A,$K183,F:F,"&gt;=0")=0,"",F183-SUMIFS(F:F,$B:$B,$B183,$A:$A,$K183)))</f>
        <v/>
      </c>
      <c r="O183" s="16">
        <f>IF(OR($K183="",G183=""),"",IF(COUNTIFS($B:$B,$B183,$A:$A,$K183,G:G,"&gt;=0")=0,"",G183-SUMIFS(G:G,$B:$B,$B183,$A:$A,$K183)))</f>
        <v/>
      </c>
    </row>
    <row r="184">
      <c r="A184" s="15" t="n">
        <v>46314</v>
      </c>
      <c r="B184" s="5" t="inlineStr">
        <is>
          <t>Intel Core i5-14400F</t>
        </is>
      </c>
      <c r="C184" s="5" t="inlineStr">
        <is>
          <t>CPU</t>
        </is>
      </c>
      <c r="D184" s="7" t="n">
        <v>164.49</v>
      </c>
      <c r="E184" s="7" t="n">
        <v>139.99</v>
      </c>
      <c r="F184" s="2" t="n"/>
      <c r="G184" s="2" t="n"/>
      <c r="H184" s="9">
        <f>IFERROR(IF(INDEX(Dólar!$B:$B,MATCH(A184,Dólar!$A:$A,0))="","",INDEX(Dólar!$B:$B,MATCH(A184,Dólar!$A:$A,0))),"")</f>
        <v/>
      </c>
      <c r="I184" s="10">
        <f>IFERROR(INDEX(Dólar!$E:$E,MATCH(A184,Dólar!$A:$A,0)),"")</f>
        <v/>
      </c>
      <c r="J184" s="6" t="inlineStr">
        <is>
          <t>ver anuncio</t>
        </is>
      </c>
      <c r="K184" s="15" t="n">
        <v>46313</v>
      </c>
      <c r="L184" s="16">
        <f>IF(OR($K184="",D184=""),"",IF(COUNTIFS($B:$B,$B184,$A:$A,$K184,D:D,"&gt;=0")=0,"",D184-SUMIFS(D:D,$B:$B,$B184,$A:$A,$K184)))</f>
        <v/>
      </c>
      <c r="M184" s="16">
        <f>IF(OR($K184="",E184=""),"",IF(COUNTIFS($B:$B,$B184,$A:$A,$K184,E:E,"&gt;=0")=0,"",E184-SUMIFS(E:E,$B:$B,$B184,$A:$A,$K184)))</f>
        <v/>
      </c>
      <c r="N184" s="16">
        <f>IF(OR($K184="",F184=""),"",IF(COUNTIFS($B:$B,$B184,$A:$A,$K184,F:F,"&gt;=0")=0,"",F184-SUMIFS(F:F,$B:$B,$B184,$A:$A,$K184)))</f>
        <v/>
      </c>
      <c r="O184" s="16">
        <f>IF(OR($K184="",G184=""),"",IF(COUNTIFS($B:$B,$B184,$A:$A,$K184,G:G,"&gt;=0")=0,"",G184-SUMIFS(G:G,$B:$B,$B184,$A:$A,$K184)))</f>
        <v/>
      </c>
    </row>
    <row r="185">
      <c r="A185" s="15" t="n">
        <v>46314</v>
      </c>
      <c r="B185" s="5" t="inlineStr">
        <is>
          <t>Intel Core i5-13400</t>
        </is>
      </c>
      <c r="C185" s="5" t="inlineStr">
        <is>
          <t>CPU</t>
        </is>
      </c>
      <c r="D185" s="2" t="n"/>
      <c r="E185" s="7" t="n">
        <v>149.99</v>
      </c>
      <c r="F185" s="2" t="n"/>
      <c r="G185" s="2" t="n"/>
      <c r="H185" s="9">
        <f>IFERROR(IF(INDEX(Dólar!$B:$B,MATCH(A185,Dólar!$A:$A,0))="","",INDEX(Dólar!$B:$B,MATCH(A185,Dólar!$A:$A,0))),"")</f>
        <v/>
      </c>
      <c r="I185" s="10">
        <f>IFERROR(INDEX(Dólar!$E:$E,MATCH(A185,Dólar!$A:$A,0)),"")</f>
        <v/>
      </c>
      <c r="J185" s="6" t="inlineStr">
        <is>
          <t>ver anuncio</t>
        </is>
      </c>
      <c r="K185" s="15" t="n">
        <v>46313</v>
      </c>
      <c r="L185" s="16">
        <f>IF(OR($K185="",D185=""),"",IF(COUNTIFS($B:$B,$B185,$A:$A,$K185,D:D,"&gt;=0")=0,"",D185-SUMIFS(D:D,$B:$B,$B185,$A:$A,$K185)))</f>
        <v/>
      </c>
      <c r="M185" s="16">
        <f>IF(OR($K185="",E185=""),"",IF(COUNTIFS($B:$B,$B185,$A:$A,$K185,E:E,"&gt;=0")=0,"",E185-SUMIFS(E:E,$B:$B,$B185,$A:$A,$K185)))</f>
        <v/>
      </c>
      <c r="N185" s="16">
        <f>IF(OR($K185="",F185=""),"",IF(COUNTIFS($B:$B,$B185,$A:$A,$K185,F:F,"&gt;=0")=0,"",F185-SUMIFS(F:F,$B:$B,$B185,$A:$A,$K185)))</f>
        <v/>
      </c>
      <c r="O185" s="16">
        <f>IF(OR($K185="",G185=""),"",IF(COUNTIFS($B:$B,$B185,$A:$A,$K185,G:G,"&gt;=0")=0,"",G185-SUMIFS(G:G,$B:$B,$B185,$A:$A,$K185)))</f>
        <v/>
      </c>
    </row>
    <row r="186">
      <c r="A186" s="15" t="n">
        <v>46314</v>
      </c>
      <c r="B186" s="5" t="inlineStr">
        <is>
          <t>Intel Core i5-12400F</t>
        </is>
      </c>
      <c r="C186" s="5" t="inlineStr">
        <is>
          <t>CPU</t>
        </is>
      </c>
      <c r="D186" s="7" t="n">
        <v>150</v>
      </c>
      <c r="E186" s="7" t="n">
        <v>124.99</v>
      </c>
      <c r="F186" s="2" t="n"/>
      <c r="G186" s="2" t="n"/>
      <c r="H186" s="9">
        <f>IFERROR(IF(INDEX(Dólar!$B:$B,MATCH(A186,Dólar!$A:$A,0))="","",INDEX(Dólar!$B:$B,MATCH(A186,Dólar!$A:$A,0))),"")</f>
        <v/>
      </c>
      <c r="I186" s="10">
        <f>IFERROR(INDEX(Dólar!$E:$E,MATCH(A186,Dólar!$A:$A,0)),"")</f>
        <v/>
      </c>
      <c r="J186" s="6" t="inlineStr">
        <is>
          <t>ver anuncio</t>
        </is>
      </c>
      <c r="K186" s="15" t="n">
        <v>46313</v>
      </c>
      <c r="L186" s="16">
        <f>IF(OR($K186="",D186=""),"",IF(COUNTIFS($B:$B,$B186,$A:$A,$K186,D:D,"&gt;=0")=0,"",D186-SUMIFS(D:D,$B:$B,$B186,$A:$A,$K186)))</f>
        <v/>
      </c>
      <c r="M186" s="16">
        <f>IF(OR($K186="",E186=""),"",IF(COUNTIFS($B:$B,$B186,$A:$A,$K186,E:E,"&gt;=0")=0,"",E186-SUMIFS(E:E,$B:$B,$B186,$A:$A,$K186)))</f>
        <v/>
      </c>
      <c r="N186" s="16">
        <f>IF(OR($K186="",F186=""),"",IF(COUNTIFS($B:$B,$B186,$A:$A,$K186,F:F,"&gt;=0")=0,"",F186-SUMIFS(F:F,$B:$B,$B186,$A:$A,$K186)))</f>
        <v/>
      </c>
      <c r="O186" s="16">
        <f>IF(OR($K186="",G186=""),"",IF(COUNTIFS($B:$B,$B186,$A:$A,$K186,G:G,"&gt;=0")=0,"",G186-SUMIFS(G:G,$B:$B,$B186,$A:$A,$K186)))</f>
        <v/>
      </c>
    </row>
    <row r="187">
      <c r="A187" s="15" t="n">
        <v>46314</v>
      </c>
      <c r="B187" s="5" t="inlineStr">
        <is>
          <t>Intel Core Ultra 7 265K</t>
        </is>
      </c>
      <c r="C187" s="5" t="inlineStr">
        <is>
          <t>CPU</t>
        </is>
      </c>
      <c r="D187" s="7" t="n">
        <v>235.27</v>
      </c>
      <c r="E187" s="7" t="n">
        <v>239.99</v>
      </c>
      <c r="F187" s="2" t="n"/>
      <c r="G187" s="8" t="n">
        <v>4100</v>
      </c>
      <c r="H187" s="9">
        <f>IFERROR(IF(INDEX(Dólar!$B:$B,MATCH(A187,Dólar!$A:$A,0))="","",INDEX(Dólar!$B:$B,MATCH(A187,Dólar!$A:$A,0))),"")</f>
        <v/>
      </c>
      <c r="I187" s="10">
        <f>IFERROR(INDEX(Dólar!$E:$E,MATCH(A187,Dólar!$A:$A,0)),"")</f>
        <v/>
      </c>
      <c r="J187" s="6" t="inlineStr">
        <is>
          <t>ver anuncio</t>
        </is>
      </c>
      <c r="K187" s="15" t="n">
        <v>46313</v>
      </c>
      <c r="L187" s="16">
        <f>IF(OR($K187="",D187=""),"",IF(COUNTIFS($B:$B,$B187,$A:$A,$K187,D:D,"&gt;=0")=0,"",D187-SUMIFS(D:D,$B:$B,$B187,$A:$A,$K187)))</f>
        <v/>
      </c>
      <c r="M187" s="16">
        <f>IF(OR($K187="",E187=""),"",IF(COUNTIFS($B:$B,$B187,$A:$A,$K187,E:E,"&gt;=0")=0,"",E187-SUMIFS(E:E,$B:$B,$B187,$A:$A,$K187)))</f>
        <v/>
      </c>
      <c r="N187" s="16">
        <f>IF(OR($K187="",F187=""),"",IF(COUNTIFS($B:$B,$B187,$A:$A,$K187,F:F,"&gt;=0")=0,"",F187-SUMIFS(F:F,$B:$B,$B187,$A:$A,$K187)))</f>
        <v/>
      </c>
      <c r="O187" s="16">
        <f>IF(OR($K187="",G187=""),"",IF(COUNTIFS($B:$B,$B187,$A:$A,$K187,G:G,"&gt;=0")=0,"",G187-SUMIFS(G:G,$B:$B,$B187,$A:$A,$K187)))</f>
        <v/>
      </c>
    </row>
    <row r="188">
      <c r="A188" s="15" t="n">
        <v>46314</v>
      </c>
      <c r="B188" s="5" t="inlineStr">
        <is>
          <t>Corsair Vengeance RGB DDR5 32GB (2x16) 6000</t>
        </is>
      </c>
      <c r="C188" s="5" t="inlineStr">
        <is>
          <t>RAM</t>
        </is>
      </c>
      <c r="D188" s="7" t="n">
        <v>450</v>
      </c>
      <c r="E188" s="7" t="n">
        <v>419.99</v>
      </c>
      <c r="F188" s="8" t="n">
        <v>5800</v>
      </c>
      <c r="G188" s="2" t="n"/>
      <c r="H188" s="9">
        <f>IFERROR(IF(INDEX(Dólar!$B:$B,MATCH(A188,Dólar!$A:$A,0))="","",INDEX(Dólar!$B:$B,MATCH(A188,Dólar!$A:$A,0))),"")</f>
        <v/>
      </c>
      <c r="I188" s="10">
        <f>IFERROR(INDEX(Dólar!$E:$E,MATCH(A188,Dólar!$A:$A,0)),"")</f>
        <v/>
      </c>
      <c r="J188" s="6" t="inlineStr">
        <is>
          <t>ver anuncio</t>
        </is>
      </c>
      <c r="K188" s="15" t="n">
        <v>46313</v>
      </c>
      <c r="L188" s="16">
        <f>IF(OR($K188="",D188=""),"",IF(COUNTIFS($B:$B,$B188,$A:$A,$K188,D:D,"&gt;=0")=0,"",D188-SUMIFS(D:D,$B:$B,$B188,$A:$A,$K188)))</f>
        <v/>
      </c>
      <c r="M188" s="16">
        <f>IF(OR($K188="",E188=""),"",IF(COUNTIFS($B:$B,$B188,$A:$A,$K188,E:E,"&gt;=0")=0,"",E188-SUMIFS(E:E,$B:$B,$B188,$A:$A,$K188)))</f>
        <v/>
      </c>
      <c r="N188" s="16">
        <f>IF(OR($K188="",F188=""),"",IF(COUNTIFS($B:$B,$B188,$A:$A,$K188,F:F,"&gt;=0")=0,"",F188-SUMIFS(F:F,$B:$B,$B188,$A:$A,$K188)))</f>
        <v/>
      </c>
      <c r="O188" s="16">
        <f>IF(OR($K188="",G188=""),"",IF(COUNTIFS($B:$B,$B188,$A:$A,$K188,G:G,"&gt;=0")=0,"",G188-SUMIFS(G:G,$B:$B,$B188,$A:$A,$K188)))</f>
        <v/>
      </c>
    </row>
    <row r="189">
      <c r="A189" s="15" t="n">
        <v>46314</v>
      </c>
      <c r="B189" s="5" t="inlineStr">
        <is>
          <t>Corsair Vengeance RGB DDR5 32GB (2x16) 5600</t>
        </is>
      </c>
      <c r="C189" s="5" t="inlineStr">
        <is>
          <t>RAM</t>
        </is>
      </c>
      <c r="D189" s="7" t="n">
        <v>429.97</v>
      </c>
      <c r="E189" s="7" t="n">
        <v>379.99</v>
      </c>
      <c r="F189" s="2" t="n"/>
      <c r="G189" s="2" t="n"/>
      <c r="H189" s="9">
        <f>IFERROR(IF(INDEX(Dólar!$B:$B,MATCH(A189,Dólar!$A:$A,0))="","",INDEX(Dólar!$B:$B,MATCH(A189,Dólar!$A:$A,0))),"")</f>
        <v/>
      </c>
      <c r="I189" s="10">
        <f>IFERROR(INDEX(Dólar!$E:$E,MATCH(A189,Dólar!$A:$A,0)),"")</f>
        <v/>
      </c>
      <c r="J189" s="6" t="inlineStr">
        <is>
          <t>ver anuncio</t>
        </is>
      </c>
      <c r="K189" s="15" t="n">
        <v>46313</v>
      </c>
      <c r="L189" s="16">
        <f>IF(OR($K189="",D189=""),"",IF(COUNTIFS($B:$B,$B189,$A:$A,$K189,D:D,"&gt;=0")=0,"",D189-SUMIFS(D:D,$B:$B,$B189,$A:$A,$K189)))</f>
        <v/>
      </c>
      <c r="M189" s="16">
        <f>IF(OR($K189="",E189=""),"",IF(COUNTIFS($B:$B,$B189,$A:$A,$K189,E:E,"&gt;=0")=0,"",E189-SUMIFS(E:E,$B:$B,$B189,$A:$A,$K189)))</f>
        <v/>
      </c>
      <c r="N189" s="16">
        <f>IF(OR($K189="",F189=""),"",IF(COUNTIFS($B:$B,$B189,$A:$A,$K189,F:F,"&gt;=0")=0,"",F189-SUMIFS(F:F,$B:$B,$B189,$A:$A,$K189)))</f>
        <v/>
      </c>
      <c r="O189" s="16">
        <f>IF(OR($K189="",G189=""),"",IF(COUNTIFS($B:$B,$B189,$A:$A,$K189,G:G,"&gt;=0")=0,"",G189-SUMIFS(G:G,$B:$B,$B189,$A:$A,$K189)))</f>
        <v/>
      </c>
    </row>
    <row r="190">
      <c r="A190" s="15" t="n">
        <v>46313</v>
      </c>
      <c r="B190" s="5" t="inlineStr">
        <is>
          <t>SSD NVMe 2TB</t>
        </is>
      </c>
      <c r="C190" s="5" t="inlineStr">
        <is>
          <t>SSD</t>
        </is>
      </c>
      <c r="D190" s="7" t="n">
        <v>209.99</v>
      </c>
      <c r="E190" s="7" t="n">
        <v>160</v>
      </c>
      <c r="F190" s="2" t="n"/>
      <c r="G190" s="2" t="n"/>
      <c r="H190" s="9">
        <f>IFERROR(IF(INDEX(Dólar!$B:$B,MATCH(A190,Dólar!$A:$A,0))="","",INDEX(Dólar!$B:$B,MATCH(A190,Dólar!$A:$A,0))),"")</f>
        <v/>
      </c>
      <c r="I190" s="10">
        <f>IFERROR(INDEX(Dólar!$E:$E,MATCH(A190,Dólar!$A:$A,0)),"")</f>
        <v/>
      </c>
      <c r="J190" s="6" t="inlineStr">
        <is>
          <t>ver anuncio</t>
        </is>
      </c>
      <c r="K190" s="15" t="n">
        <v>46312</v>
      </c>
      <c r="L190" s="16">
        <f>IF(OR($K190="",D190=""),"",IF(COUNTIFS($B:$B,$B190,$A:$A,$K190,D:D,"&gt;=0")=0,"",D190-SUMIFS(D:D,$B:$B,$B190,$A:$A,$K190)))</f>
        <v/>
      </c>
      <c r="M190" s="16">
        <f>IF(OR($K190="",E190=""),"",IF(COUNTIFS($B:$B,$B190,$A:$A,$K190,E:E,"&gt;=0")=0,"",E190-SUMIFS(E:E,$B:$B,$B190,$A:$A,$K190)))</f>
        <v/>
      </c>
      <c r="N190" s="16">
        <f>IF(OR($K190="",F190=""),"",IF(COUNTIFS($B:$B,$B190,$A:$A,$K190,F:F,"&gt;=0")=0,"",F190-SUMIFS(F:F,$B:$B,$B190,$A:$A,$K190)))</f>
        <v/>
      </c>
      <c r="O190" s="16">
        <f>IF(OR($K190="",G190=""),"",IF(COUNTIFS($B:$B,$B190,$A:$A,$K190,G:G,"&gt;=0")=0,"",G190-SUMIFS(G:G,$B:$B,$B190,$A:$A,$K190)))</f>
        <v/>
      </c>
    </row>
    <row r="191">
      <c r="A191" s="15" t="n">
        <v>46313</v>
      </c>
      <c r="B191" s="5" t="inlineStr">
        <is>
          <t>SSD NVMe 1TB</t>
        </is>
      </c>
      <c r="C191" s="5" t="inlineStr">
        <is>
          <t>SSD</t>
        </is>
      </c>
      <c r="D191" s="7" t="n">
        <v>93.5</v>
      </c>
      <c r="E191" s="7" t="n">
        <v>96.94</v>
      </c>
      <c r="F191" s="2" t="n"/>
      <c r="G191" s="2" t="n"/>
      <c r="H191" s="9">
        <f>IFERROR(IF(INDEX(Dólar!$B:$B,MATCH(A191,Dólar!$A:$A,0))="","",INDEX(Dólar!$B:$B,MATCH(A191,Dólar!$A:$A,0))),"")</f>
        <v/>
      </c>
      <c r="I191" s="10">
        <f>IFERROR(INDEX(Dólar!$E:$E,MATCH(A191,Dólar!$A:$A,0)),"")</f>
        <v/>
      </c>
      <c r="J191" s="6" t="inlineStr">
        <is>
          <t>ver anuncio</t>
        </is>
      </c>
      <c r="K191" s="15" t="n">
        <v>46312</v>
      </c>
      <c r="L191" s="16">
        <f>IF(OR($K191="",D191=""),"",IF(COUNTIFS($B:$B,$B191,$A:$A,$K191,D:D,"&gt;=0")=0,"",D191-SUMIFS(D:D,$B:$B,$B191,$A:$A,$K191)))</f>
        <v/>
      </c>
      <c r="M191" s="16">
        <f>IF(OR($K191="",E191=""),"",IF(COUNTIFS($B:$B,$B191,$A:$A,$K191,E:E,"&gt;=0")=0,"",E191-SUMIFS(E:E,$B:$B,$B191,$A:$A,$K191)))</f>
        <v/>
      </c>
      <c r="N191" s="16">
        <f>IF(OR($K191="",F191=""),"",IF(COUNTIFS($B:$B,$B191,$A:$A,$K191,F:F,"&gt;=0")=0,"",F191-SUMIFS(F:F,$B:$B,$B191,$A:$A,$K191)))</f>
        <v/>
      </c>
      <c r="O191" s="16">
        <f>IF(OR($K191="",G191=""),"",IF(COUNTIFS($B:$B,$B191,$A:$A,$K191,G:G,"&gt;=0")=0,"",G191-SUMIFS(G:G,$B:$B,$B191,$A:$A,$K191)))</f>
        <v/>
      </c>
    </row>
    <row r="192">
      <c r="A192" s="15" t="n">
        <v>46313</v>
      </c>
      <c r="B192" s="5" t="inlineStr">
        <is>
          <t>Ryzen 9 9950X</t>
        </is>
      </c>
      <c r="C192" s="5" t="inlineStr">
        <is>
          <t>CPU</t>
        </is>
      </c>
      <c r="D192" s="7" t="n">
        <v>549.99</v>
      </c>
      <c r="E192" s="7" t="n">
        <v>454.99</v>
      </c>
      <c r="F192" s="2" t="n"/>
      <c r="G192" s="2" t="n"/>
      <c r="H192" s="9">
        <f>IFERROR(IF(INDEX(Dólar!$B:$B,MATCH(A192,Dólar!$A:$A,0))="","",INDEX(Dólar!$B:$B,MATCH(A192,Dólar!$A:$A,0))),"")</f>
        <v/>
      </c>
      <c r="I192" s="10">
        <f>IFERROR(INDEX(Dólar!$E:$E,MATCH(A192,Dólar!$A:$A,0)),"")</f>
        <v/>
      </c>
      <c r="J192" s="6" t="inlineStr">
        <is>
          <t>ver anuncio</t>
        </is>
      </c>
      <c r="K192" s="15" t="n">
        <v>46312</v>
      </c>
      <c r="L192" s="16">
        <f>IF(OR($K192="",D192=""),"",IF(COUNTIFS($B:$B,$B192,$A:$A,$K192,D:D,"&gt;=0")=0,"",D192-SUMIFS(D:D,$B:$B,$B192,$A:$A,$K192)))</f>
        <v/>
      </c>
      <c r="M192" s="16">
        <f>IF(OR($K192="",E192=""),"",IF(COUNTIFS($B:$B,$B192,$A:$A,$K192,E:E,"&gt;=0")=0,"",E192-SUMIFS(E:E,$B:$B,$B192,$A:$A,$K192)))</f>
        <v/>
      </c>
      <c r="N192" s="16">
        <f>IF(OR($K192="",F192=""),"",IF(COUNTIFS($B:$B,$B192,$A:$A,$K192,F:F,"&gt;=0")=0,"",F192-SUMIFS(F:F,$B:$B,$B192,$A:$A,$K192)))</f>
        <v/>
      </c>
      <c r="O192" s="16">
        <f>IF(OR($K192="",G192=""),"",IF(COUNTIFS($B:$B,$B192,$A:$A,$K192,G:G,"&gt;=0")=0,"",G192-SUMIFS(G:G,$B:$B,$B192,$A:$A,$K192)))</f>
        <v/>
      </c>
    </row>
    <row r="193">
      <c r="A193" s="15" t="n">
        <v>46313</v>
      </c>
      <c r="B193" s="5" t="inlineStr">
        <is>
          <t>Ryzen 7 7800X3D</t>
        </is>
      </c>
      <c r="C193" s="5" t="inlineStr">
        <is>
          <t>CPU</t>
        </is>
      </c>
      <c r="D193" s="7" t="n">
        <v>324.99</v>
      </c>
      <c r="E193" s="7" t="n">
        <v>289.99</v>
      </c>
      <c r="F193" s="2" t="n"/>
      <c r="G193" s="2" t="n"/>
      <c r="H193" s="9">
        <f>IFERROR(IF(INDEX(Dólar!$B:$B,MATCH(A193,Dólar!$A:$A,0))="","",INDEX(Dólar!$B:$B,MATCH(A193,Dólar!$A:$A,0))),"")</f>
        <v/>
      </c>
      <c r="I193" s="10">
        <f>IFERROR(INDEX(Dólar!$E:$E,MATCH(A193,Dólar!$A:$A,0)),"")</f>
        <v/>
      </c>
      <c r="J193" s="6" t="inlineStr">
        <is>
          <t>ver anuncio</t>
        </is>
      </c>
      <c r="K193" s="15" t="n">
        <v>46312</v>
      </c>
      <c r="L193" s="16">
        <f>IF(OR($K193="",D193=""),"",IF(COUNTIFS($B:$B,$B193,$A:$A,$K193,D:D,"&gt;=0")=0,"",D193-SUMIFS(D:D,$B:$B,$B193,$A:$A,$K193)))</f>
        <v/>
      </c>
      <c r="M193" s="16">
        <f>IF(OR($K193="",E193=""),"",IF(COUNTIFS($B:$B,$B193,$A:$A,$K193,E:E,"&gt;=0")=0,"",E193-SUMIFS(E:E,$B:$B,$B193,$A:$A,$K193)))</f>
        <v/>
      </c>
      <c r="N193" s="16">
        <f>IF(OR($K193="",F193=""),"",IF(COUNTIFS($B:$B,$B193,$A:$A,$K193,F:F,"&gt;=0")=0,"",F193-SUMIFS(F:F,$B:$B,$B193,$A:$A,$K193)))</f>
        <v/>
      </c>
      <c r="O193" s="16">
        <f>IF(OR($K193="",G193=""),"",IF(COUNTIFS($B:$B,$B193,$A:$A,$K193,G:G,"&gt;=0")=0,"",G193-SUMIFS(G:G,$B:$B,$B193,$A:$A,$K193)))</f>
        <v/>
      </c>
    </row>
    <row r="194">
      <c r="A194" s="15" t="n">
        <v>46313</v>
      </c>
      <c r="B194" s="5" t="inlineStr">
        <is>
          <t>Ryzen 7 5700X3D</t>
        </is>
      </c>
      <c r="C194" s="5" t="inlineStr">
        <is>
          <t>CPU</t>
        </is>
      </c>
      <c r="D194" s="2" t="n"/>
      <c r="E194" s="7" t="n">
        <v>315</v>
      </c>
      <c r="F194" s="2" t="n"/>
      <c r="G194" s="2" t="n"/>
      <c r="H194" s="9">
        <f>IFERROR(IF(INDEX(Dólar!$B:$B,MATCH(A194,Dólar!$A:$A,0))="","",INDEX(Dólar!$B:$B,MATCH(A194,Dólar!$A:$A,0))),"")</f>
        <v/>
      </c>
      <c r="I194" s="10">
        <f>IFERROR(INDEX(Dólar!$E:$E,MATCH(A194,Dólar!$A:$A,0)),"")</f>
        <v/>
      </c>
      <c r="J194" s="6" t="inlineStr">
        <is>
          <t>ver anuncio</t>
        </is>
      </c>
      <c r="K194" s="15" t="n">
        <v>46312</v>
      </c>
      <c r="L194" s="16">
        <f>IF(OR($K194="",D194=""),"",IF(COUNTIFS($B:$B,$B194,$A:$A,$K194,D:D,"&gt;=0")=0,"",D194-SUMIFS(D:D,$B:$B,$B194,$A:$A,$K194)))</f>
        <v/>
      </c>
      <c r="M194" s="16">
        <f>IF(OR($K194="",E194=""),"",IF(COUNTIFS($B:$B,$B194,$A:$A,$K194,E:E,"&gt;=0")=0,"",E194-SUMIFS(E:E,$B:$B,$B194,$A:$A,$K194)))</f>
        <v/>
      </c>
      <c r="N194" s="16">
        <f>IF(OR($K194="",F194=""),"",IF(COUNTIFS($B:$B,$B194,$A:$A,$K194,F:F,"&gt;=0")=0,"",F194-SUMIFS(F:F,$B:$B,$B194,$A:$A,$K194)))</f>
        <v/>
      </c>
      <c r="O194" s="16">
        <f>IF(OR($K194="",G194=""),"",IF(COUNTIFS($B:$B,$B194,$A:$A,$K194,G:G,"&gt;=0")=0,"",G194-SUMIFS(G:G,$B:$B,$B194,$A:$A,$K194)))</f>
        <v/>
      </c>
    </row>
    <row r="195">
      <c r="A195" s="15" t="n">
        <v>46313</v>
      </c>
      <c r="B195" s="5" t="inlineStr">
        <is>
          <t>Ryzen 5 7600</t>
        </is>
      </c>
      <c r="C195" s="5" t="inlineStr">
        <is>
          <t>CPU</t>
        </is>
      </c>
      <c r="D195" s="7" t="n">
        <v>213.95</v>
      </c>
      <c r="E195" s="7" t="n">
        <v>120</v>
      </c>
      <c r="F195" s="2" t="n"/>
      <c r="G195" s="2" t="n"/>
      <c r="H195" s="9">
        <f>IFERROR(IF(INDEX(Dólar!$B:$B,MATCH(A195,Dólar!$A:$A,0))="","",INDEX(Dólar!$B:$B,MATCH(A195,Dólar!$A:$A,0))),"")</f>
        <v/>
      </c>
      <c r="I195" s="10">
        <f>IFERROR(INDEX(Dólar!$E:$E,MATCH(A195,Dólar!$A:$A,0)),"")</f>
        <v/>
      </c>
      <c r="J195" s="6" t="inlineStr">
        <is>
          <t>ver anuncio</t>
        </is>
      </c>
      <c r="K195" s="15" t="n">
        <v>46312</v>
      </c>
      <c r="L195" s="16">
        <f>IF(OR($K195="",D195=""),"",IF(COUNTIFS($B:$B,$B195,$A:$A,$K195,D:D,"&gt;=0")=0,"",D195-SUMIFS(D:D,$B:$B,$B195,$A:$A,$K195)))</f>
        <v/>
      </c>
      <c r="M195" s="16">
        <f>IF(OR($K195="",E195=""),"",IF(COUNTIFS($B:$B,$B195,$A:$A,$K195,E:E,"&gt;=0")=0,"",E195-SUMIFS(E:E,$B:$B,$B195,$A:$A,$K195)))</f>
        <v/>
      </c>
      <c r="N195" s="16">
        <f>IF(OR($K195="",F195=""),"",IF(COUNTIFS($B:$B,$B195,$A:$A,$K195,F:F,"&gt;=0")=0,"",F195-SUMIFS(F:F,$B:$B,$B195,$A:$A,$K195)))</f>
        <v/>
      </c>
      <c r="O195" s="16">
        <f>IF(OR($K195="",G195=""),"",IF(COUNTIFS($B:$B,$B195,$A:$A,$K195,G:G,"&gt;=0")=0,"",G195-SUMIFS(G:G,$B:$B,$B195,$A:$A,$K195)))</f>
        <v/>
      </c>
    </row>
    <row r="196">
      <c r="A196" s="15" t="n">
        <v>46313</v>
      </c>
      <c r="B196" s="5" t="inlineStr">
        <is>
          <t>Ryzen 5 5600</t>
        </is>
      </c>
      <c r="C196" s="5" t="inlineStr">
        <is>
          <t>CPU</t>
        </is>
      </c>
      <c r="D196" s="7" t="n">
        <v>138.9</v>
      </c>
      <c r="E196" s="7" t="n">
        <v>129.99</v>
      </c>
      <c r="F196" s="2" t="n"/>
      <c r="G196" s="2" t="n"/>
      <c r="H196" s="9">
        <f>IFERROR(IF(INDEX(Dólar!$B:$B,MATCH(A196,Dólar!$A:$A,0))="","",INDEX(Dólar!$B:$B,MATCH(A196,Dólar!$A:$A,0))),"")</f>
        <v/>
      </c>
      <c r="I196" s="10">
        <f>IFERROR(INDEX(Dólar!$E:$E,MATCH(A196,Dólar!$A:$A,0)),"")</f>
        <v/>
      </c>
      <c r="J196" s="6" t="inlineStr">
        <is>
          <t>ver anuncio</t>
        </is>
      </c>
      <c r="K196" s="15" t="n">
        <v>46312</v>
      </c>
      <c r="L196" s="16">
        <f>IF(OR($K196="",D196=""),"",IF(COUNTIFS($B:$B,$B196,$A:$A,$K196,D:D,"&gt;=0")=0,"",D196-SUMIFS(D:D,$B:$B,$B196,$A:$A,$K196)))</f>
        <v/>
      </c>
      <c r="M196" s="16">
        <f>IF(OR($K196="",E196=""),"",IF(COUNTIFS($B:$B,$B196,$A:$A,$K196,E:E,"&gt;=0")=0,"",E196-SUMIFS(E:E,$B:$B,$B196,$A:$A,$K196)))</f>
        <v/>
      </c>
      <c r="N196" s="16">
        <f>IF(OR($K196="",F196=""),"",IF(COUNTIFS($B:$B,$B196,$A:$A,$K196,F:F,"&gt;=0")=0,"",F196-SUMIFS(F:F,$B:$B,$B196,$A:$A,$K196)))</f>
        <v/>
      </c>
      <c r="O196" s="16">
        <f>IF(OR($K196="",G196=""),"",IF(COUNTIFS($B:$B,$B196,$A:$A,$K196,G:G,"&gt;=0")=0,"",G196-SUMIFS(G:G,$B:$B,$B196,$A:$A,$K196)))</f>
        <v/>
      </c>
    </row>
    <row r="197">
      <c r="A197" s="15" t="n">
        <v>46313</v>
      </c>
      <c r="B197" s="5" t="inlineStr">
        <is>
          <t>RAM DDR4 16GB (2x8) 3200</t>
        </is>
      </c>
      <c r="C197" s="5" t="inlineStr">
        <is>
          <t>RAM</t>
        </is>
      </c>
      <c r="D197" s="7" t="n">
        <v>118.96</v>
      </c>
      <c r="E197" s="7" t="n">
        <v>72.95</v>
      </c>
      <c r="F197" s="2" t="n"/>
      <c r="G197" s="2" t="n"/>
      <c r="H197" s="9">
        <f>IFERROR(IF(INDEX(Dólar!$B:$B,MATCH(A197,Dólar!$A:$A,0))="","",INDEX(Dólar!$B:$B,MATCH(A197,Dólar!$A:$A,0))),"")</f>
        <v/>
      </c>
      <c r="I197" s="10">
        <f>IFERROR(INDEX(Dólar!$E:$E,MATCH(A197,Dólar!$A:$A,0)),"")</f>
        <v/>
      </c>
      <c r="J197" s="6" t="inlineStr">
        <is>
          <t>ver anuncio</t>
        </is>
      </c>
      <c r="K197" s="15" t="n">
        <v>46312</v>
      </c>
      <c r="L197" s="16">
        <f>IF(OR($K197="",D197=""),"",IF(COUNTIFS($B:$B,$B197,$A:$A,$K197,D:D,"&gt;=0")=0,"",D197-SUMIFS(D:D,$B:$B,$B197,$A:$A,$K197)))</f>
        <v/>
      </c>
      <c r="M197" s="16">
        <f>IF(OR($K197="",E197=""),"",IF(COUNTIFS($B:$B,$B197,$A:$A,$K197,E:E,"&gt;=0")=0,"",E197-SUMIFS(E:E,$B:$B,$B197,$A:$A,$K197)))</f>
        <v/>
      </c>
      <c r="N197" s="16">
        <f>IF(OR($K197="",F197=""),"",IF(COUNTIFS($B:$B,$B197,$A:$A,$K197,F:F,"&gt;=0")=0,"",F197-SUMIFS(F:F,$B:$B,$B197,$A:$A,$K197)))</f>
        <v/>
      </c>
      <c r="O197" s="16">
        <f>IF(OR($K197="",G197=""),"",IF(COUNTIFS($B:$B,$B197,$A:$A,$K197,G:G,"&gt;=0")=0,"",G197-SUMIFS(G:G,$B:$B,$B197,$A:$A,$K197)))</f>
        <v/>
      </c>
    </row>
    <row r="198">
      <c r="A198" s="15" t="n">
        <v>46313</v>
      </c>
      <c r="B198" s="5" t="inlineStr">
        <is>
          <t>Intel Core i5-14400F</t>
        </is>
      </c>
      <c r="C198" s="5" t="inlineStr">
        <is>
          <t>CPU</t>
        </is>
      </c>
      <c r="D198" s="7" t="n">
        <v>164.49</v>
      </c>
      <c r="E198" s="7" t="n">
        <v>139.99</v>
      </c>
      <c r="F198" s="2" t="n"/>
      <c r="G198" s="2" t="n"/>
      <c r="H198" s="9">
        <f>IFERROR(IF(INDEX(Dólar!$B:$B,MATCH(A198,Dólar!$A:$A,0))="","",INDEX(Dólar!$B:$B,MATCH(A198,Dólar!$A:$A,0))),"")</f>
        <v/>
      </c>
      <c r="I198" s="10">
        <f>IFERROR(INDEX(Dólar!$E:$E,MATCH(A198,Dólar!$A:$A,0)),"")</f>
        <v/>
      </c>
      <c r="J198" s="6" t="inlineStr">
        <is>
          <t>ver anuncio</t>
        </is>
      </c>
      <c r="K198" s="15" t="n">
        <v>46312</v>
      </c>
      <c r="L198" s="16">
        <f>IF(OR($K198="",D198=""),"",IF(COUNTIFS($B:$B,$B198,$A:$A,$K198,D:D,"&gt;=0")=0,"",D198-SUMIFS(D:D,$B:$B,$B198,$A:$A,$K198)))</f>
        <v/>
      </c>
      <c r="M198" s="16">
        <f>IF(OR($K198="",E198=""),"",IF(COUNTIFS($B:$B,$B198,$A:$A,$K198,E:E,"&gt;=0")=0,"",E198-SUMIFS(E:E,$B:$B,$B198,$A:$A,$K198)))</f>
        <v/>
      </c>
      <c r="N198" s="16">
        <f>IF(OR($K198="",F198=""),"",IF(COUNTIFS($B:$B,$B198,$A:$A,$K198,F:F,"&gt;=0")=0,"",F198-SUMIFS(F:F,$B:$B,$B198,$A:$A,$K198)))</f>
        <v/>
      </c>
      <c r="O198" s="16">
        <f>IF(OR($K198="",G198=""),"",IF(COUNTIFS($B:$B,$B198,$A:$A,$K198,G:G,"&gt;=0")=0,"",G198-SUMIFS(G:G,$B:$B,$B198,$A:$A,$K198)))</f>
        <v/>
      </c>
    </row>
    <row r="199">
      <c r="A199" s="15" t="n">
        <v>46313</v>
      </c>
      <c r="B199" s="5" t="inlineStr">
        <is>
          <t>Intel Core i5-13400</t>
        </is>
      </c>
      <c r="C199" s="5" t="inlineStr">
        <is>
          <t>CPU</t>
        </is>
      </c>
      <c r="D199" s="2" t="n"/>
      <c r="E199" s="7" t="n">
        <v>125</v>
      </c>
      <c r="F199" s="2" t="n"/>
      <c r="G199" s="2" t="n"/>
      <c r="H199" s="9">
        <f>IFERROR(IF(INDEX(Dólar!$B:$B,MATCH(A199,Dólar!$A:$A,0))="","",INDEX(Dólar!$B:$B,MATCH(A199,Dólar!$A:$A,0))),"")</f>
        <v/>
      </c>
      <c r="I199" s="10">
        <f>IFERROR(INDEX(Dólar!$E:$E,MATCH(A199,Dólar!$A:$A,0)),"")</f>
        <v/>
      </c>
      <c r="J199" s="6" t="inlineStr">
        <is>
          <t>ver anuncio</t>
        </is>
      </c>
      <c r="K199" s="15" t="n">
        <v>46312</v>
      </c>
      <c r="L199" s="16">
        <f>IF(OR($K199="",D199=""),"",IF(COUNTIFS($B:$B,$B199,$A:$A,$K199,D:D,"&gt;=0")=0,"",D199-SUMIFS(D:D,$B:$B,$B199,$A:$A,$K199)))</f>
        <v/>
      </c>
      <c r="M199" s="16">
        <f>IF(OR($K199="",E199=""),"",IF(COUNTIFS($B:$B,$B199,$A:$A,$K199,E:E,"&gt;=0")=0,"",E199-SUMIFS(E:E,$B:$B,$B199,$A:$A,$K199)))</f>
        <v/>
      </c>
      <c r="N199" s="16">
        <f>IF(OR($K199="",F199=""),"",IF(COUNTIFS($B:$B,$B199,$A:$A,$K199,F:F,"&gt;=0")=0,"",F199-SUMIFS(F:F,$B:$B,$B199,$A:$A,$K199)))</f>
        <v/>
      </c>
      <c r="O199" s="16">
        <f>IF(OR($K199="",G199=""),"",IF(COUNTIFS($B:$B,$B199,$A:$A,$K199,G:G,"&gt;=0")=0,"",G199-SUMIFS(G:G,$B:$B,$B199,$A:$A,$K199)))</f>
        <v/>
      </c>
    </row>
    <row r="200">
      <c r="A200" s="15" t="n">
        <v>46313</v>
      </c>
      <c r="B200" s="5" t="inlineStr">
        <is>
          <t>Intel Core i5-12400F</t>
        </is>
      </c>
      <c r="C200" s="5" t="inlineStr">
        <is>
          <t>CPU</t>
        </is>
      </c>
      <c r="D200" s="7" t="n">
        <v>150</v>
      </c>
      <c r="E200" s="7" t="n">
        <v>124.99</v>
      </c>
      <c r="F200" s="2" t="n"/>
      <c r="G200" s="2" t="n"/>
      <c r="H200" s="9">
        <f>IFERROR(IF(INDEX(Dólar!$B:$B,MATCH(A200,Dólar!$A:$A,0))="","",INDEX(Dólar!$B:$B,MATCH(A200,Dólar!$A:$A,0))),"")</f>
        <v/>
      </c>
      <c r="I200" s="10">
        <f>IFERROR(INDEX(Dólar!$E:$E,MATCH(A200,Dólar!$A:$A,0)),"")</f>
        <v/>
      </c>
      <c r="J200" s="6" t="inlineStr">
        <is>
          <t>ver anuncio</t>
        </is>
      </c>
      <c r="K200" s="15" t="n">
        <v>46312</v>
      </c>
      <c r="L200" s="16">
        <f>IF(OR($K200="",D200=""),"",IF(COUNTIFS($B:$B,$B200,$A:$A,$K200,D:D,"&gt;=0")=0,"",D200-SUMIFS(D:D,$B:$B,$B200,$A:$A,$K200)))</f>
        <v/>
      </c>
      <c r="M200" s="16">
        <f>IF(OR($K200="",E200=""),"",IF(COUNTIFS($B:$B,$B200,$A:$A,$K200,E:E,"&gt;=0")=0,"",E200-SUMIFS(E:E,$B:$B,$B200,$A:$A,$K200)))</f>
        <v/>
      </c>
      <c r="N200" s="16">
        <f>IF(OR($K200="",F200=""),"",IF(COUNTIFS($B:$B,$B200,$A:$A,$K200,F:F,"&gt;=0")=0,"",F200-SUMIFS(F:F,$B:$B,$B200,$A:$A,$K200)))</f>
        <v/>
      </c>
      <c r="O200" s="16">
        <f>IF(OR($K200="",G200=""),"",IF(COUNTIFS($B:$B,$B200,$A:$A,$K200,G:G,"&gt;=0")=0,"",G200-SUMIFS(G:G,$B:$B,$B200,$A:$A,$K200)))</f>
        <v/>
      </c>
    </row>
    <row r="201">
      <c r="A201" s="15" t="n">
        <v>46313</v>
      </c>
      <c r="B201" s="5" t="inlineStr">
        <is>
          <t>Intel Core Ultra 7 265K</t>
        </is>
      </c>
      <c r="C201" s="5" t="inlineStr">
        <is>
          <t>CPU</t>
        </is>
      </c>
      <c r="D201" s="7" t="n">
        <v>235.27</v>
      </c>
      <c r="E201" s="7" t="n">
        <v>209.68</v>
      </c>
      <c r="F201" s="2" t="n"/>
      <c r="G201" s="2" t="n"/>
      <c r="H201" s="9">
        <f>IFERROR(IF(INDEX(Dólar!$B:$B,MATCH(A201,Dólar!$A:$A,0))="","",INDEX(Dólar!$B:$B,MATCH(A201,Dólar!$A:$A,0))),"")</f>
        <v/>
      </c>
      <c r="I201" s="10">
        <f>IFERROR(INDEX(Dólar!$E:$E,MATCH(A201,Dólar!$A:$A,0)),"")</f>
        <v/>
      </c>
      <c r="J201" s="6" t="inlineStr">
        <is>
          <t>ver anuncio</t>
        </is>
      </c>
      <c r="K201" s="15" t="n">
        <v>46312</v>
      </c>
      <c r="L201" s="16">
        <f>IF(OR($K201="",D201=""),"",IF(COUNTIFS($B:$B,$B201,$A:$A,$K201,D:D,"&gt;=0")=0,"",D201-SUMIFS(D:D,$B:$B,$B201,$A:$A,$K201)))</f>
        <v/>
      </c>
      <c r="M201" s="16">
        <f>IF(OR($K201="",E201=""),"",IF(COUNTIFS($B:$B,$B201,$A:$A,$K201,E:E,"&gt;=0")=0,"",E201-SUMIFS(E:E,$B:$B,$B201,$A:$A,$K201)))</f>
        <v/>
      </c>
      <c r="N201" s="16">
        <f>IF(OR($K201="",F201=""),"",IF(COUNTIFS($B:$B,$B201,$A:$A,$K201,F:F,"&gt;=0")=0,"",F201-SUMIFS(F:F,$B:$B,$B201,$A:$A,$K201)))</f>
        <v/>
      </c>
      <c r="O201" s="16">
        <f>IF(OR($K201="",G201=""),"",IF(COUNTIFS($B:$B,$B201,$A:$A,$K201,G:G,"&gt;=0")=0,"",G201-SUMIFS(G:G,$B:$B,$B201,$A:$A,$K201)))</f>
        <v/>
      </c>
    </row>
    <row r="202">
      <c r="A202" s="15" t="n">
        <v>46313</v>
      </c>
      <c r="B202" s="5" t="inlineStr">
        <is>
          <t>Corsair Vengeance RGB DDR5 32GB (2x16) 6000</t>
        </is>
      </c>
      <c r="C202" s="5" t="inlineStr">
        <is>
          <t>RAM</t>
        </is>
      </c>
      <c r="D202" s="7" t="n">
        <v>450</v>
      </c>
      <c r="E202" s="7" t="n">
        <v>419.99</v>
      </c>
      <c r="F202" s="2" t="n"/>
      <c r="G202" s="2" t="n"/>
      <c r="H202" s="9">
        <f>IFERROR(IF(INDEX(Dólar!$B:$B,MATCH(A202,Dólar!$A:$A,0))="","",INDEX(Dólar!$B:$B,MATCH(A202,Dólar!$A:$A,0))),"")</f>
        <v/>
      </c>
      <c r="I202" s="10">
        <f>IFERROR(INDEX(Dólar!$E:$E,MATCH(A202,Dólar!$A:$A,0)),"")</f>
        <v/>
      </c>
      <c r="J202" s="6" t="inlineStr">
        <is>
          <t>ver anuncio</t>
        </is>
      </c>
      <c r="K202" s="15" t="n">
        <v>46312</v>
      </c>
      <c r="L202" s="16">
        <f>IF(OR($K202="",D202=""),"",IF(COUNTIFS($B:$B,$B202,$A:$A,$K202,D:D,"&gt;=0")=0,"",D202-SUMIFS(D:D,$B:$B,$B202,$A:$A,$K202)))</f>
        <v/>
      </c>
      <c r="M202" s="16">
        <f>IF(OR($K202="",E202=""),"",IF(COUNTIFS($B:$B,$B202,$A:$A,$K202,E:E,"&gt;=0")=0,"",E202-SUMIFS(E:E,$B:$B,$B202,$A:$A,$K202)))</f>
        <v/>
      </c>
      <c r="N202" s="16">
        <f>IF(OR($K202="",F202=""),"",IF(COUNTIFS($B:$B,$B202,$A:$A,$K202,F:F,"&gt;=0")=0,"",F202-SUMIFS(F:F,$B:$B,$B202,$A:$A,$K202)))</f>
        <v/>
      </c>
      <c r="O202" s="16">
        <f>IF(OR($K202="",G202=""),"",IF(COUNTIFS($B:$B,$B202,$A:$A,$K202,G:G,"&gt;=0")=0,"",G202-SUMIFS(G:G,$B:$B,$B202,$A:$A,$K202)))</f>
        <v/>
      </c>
    </row>
    <row r="203">
      <c r="A203" s="15" t="n">
        <v>46313</v>
      </c>
      <c r="B203" s="5" t="inlineStr">
        <is>
          <t>Corsair Vengeance RGB DDR5 32GB (2x16) 5600</t>
        </is>
      </c>
      <c r="C203" s="5" t="inlineStr">
        <is>
          <t>RAM</t>
        </is>
      </c>
      <c r="D203" s="7" t="n">
        <v>429.97</v>
      </c>
      <c r="E203" s="7" t="n">
        <v>379.99</v>
      </c>
      <c r="F203" s="2" t="n"/>
      <c r="G203" s="2" t="n"/>
      <c r="H203" s="9">
        <f>IFERROR(IF(INDEX(Dólar!$B:$B,MATCH(A203,Dólar!$A:$A,0))="","",INDEX(Dólar!$B:$B,MATCH(A203,Dólar!$A:$A,0))),"")</f>
        <v/>
      </c>
      <c r="I203" s="10">
        <f>IFERROR(INDEX(Dólar!$E:$E,MATCH(A203,Dólar!$A:$A,0)),"")</f>
        <v/>
      </c>
      <c r="J203" s="6" t="inlineStr">
        <is>
          <t>ver anuncio</t>
        </is>
      </c>
      <c r="K203" s="15" t="n">
        <v>46312</v>
      </c>
      <c r="L203" s="16">
        <f>IF(OR($K203="",D203=""),"",IF(COUNTIFS($B:$B,$B203,$A:$A,$K203,D:D,"&gt;=0")=0,"",D203-SUMIFS(D:D,$B:$B,$B203,$A:$A,$K203)))</f>
        <v/>
      </c>
      <c r="M203" s="16">
        <f>IF(OR($K203="",E203=""),"",IF(COUNTIFS($B:$B,$B203,$A:$A,$K203,E:E,"&gt;=0")=0,"",E203-SUMIFS(E:E,$B:$B,$B203,$A:$A,$K203)))</f>
        <v/>
      </c>
      <c r="N203" s="16">
        <f>IF(OR($K203="",F203=""),"",IF(COUNTIFS($B:$B,$B203,$A:$A,$K203,F:F,"&gt;=0")=0,"",F203-SUMIFS(F:F,$B:$B,$B203,$A:$A,$K203)))</f>
        <v/>
      </c>
      <c r="O203" s="16">
        <f>IF(OR($K203="",G203=""),"",IF(COUNTIFS($B:$B,$B203,$A:$A,$K203,G:G,"&gt;=0")=0,"",G203-SUMIFS(G:G,$B:$B,$B203,$A:$A,$K203)))</f>
        <v/>
      </c>
    </row>
    <row r="204">
      <c r="A204" s="15" t="n">
        <v>46312</v>
      </c>
      <c r="B204" s="5" t="inlineStr">
        <is>
          <t>SSD NVMe 2TB</t>
        </is>
      </c>
      <c r="C204" s="5" t="inlineStr">
        <is>
          <t>SSD</t>
        </is>
      </c>
      <c r="D204" s="7" t="n">
        <v>209.99</v>
      </c>
      <c r="E204" s="7" t="n">
        <v>160</v>
      </c>
      <c r="F204" s="2" t="n"/>
      <c r="G204" s="2" t="n"/>
      <c r="H204" s="9">
        <f>IFERROR(IF(INDEX(Dólar!$B:$B,MATCH(A204,Dólar!$A:$A,0))="","",INDEX(Dólar!$B:$B,MATCH(A204,Dólar!$A:$A,0))),"")</f>
        <v/>
      </c>
      <c r="I204" s="10">
        <f>IFERROR(INDEX(Dólar!$E:$E,MATCH(A204,Dólar!$A:$A,0)),"")</f>
        <v/>
      </c>
      <c r="J204" s="6" t="inlineStr">
        <is>
          <t>ver anuncio</t>
        </is>
      </c>
      <c r="K204" s="15" t="n">
        <v>46311</v>
      </c>
      <c r="L204" s="16">
        <f>IF(OR($K204="",D204=""),"",IF(COUNTIFS($B:$B,$B204,$A:$A,$K204,D:D,"&gt;=0")=0,"",D204-SUMIFS(D:D,$B:$B,$B204,$A:$A,$K204)))</f>
        <v/>
      </c>
      <c r="M204" s="16">
        <f>IF(OR($K204="",E204=""),"",IF(COUNTIFS($B:$B,$B204,$A:$A,$K204,E:E,"&gt;=0")=0,"",E204-SUMIFS(E:E,$B:$B,$B204,$A:$A,$K204)))</f>
        <v/>
      </c>
      <c r="N204" s="16">
        <f>IF(OR($K204="",F204=""),"",IF(COUNTIFS($B:$B,$B204,$A:$A,$K204,F:F,"&gt;=0")=0,"",F204-SUMIFS(F:F,$B:$B,$B204,$A:$A,$K204)))</f>
        <v/>
      </c>
      <c r="O204" s="16">
        <f>IF(OR($K204="",G204=""),"",IF(COUNTIFS($B:$B,$B204,$A:$A,$K204,G:G,"&gt;=0")=0,"",G204-SUMIFS(G:G,$B:$B,$B204,$A:$A,$K204)))</f>
        <v/>
      </c>
    </row>
    <row r="205">
      <c r="A205" s="15" t="n">
        <v>46312</v>
      </c>
      <c r="B205" s="5" t="inlineStr">
        <is>
          <t>SSD NVMe 1TB</t>
        </is>
      </c>
      <c r="C205" s="5" t="inlineStr">
        <is>
          <t>SSD</t>
        </is>
      </c>
      <c r="D205" s="7" t="n">
        <v>128.99</v>
      </c>
      <c r="E205" s="7" t="n">
        <v>98.59</v>
      </c>
      <c r="F205" s="8" t="n">
        <v>1230</v>
      </c>
      <c r="G205" s="2" t="n"/>
      <c r="H205" s="9">
        <f>IFERROR(IF(INDEX(Dólar!$B:$B,MATCH(A205,Dólar!$A:$A,0))="","",INDEX(Dólar!$B:$B,MATCH(A205,Dólar!$A:$A,0))),"")</f>
        <v/>
      </c>
      <c r="I205" s="10">
        <f>IFERROR(INDEX(Dólar!$E:$E,MATCH(A205,Dólar!$A:$A,0)),"")</f>
        <v/>
      </c>
      <c r="J205" s="6" t="inlineStr">
        <is>
          <t>ver anuncio</t>
        </is>
      </c>
      <c r="K205" s="15" t="n">
        <v>46311</v>
      </c>
      <c r="L205" s="16">
        <f>IF(OR($K205="",D205=""),"",IF(COUNTIFS($B:$B,$B205,$A:$A,$K205,D:D,"&gt;=0")=0,"",D205-SUMIFS(D:D,$B:$B,$B205,$A:$A,$K205)))</f>
        <v/>
      </c>
      <c r="M205" s="16">
        <f>IF(OR($K205="",E205=""),"",IF(COUNTIFS($B:$B,$B205,$A:$A,$K205,E:E,"&gt;=0")=0,"",E205-SUMIFS(E:E,$B:$B,$B205,$A:$A,$K205)))</f>
        <v/>
      </c>
      <c r="N205" s="16">
        <f>IF(OR($K205="",F205=""),"",IF(COUNTIFS($B:$B,$B205,$A:$A,$K205,F:F,"&gt;=0")=0,"",F205-SUMIFS(F:F,$B:$B,$B205,$A:$A,$K205)))</f>
        <v/>
      </c>
      <c r="O205" s="16">
        <f>IF(OR($K205="",G205=""),"",IF(COUNTIFS($B:$B,$B205,$A:$A,$K205,G:G,"&gt;=0")=0,"",G205-SUMIFS(G:G,$B:$B,$B205,$A:$A,$K205)))</f>
        <v/>
      </c>
    </row>
    <row r="206">
      <c r="A206" s="15" t="n">
        <v>46312</v>
      </c>
      <c r="B206" s="5" t="inlineStr">
        <is>
          <t>Ryzen 9 9950X</t>
        </is>
      </c>
      <c r="C206" s="5" t="inlineStr">
        <is>
          <t>CPU</t>
        </is>
      </c>
      <c r="D206" s="7" t="n">
        <v>549.99</v>
      </c>
      <c r="E206" s="7" t="n">
        <v>454.99</v>
      </c>
      <c r="F206" s="2" t="n"/>
      <c r="G206" s="2" t="n"/>
      <c r="H206" s="9">
        <f>IFERROR(IF(INDEX(Dólar!$B:$B,MATCH(A206,Dólar!$A:$A,0))="","",INDEX(Dólar!$B:$B,MATCH(A206,Dólar!$A:$A,0))),"")</f>
        <v/>
      </c>
      <c r="I206" s="10">
        <f>IFERROR(INDEX(Dólar!$E:$E,MATCH(A206,Dólar!$A:$A,0)),"")</f>
        <v/>
      </c>
      <c r="J206" s="6" t="inlineStr">
        <is>
          <t>ver anuncio</t>
        </is>
      </c>
      <c r="K206" s="15" t="n">
        <v>46311</v>
      </c>
      <c r="L206" s="16">
        <f>IF(OR($K206="",D206=""),"",IF(COUNTIFS($B:$B,$B206,$A:$A,$K206,D:D,"&gt;=0")=0,"",D206-SUMIFS(D:D,$B:$B,$B206,$A:$A,$K206)))</f>
        <v/>
      </c>
      <c r="M206" s="16">
        <f>IF(OR($K206="",E206=""),"",IF(COUNTIFS($B:$B,$B206,$A:$A,$K206,E:E,"&gt;=0")=0,"",E206-SUMIFS(E:E,$B:$B,$B206,$A:$A,$K206)))</f>
        <v/>
      </c>
      <c r="N206" s="16">
        <f>IF(OR($K206="",F206=""),"",IF(COUNTIFS($B:$B,$B206,$A:$A,$K206,F:F,"&gt;=0")=0,"",F206-SUMIFS(F:F,$B:$B,$B206,$A:$A,$K206)))</f>
        <v/>
      </c>
      <c r="O206" s="16">
        <f>IF(OR($K206="",G206=""),"",IF(COUNTIFS($B:$B,$B206,$A:$A,$K206,G:G,"&gt;=0")=0,"",G206-SUMIFS(G:G,$B:$B,$B206,$A:$A,$K206)))</f>
        <v/>
      </c>
    </row>
    <row r="207">
      <c r="A207" s="15" t="n">
        <v>46312</v>
      </c>
      <c r="B207" s="5" t="inlineStr">
        <is>
          <t>Ryzen 7 7800X3D</t>
        </is>
      </c>
      <c r="C207" s="5" t="inlineStr">
        <is>
          <t>CPU</t>
        </is>
      </c>
      <c r="D207" s="7" t="n">
        <v>324.99</v>
      </c>
      <c r="E207" s="7" t="n">
        <v>275</v>
      </c>
      <c r="F207" s="2" t="n"/>
      <c r="G207" s="2" t="n"/>
      <c r="H207" s="9">
        <f>IFERROR(IF(INDEX(Dólar!$B:$B,MATCH(A207,Dólar!$A:$A,0))="","",INDEX(Dólar!$B:$B,MATCH(A207,Dólar!$A:$A,0))),"")</f>
        <v/>
      </c>
      <c r="I207" s="10">
        <f>IFERROR(INDEX(Dólar!$E:$E,MATCH(A207,Dólar!$A:$A,0)),"")</f>
        <v/>
      </c>
      <c r="J207" s="6" t="inlineStr">
        <is>
          <t>ver anuncio</t>
        </is>
      </c>
      <c r="K207" s="15" t="n">
        <v>46311</v>
      </c>
      <c r="L207" s="16">
        <f>IF(OR($K207="",D207=""),"",IF(COUNTIFS($B:$B,$B207,$A:$A,$K207,D:D,"&gt;=0")=0,"",D207-SUMIFS(D:D,$B:$B,$B207,$A:$A,$K207)))</f>
        <v/>
      </c>
      <c r="M207" s="16">
        <f>IF(OR($K207="",E207=""),"",IF(COUNTIFS($B:$B,$B207,$A:$A,$K207,E:E,"&gt;=0")=0,"",E207-SUMIFS(E:E,$B:$B,$B207,$A:$A,$K207)))</f>
        <v/>
      </c>
      <c r="N207" s="16">
        <f>IF(OR($K207="",F207=""),"",IF(COUNTIFS($B:$B,$B207,$A:$A,$K207,F:F,"&gt;=0")=0,"",F207-SUMIFS(F:F,$B:$B,$B207,$A:$A,$K207)))</f>
        <v/>
      </c>
      <c r="O207" s="16">
        <f>IF(OR($K207="",G207=""),"",IF(COUNTIFS($B:$B,$B207,$A:$A,$K207,G:G,"&gt;=0")=0,"",G207-SUMIFS(G:G,$B:$B,$B207,$A:$A,$K207)))</f>
        <v/>
      </c>
    </row>
    <row r="208">
      <c r="A208" s="15" t="n">
        <v>46312</v>
      </c>
      <c r="B208" s="5" t="inlineStr">
        <is>
          <t>Ryzen 7 5700X3D</t>
        </is>
      </c>
      <c r="C208" s="5" t="inlineStr">
        <is>
          <t>CPU</t>
        </is>
      </c>
      <c r="D208" s="2" t="n"/>
      <c r="E208" s="7" t="n">
        <v>315</v>
      </c>
      <c r="F208" s="2" t="n"/>
      <c r="G208" s="2" t="n"/>
      <c r="H208" s="9">
        <f>IFERROR(IF(INDEX(Dólar!$B:$B,MATCH(A208,Dólar!$A:$A,0))="","",INDEX(Dólar!$B:$B,MATCH(A208,Dólar!$A:$A,0))),"")</f>
        <v/>
      </c>
      <c r="I208" s="10">
        <f>IFERROR(INDEX(Dólar!$E:$E,MATCH(A208,Dólar!$A:$A,0)),"")</f>
        <v/>
      </c>
      <c r="J208" s="6" t="inlineStr">
        <is>
          <t>ver anuncio</t>
        </is>
      </c>
      <c r="K208" s="15" t="n">
        <v>46311</v>
      </c>
      <c r="L208" s="16">
        <f>IF(OR($K208="",D208=""),"",IF(COUNTIFS($B:$B,$B208,$A:$A,$K208,D:D,"&gt;=0")=0,"",D208-SUMIFS(D:D,$B:$B,$B208,$A:$A,$K208)))</f>
        <v/>
      </c>
      <c r="M208" s="16">
        <f>IF(OR($K208="",E208=""),"",IF(COUNTIFS($B:$B,$B208,$A:$A,$K208,E:E,"&gt;=0")=0,"",E208-SUMIFS(E:E,$B:$B,$B208,$A:$A,$K208)))</f>
        <v/>
      </c>
      <c r="N208" s="16">
        <f>IF(OR($K208="",F208=""),"",IF(COUNTIFS($B:$B,$B208,$A:$A,$K208,F:F,"&gt;=0")=0,"",F208-SUMIFS(F:F,$B:$B,$B208,$A:$A,$K208)))</f>
        <v/>
      </c>
      <c r="O208" s="16">
        <f>IF(OR($K208="",G208=""),"",IF(COUNTIFS($B:$B,$B208,$A:$A,$K208,G:G,"&gt;=0")=0,"",G208-SUMIFS(G:G,$B:$B,$B208,$A:$A,$K208)))</f>
        <v/>
      </c>
    </row>
    <row r="209">
      <c r="A209" s="15" t="n">
        <v>46312</v>
      </c>
      <c r="B209" s="5" t="inlineStr">
        <is>
          <t>Ryzen 5 7600</t>
        </is>
      </c>
      <c r="C209" s="5" t="inlineStr">
        <is>
          <t>CPU</t>
        </is>
      </c>
      <c r="D209" s="7" t="n">
        <v>140.26</v>
      </c>
      <c r="E209" s="7" t="n">
        <v>120</v>
      </c>
      <c r="F209" s="2" t="n"/>
      <c r="G209" s="2" t="n"/>
      <c r="H209" s="9">
        <f>IFERROR(IF(INDEX(Dólar!$B:$B,MATCH(A209,Dólar!$A:$A,0))="","",INDEX(Dólar!$B:$B,MATCH(A209,Dólar!$A:$A,0))),"")</f>
        <v/>
      </c>
      <c r="I209" s="10">
        <f>IFERROR(INDEX(Dólar!$E:$E,MATCH(A209,Dólar!$A:$A,0)),"")</f>
        <v/>
      </c>
      <c r="J209" s="6" t="inlineStr">
        <is>
          <t>ver anuncio</t>
        </is>
      </c>
      <c r="K209" s="15" t="n">
        <v>46311</v>
      </c>
      <c r="L209" s="16">
        <f>IF(OR($K209="",D209=""),"",IF(COUNTIFS($B:$B,$B209,$A:$A,$K209,D:D,"&gt;=0")=0,"",D209-SUMIFS(D:D,$B:$B,$B209,$A:$A,$K209)))</f>
        <v/>
      </c>
      <c r="M209" s="16">
        <f>IF(OR($K209="",E209=""),"",IF(COUNTIFS($B:$B,$B209,$A:$A,$K209,E:E,"&gt;=0")=0,"",E209-SUMIFS(E:E,$B:$B,$B209,$A:$A,$K209)))</f>
        <v/>
      </c>
      <c r="N209" s="16">
        <f>IF(OR($K209="",F209=""),"",IF(COUNTIFS($B:$B,$B209,$A:$A,$K209,F:F,"&gt;=0")=0,"",F209-SUMIFS(F:F,$B:$B,$B209,$A:$A,$K209)))</f>
        <v/>
      </c>
      <c r="O209" s="16">
        <f>IF(OR($K209="",G209=""),"",IF(COUNTIFS($B:$B,$B209,$A:$A,$K209,G:G,"&gt;=0")=0,"",G209-SUMIFS(G:G,$B:$B,$B209,$A:$A,$K209)))</f>
        <v/>
      </c>
    </row>
    <row r="210">
      <c r="A210" s="15" t="n">
        <v>46312</v>
      </c>
      <c r="B210" s="5" t="inlineStr">
        <is>
          <t>Ryzen 5 5600</t>
        </is>
      </c>
      <c r="C210" s="5" t="inlineStr">
        <is>
          <t>CPU</t>
        </is>
      </c>
      <c r="D210" s="7" t="n">
        <v>138.9</v>
      </c>
      <c r="E210" s="7" t="n">
        <v>129.99</v>
      </c>
      <c r="F210" s="2" t="n"/>
      <c r="G210" s="2" t="n"/>
      <c r="H210" s="9">
        <f>IFERROR(IF(INDEX(Dólar!$B:$B,MATCH(A210,Dólar!$A:$A,0))="","",INDEX(Dólar!$B:$B,MATCH(A210,Dólar!$A:$A,0))),"")</f>
        <v/>
      </c>
      <c r="I210" s="10">
        <f>IFERROR(INDEX(Dólar!$E:$E,MATCH(A210,Dólar!$A:$A,0)),"")</f>
        <v/>
      </c>
      <c r="J210" s="6" t="inlineStr">
        <is>
          <t>ver anuncio</t>
        </is>
      </c>
      <c r="K210" s="15" t="n">
        <v>46311</v>
      </c>
      <c r="L210" s="16">
        <f>IF(OR($K210="",D210=""),"",IF(COUNTIFS($B:$B,$B210,$A:$A,$K210,D:D,"&gt;=0")=0,"",D210-SUMIFS(D:D,$B:$B,$B210,$A:$A,$K210)))</f>
        <v/>
      </c>
      <c r="M210" s="16">
        <f>IF(OR($K210="",E210=""),"",IF(COUNTIFS($B:$B,$B210,$A:$A,$K210,E:E,"&gt;=0")=0,"",E210-SUMIFS(E:E,$B:$B,$B210,$A:$A,$K210)))</f>
        <v/>
      </c>
      <c r="N210" s="16">
        <f>IF(OR($K210="",F210=""),"",IF(COUNTIFS($B:$B,$B210,$A:$A,$K210,F:F,"&gt;=0")=0,"",F210-SUMIFS(F:F,$B:$B,$B210,$A:$A,$K210)))</f>
        <v/>
      </c>
      <c r="O210" s="16">
        <f>IF(OR($K210="",G210=""),"",IF(COUNTIFS($B:$B,$B210,$A:$A,$K210,G:G,"&gt;=0")=0,"",G210-SUMIFS(G:G,$B:$B,$B210,$A:$A,$K210)))</f>
        <v/>
      </c>
    </row>
    <row r="211">
      <c r="A211" s="15" t="n">
        <v>46312</v>
      </c>
      <c r="B211" s="5" t="inlineStr">
        <is>
          <t>RAM DDR4 16GB (2x8) 3200</t>
        </is>
      </c>
      <c r="C211" s="5" t="inlineStr">
        <is>
          <t>RAM</t>
        </is>
      </c>
      <c r="D211" s="7" t="n">
        <v>118.96</v>
      </c>
      <c r="E211" s="7" t="n">
        <v>71.95</v>
      </c>
      <c r="F211" s="2" t="n"/>
      <c r="G211" s="2" t="n"/>
      <c r="H211" s="9">
        <f>IFERROR(IF(INDEX(Dólar!$B:$B,MATCH(A211,Dólar!$A:$A,0))="","",INDEX(Dólar!$B:$B,MATCH(A211,Dólar!$A:$A,0))),"")</f>
        <v/>
      </c>
      <c r="I211" s="10">
        <f>IFERROR(INDEX(Dólar!$E:$E,MATCH(A211,Dólar!$A:$A,0)),"")</f>
        <v/>
      </c>
      <c r="J211" s="6" t="inlineStr">
        <is>
          <t>ver anuncio</t>
        </is>
      </c>
      <c r="K211" s="15" t="n">
        <v>46311</v>
      </c>
      <c r="L211" s="16">
        <f>IF(OR($K211="",D211=""),"",IF(COUNTIFS($B:$B,$B211,$A:$A,$K211,D:D,"&gt;=0")=0,"",D211-SUMIFS(D:D,$B:$B,$B211,$A:$A,$K211)))</f>
        <v/>
      </c>
      <c r="M211" s="16">
        <f>IF(OR($K211="",E211=""),"",IF(COUNTIFS($B:$B,$B211,$A:$A,$K211,E:E,"&gt;=0")=0,"",E211-SUMIFS(E:E,$B:$B,$B211,$A:$A,$K211)))</f>
        <v/>
      </c>
      <c r="N211" s="16">
        <f>IF(OR($K211="",F211=""),"",IF(COUNTIFS($B:$B,$B211,$A:$A,$K211,F:F,"&gt;=0")=0,"",F211-SUMIFS(F:F,$B:$B,$B211,$A:$A,$K211)))</f>
        <v/>
      </c>
      <c r="O211" s="16">
        <f>IF(OR($K211="",G211=""),"",IF(COUNTIFS($B:$B,$B211,$A:$A,$K211,G:G,"&gt;=0")=0,"",G211-SUMIFS(G:G,$B:$B,$B211,$A:$A,$K211)))</f>
        <v/>
      </c>
    </row>
    <row r="212">
      <c r="A212" s="15" t="n">
        <v>46312</v>
      </c>
      <c r="B212" s="5" t="inlineStr">
        <is>
          <t>Intel Core i5-14400F</t>
        </is>
      </c>
      <c r="C212" s="5" t="inlineStr">
        <is>
          <t>CPU</t>
        </is>
      </c>
      <c r="D212" s="7" t="n">
        <v>164.49</v>
      </c>
      <c r="E212" s="7" t="n">
        <v>139.99</v>
      </c>
      <c r="F212" s="2" t="n"/>
      <c r="G212" s="2" t="n"/>
      <c r="H212" s="9">
        <f>IFERROR(IF(INDEX(Dólar!$B:$B,MATCH(A212,Dólar!$A:$A,0))="","",INDEX(Dólar!$B:$B,MATCH(A212,Dólar!$A:$A,0))),"")</f>
        <v/>
      </c>
      <c r="I212" s="10">
        <f>IFERROR(INDEX(Dólar!$E:$E,MATCH(A212,Dólar!$A:$A,0)),"")</f>
        <v/>
      </c>
      <c r="J212" s="6" t="inlineStr">
        <is>
          <t>ver anuncio</t>
        </is>
      </c>
      <c r="K212" s="15" t="n">
        <v>46311</v>
      </c>
      <c r="L212" s="16">
        <f>IF(OR($K212="",D212=""),"",IF(COUNTIFS($B:$B,$B212,$A:$A,$K212,D:D,"&gt;=0")=0,"",D212-SUMIFS(D:D,$B:$B,$B212,$A:$A,$K212)))</f>
        <v/>
      </c>
      <c r="M212" s="16">
        <f>IF(OR($K212="",E212=""),"",IF(COUNTIFS($B:$B,$B212,$A:$A,$K212,E:E,"&gt;=0")=0,"",E212-SUMIFS(E:E,$B:$B,$B212,$A:$A,$K212)))</f>
        <v/>
      </c>
      <c r="N212" s="16">
        <f>IF(OR($K212="",F212=""),"",IF(COUNTIFS($B:$B,$B212,$A:$A,$K212,F:F,"&gt;=0")=0,"",F212-SUMIFS(F:F,$B:$B,$B212,$A:$A,$K212)))</f>
        <v/>
      </c>
      <c r="O212" s="16">
        <f>IF(OR($K212="",G212=""),"",IF(COUNTIFS($B:$B,$B212,$A:$A,$K212,G:G,"&gt;=0")=0,"",G212-SUMIFS(G:G,$B:$B,$B212,$A:$A,$K212)))</f>
        <v/>
      </c>
    </row>
    <row r="213">
      <c r="A213" s="15" t="n">
        <v>46312</v>
      </c>
      <c r="B213" s="5" t="inlineStr">
        <is>
          <t>Intel Core i5-13400</t>
        </is>
      </c>
      <c r="C213" s="5" t="inlineStr">
        <is>
          <t>CPU</t>
        </is>
      </c>
      <c r="D213" s="2" t="n"/>
      <c r="E213" s="7" t="n">
        <v>125</v>
      </c>
      <c r="F213" s="2" t="n"/>
      <c r="G213" s="2" t="n"/>
      <c r="H213" s="9">
        <f>IFERROR(IF(INDEX(Dólar!$B:$B,MATCH(A213,Dólar!$A:$A,0))="","",INDEX(Dólar!$B:$B,MATCH(A213,Dólar!$A:$A,0))),"")</f>
        <v/>
      </c>
      <c r="I213" s="10">
        <f>IFERROR(INDEX(Dólar!$E:$E,MATCH(A213,Dólar!$A:$A,0)),"")</f>
        <v/>
      </c>
      <c r="J213" s="6" t="inlineStr">
        <is>
          <t>ver anuncio</t>
        </is>
      </c>
      <c r="K213" s="15" t="n">
        <v>46311</v>
      </c>
      <c r="L213" s="16">
        <f>IF(OR($K213="",D213=""),"",IF(COUNTIFS($B:$B,$B213,$A:$A,$K213,D:D,"&gt;=0")=0,"",D213-SUMIFS(D:D,$B:$B,$B213,$A:$A,$K213)))</f>
        <v/>
      </c>
      <c r="M213" s="16">
        <f>IF(OR($K213="",E213=""),"",IF(COUNTIFS($B:$B,$B213,$A:$A,$K213,E:E,"&gt;=0")=0,"",E213-SUMIFS(E:E,$B:$B,$B213,$A:$A,$K213)))</f>
        <v/>
      </c>
      <c r="N213" s="16">
        <f>IF(OR($K213="",F213=""),"",IF(COUNTIFS($B:$B,$B213,$A:$A,$K213,F:F,"&gt;=0")=0,"",F213-SUMIFS(F:F,$B:$B,$B213,$A:$A,$K213)))</f>
        <v/>
      </c>
      <c r="O213" s="16">
        <f>IF(OR($K213="",G213=""),"",IF(COUNTIFS($B:$B,$B213,$A:$A,$K213,G:G,"&gt;=0")=0,"",G213-SUMIFS(G:G,$B:$B,$B213,$A:$A,$K213)))</f>
        <v/>
      </c>
    </row>
    <row r="214">
      <c r="A214" s="15" t="n">
        <v>46312</v>
      </c>
      <c r="B214" s="5" t="inlineStr">
        <is>
          <t>Intel Core i5-12400F</t>
        </is>
      </c>
      <c r="C214" s="5" t="inlineStr">
        <is>
          <t>CPU</t>
        </is>
      </c>
      <c r="D214" s="7" t="n">
        <v>150</v>
      </c>
      <c r="E214" s="7" t="n">
        <v>120.99</v>
      </c>
      <c r="F214" s="2" t="n"/>
      <c r="G214" s="2" t="n"/>
      <c r="H214" s="9">
        <f>IFERROR(IF(INDEX(Dólar!$B:$B,MATCH(A214,Dólar!$A:$A,0))="","",INDEX(Dólar!$B:$B,MATCH(A214,Dólar!$A:$A,0))),"")</f>
        <v/>
      </c>
      <c r="I214" s="10">
        <f>IFERROR(INDEX(Dólar!$E:$E,MATCH(A214,Dólar!$A:$A,0)),"")</f>
        <v/>
      </c>
      <c r="J214" s="6" t="inlineStr">
        <is>
          <t>ver anuncio</t>
        </is>
      </c>
      <c r="K214" s="15" t="n">
        <v>46311</v>
      </c>
      <c r="L214" s="16">
        <f>IF(OR($K214="",D214=""),"",IF(COUNTIFS($B:$B,$B214,$A:$A,$K214,D:D,"&gt;=0")=0,"",D214-SUMIFS(D:D,$B:$B,$B214,$A:$A,$K214)))</f>
        <v/>
      </c>
      <c r="M214" s="16">
        <f>IF(OR($K214="",E214=""),"",IF(COUNTIFS($B:$B,$B214,$A:$A,$K214,E:E,"&gt;=0")=0,"",E214-SUMIFS(E:E,$B:$B,$B214,$A:$A,$K214)))</f>
        <v/>
      </c>
      <c r="N214" s="16">
        <f>IF(OR($K214="",F214=""),"",IF(COUNTIFS($B:$B,$B214,$A:$A,$K214,F:F,"&gt;=0")=0,"",F214-SUMIFS(F:F,$B:$B,$B214,$A:$A,$K214)))</f>
        <v/>
      </c>
      <c r="O214" s="16">
        <f>IF(OR($K214="",G214=""),"",IF(COUNTIFS($B:$B,$B214,$A:$A,$K214,G:G,"&gt;=0")=0,"",G214-SUMIFS(G:G,$B:$B,$B214,$A:$A,$K214)))</f>
        <v/>
      </c>
    </row>
    <row r="215">
      <c r="A215" s="15" t="n">
        <v>46312</v>
      </c>
      <c r="B215" s="5" t="inlineStr">
        <is>
          <t>Intel Core Ultra 7 265K</t>
        </is>
      </c>
      <c r="C215" s="5" t="inlineStr">
        <is>
          <t>CPU</t>
        </is>
      </c>
      <c r="D215" s="7" t="n">
        <v>235.27</v>
      </c>
      <c r="E215" s="7" t="n">
        <v>229</v>
      </c>
      <c r="F215" s="2" t="n"/>
      <c r="G215" s="2" t="n"/>
      <c r="H215" s="9">
        <f>IFERROR(IF(INDEX(Dólar!$B:$B,MATCH(A215,Dólar!$A:$A,0))="","",INDEX(Dólar!$B:$B,MATCH(A215,Dólar!$A:$A,0))),"")</f>
        <v/>
      </c>
      <c r="I215" s="10">
        <f>IFERROR(INDEX(Dólar!$E:$E,MATCH(A215,Dólar!$A:$A,0)),"")</f>
        <v/>
      </c>
      <c r="J215" s="6" t="inlineStr">
        <is>
          <t>ver anuncio</t>
        </is>
      </c>
      <c r="K215" s="15" t="n">
        <v>46311</v>
      </c>
      <c r="L215" s="16">
        <f>IF(OR($K215="",D215=""),"",IF(COUNTIFS($B:$B,$B215,$A:$A,$K215,D:D,"&gt;=0")=0,"",D215-SUMIFS(D:D,$B:$B,$B215,$A:$A,$K215)))</f>
        <v/>
      </c>
      <c r="M215" s="16">
        <f>IF(OR($K215="",E215=""),"",IF(COUNTIFS($B:$B,$B215,$A:$A,$K215,E:E,"&gt;=0")=0,"",E215-SUMIFS(E:E,$B:$B,$B215,$A:$A,$K215)))</f>
        <v/>
      </c>
      <c r="N215" s="16">
        <f>IF(OR($K215="",F215=""),"",IF(COUNTIFS($B:$B,$B215,$A:$A,$K215,F:F,"&gt;=0")=0,"",F215-SUMIFS(F:F,$B:$B,$B215,$A:$A,$K215)))</f>
        <v/>
      </c>
      <c r="O215" s="16">
        <f>IF(OR($K215="",G215=""),"",IF(COUNTIFS($B:$B,$B215,$A:$A,$K215,G:G,"&gt;=0")=0,"",G215-SUMIFS(G:G,$B:$B,$B215,$A:$A,$K215)))</f>
        <v/>
      </c>
    </row>
    <row r="216">
      <c r="A216" s="15" t="n">
        <v>46312</v>
      </c>
      <c r="B216" s="5" t="inlineStr">
        <is>
          <t>Corsair Vengeance RGB DDR5 32GB (2x16) 6000</t>
        </is>
      </c>
      <c r="C216" s="5" t="inlineStr">
        <is>
          <t>RAM</t>
        </is>
      </c>
      <c r="D216" s="7" t="n">
        <v>474.49</v>
      </c>
      <c r="E216" s="7" t="n">
        <v>399.99</v>
      </c>
      <c r="F216" s="2" t="n"/>
      <c r="G216" s="2" t="n"/>
      <c r="H216" s="9">
        <f>IFERROR(IF(INDEX(Dólar!$B:$B,MATCH(A216,Dólar!$A:$A,0))="","",INDEX(Dólar!$B:$B,MATCH(A216,Dólar!$A:$A,0))),"")</f>
        <v/>
      </c>
      <c r="I216" s="10">
        <f>IFERROR(INDEX(Dólar!$E:$E,MATCH(A216,Dólar!$A:$A,0)),"")</f>
        <v/>
      </c>
      <c r="J216" s="6" t="inlineStr">
        <is>
          <t>ver anuncio</t>
        </is>
      </c>
      <c r="K216" s="15" t="n">
        <v>46311</v>
      </c>
      <c r="L216" s="16">
        <f>IF(OR($K216="",D216=""),"",IF(COUNTIFS($B:$B,$B216,$A:$A,$K216,D:D,"&gt;=0")=0,"",D216-SUMIFS(D:D,$B:$B,$B216,$A:$A,$K216)))</f>
        <v/>
      </c>
      <c r="M216" s="16">
        <f>IF(OR($K216="",E216=""),"",IF(COUNTIFS($B:$B,$B216,$A:$A,$K216,E:E,"&gt;=0")=0,"",E216-SUMIFS(E:E,$B:$B,$B216,$A:$A,$K216)))</f>
        <v/>
      </c>
      <c r="N216" s="16">
        <f>IF(OR($K216="",F216=""),"",IF(COUNTIFS($B:$B,$B216,$A:$A,$K216,F:F,"&gt;=0")=0,"",F216-SUMIFS(F:F,$B:$B,$B216,$A:$A,$K216)))</f>
        <v/>
      </c>
      <c r="O216" s="16">
        <f>IF(OR($K216="",G216=""),"",IF(COUNTIFS($B:$B,$B216,$A:$A,$K216,G:G,"&gt;=0")=0,"",G216-SUMIFS(G:G,$B:$B,$B216,$A:$A,$K216)))</f>
        <v/>
      </c>
    </row>
    <row r="217">
      <c r="A217" s="15" t="n">
        <v>46312</v>
      </c>
      <c r="B217" s="5" t="inlineStr">
        <is>
          <t>Corsair Vengeance RGB DDR5 32GB (2x16) 5600</t>
        </is>
      </c>
      <c r="C217" s="5" t="inlineStr">
        <is>
          <t>RAM</t>
        </is>
      </c>
      <c r="D217" s="7" t="n">
        <v>429.97</v>
      </c>
      <c r="E217" s="7" t="n">
        <v>375</v>
      </c>
      <c r="F217" s="2" t="n"/>
      <c r="G217" s="2" t="n"/>
      <c r="H217" s="9">
        <f>IFERROR(IF(INDEX(Dólar!$B:$B,MATCH(A217,Dólar!$A:$A,0))="","",INDEX(Dólar!$B:$B,MATCH(A217,Dólar!$A:$A,0))),"")</f>
        <v/>
      </c>
      <c r="I217" s="10">
        <f>IFERROR(INDEX(Dólar!$E:$E,MATCH(A217,Dólar!$A:$A,0)),"")</f>
        <v/>
      </c>
      <c r="J217" s="6" t="inlineStr">
        <is>
          <t>ver anuncio</t>
        </is>
      </c>
      <c r="K217" s="15" t="n">
        <v>46311</v>
      </c>
      <c r="L217" s="16">
        <f>IF(OR($K217="",D217=""),"",IF(COUNTIFS($B:$B,$B217,$A:$A,$K217,D:D,"&gt;=0")=0,"",D217-SUMIFS(D:D,$B:$B,$B217,$A:$A,$K217)))</f>
        <v/>
      </c>
      <c r="M217" s="16">
        <f>IF(OR($K217="",E217=""),"",IF(COUNTIFS($B:$B,$B217,$A:$A,$K217,E:E,"&gt;=0")=0,"",E217-SUMIFS(E:E,$B:$B,$B217,$A:$A,$K217)))</f>
        <v/>
      </c>
      <c r="N217" s="16">
        <f>IF(OR($K217="",F217=""),"",IF(COUNTIFS($B:$B,$B217,$A:$A,$K217,F:F,"&gt;=0")=0,"",F217-SUMIFS(F:F,$B:$B,$B217,$A:$A,$K217)))</f>
        <v/>
      </c>
      <c r="O217" s="16">
        <f>IF(OR($K217="",G217=""),"",IF(COUNTIFS($B:$B,$B217,$A:$A,$K217,G:G,"&gt;=0")=0,"",G217-SUMIFS(G:G,$B:$B,$B217,$A:$A,$K217)))</f>
        <v/>
      </c>
    </row>
    <row r="218">
      <c r="A218" s="15" t="n">
        <v>46311</v>
      </c>
      <c r="B218" s="5" t="inlineStr">
        <is>
          <t>SSD NVMe 2TB</t>
        </is>
      </c>
      <c r="C218" s="5" t="inlineStr">
        <is>
          <t>SSD</t>
        </is>
      </c>
      <c r="D218" s="7" t="n">
        <v>209.99</v>
      </c>
      <c r="E218" s="7" t="n">
        <v>161.99</v>
      </c>
      <c r="F218" s="2" t="n"/>
      <c r="G218" s="2" t="n"/>
      <c r="H218" s="9">
        <f>IFERROR(IF(INDEX(Dólar!$B:$B,MATCH(A218,Dólar!$A:$A,0))="","",INDEX(Dólar!$B:$B,MATCH(A218,Dólar!$A:$A,0))),"")</f>
        <v/>
      </c>
      <c r="I218" s="10">
        <f>IFERROR(INDEX(Dólar!$E:$E,MATCH(A218,Dólar!$A:$A,0)),"")</f>
        <v/>
      </c>
      <c r="J218" s="6" t="inlineStr">
        <is>
          <t>ver anuncio</t>
        </is>
      </c>
      <c r="K218" s="15" t="n">
        <v>46310</v>
      </c>
      <c r="L218" s="16">
        <f>IF(OR($K218="",D218=""),"",IF(COUNTIFS($B:$B,$B218,$A:$A,$K218,D:D,"&gt;=0")=0,"",D218-SUMIFS(D:D,$B:$B,$B218,$A:$A,$K218)))</f>
        <v/>
      </c>
      <c r="M218" s="16">
        <f>IF(OR($K218="",E218=""),"",IF(COUNTIFS($B:$B,$B218,$A:$A,$K218,E:E,"&gt;=0")=0,"",E218-SUMIFS(E:E,$B:$B,$B218,$A:$A,$K218)))</f>
        <v/>
      </c>
      <c r="N218" s="16">
        <f>IF(OR($K218="",F218=""),"",IF(COUNTIFS($B:$B,$B218,$A:$A,$K218,F:F,"&gt;=0")=0,"",F218-SUMIFS(F:F,$B:$B,$B218,$A:$A,$K218)))</f>
        <v/>
      </c>
      <c r="O218" s="16">
        <f>IF(OR($K218="",G218=""),"",IF(COUNTIFS($B:$B,$B218,$A:$A,$K218,G:G,"&gt;=0")=0,"",G218-SUMIFS(G:G,$B:$B,$B218,$A:$A,$K218)))</f>
        <v/>
      </c>
    </row>
    <row r="219">
      <c r="A219" s="15" t="n">
        <v>46311</v>
      </c>
      <c r="B219" s="5" t="inlineStr">
        <is>
          <t>SSD NVMe 1TB</t>
        </is>
      </c>
      <c r="C219" s="5" t="inlineStr">
        <is>
          <t>SSD</t>
        </is>
      </c>
      <c r="D219" s="7" t="n">
        <v>110</v>
      </c>
      <c r="E219" s="7" t="n">
        <v>80</v>
      </c>
      <c r="F219" s="8" t="n">
        <v>1730</v>
      </c>
      <c r="G219" s="2" t="n"/>
      <c r="H219" s="9">
        <f>IFERROR(IF(INDEX(Dólar!$B:$B,MATCH(A219,Dólar!$A:$A,0))="","",INDEX(Dólar!$B:$B,MATCH(A219,Dólar!$A:$A,0))),"")</f>
        <v/>
      </c>
      <c r="I219" s="10">
        <f>IFERROR(INDEX(Dólar!$E:$E,MATCH(A219,Dólar!$A:$A,0)),"")</f>
        <v/>
      </c>
      <c r="J219" s="6" t="inlineStr">
        <is>
          <t>ver anuncio</t>
        </is>
      </c>
      <c r="K219" s="15" t="n">
        <v>46310</v>
      </c>
      <c r="L219" s="16">
        <f>IF(OR($K219="",D219=""),"",IF(COUNTIFS($B:$B,$B219,$A:$A,$K219,D:D,"&gt;=0")=0,"",D219-SUMIFS(D:D,$B:$B,$B219,$A:$A,$K219)))</f>
        <v/>
      </c>
      <c r="M219" s="16">
        <f>IF(OR($K219="",E219=""),"",IF(COUNTIFS($B:$B,$B219,$A:$A,$K219,E:E,"&gt;=0")=0,"",E219-SUMIFS(E:E,$B:$B,$B219,$A:$A,$K219)))</f>
        <v/>
      </c>
      <c r="N219" s="16">
        <f>IF(OR($K219="",F219=""),"",IF(COUNTIFS($B:$B,$B219,$A:$A,$K219,F:F,"&gt;=0")=0,"",F219-SUMIFS(F:F,$B:$B,$B219,$A:$A,$K219)))</f>
        <v/>
      </c>
      <c r="O219" s="16">
        <f>IF(OR($K219="",G219=""),"",IF(COUNTIFS($B:$B,$B219,$A:$A,$K219,G:G,"&gt;=0")=0,"",G219-SUMIFS(G:G,$B:$B,$B219,$A:$A,$K219)))</f>
        <v/>
      </c>
    </row>
    <row r="220">
      <c r="A220" s="15" t="n">
        <v>46311</v>
      </c>
      <c r="B220" s="5" t="inlineStr">
        <is>
          <t>Ryzen 9 9950X</t>
        </is>
      </c>
      <c r="C220" s="5" t="inlineStr">
        <is>
          <t>CPU</t>
        </is>
      </c>
      <c r="D220" s="7" t="n">
        <v>549.99</v>
      </c>
      <c r="E220" s="7" t="n">
        <v>454.99</v>
      </c>
      <c r="F220" s="2" t="n"/>
      <c r="G220" s="2" t="n"/>
      <c r="H220" s="9">
        <f>IFERROR(IF(INDEX(Dólar!$B:$B,MATCH(A220,Dólar!$A:$A,0))="","",INDEX(Dólar!$B:$B,MATCH(A220,Dólar!$A:$A,0))),"")</f>
        <v/>
      </c>
      <c r="I220" s="10">
        <f>IFERROR(INDEX(Dólar!$E:$E,MATCH(A220,Dólar!$A:$A,0)),"")</f>
        <v/>
      </c>
      <c r="J220" s="6" t="inlineStr">
        <is>
          <t>ver anuncio</t>
        </is>
      </c>
      <c r="K220" s="15" t="n">
        <v>46310</v>
      </c>
      <c r="L220" s="16">
        <f>IF(OR($K220="",D220=""),"",IF(COUNTIFS($B:$B,$B220,$A:$A,$K220,D:D,"&gt;=0")=0,"",D220-SUMIFS(D:D,$B:$B,$B220,$A:$A,$K220)))</f>
        <v/>
      </c>
      <c r="M220" s="16">
        <f>IF(OR($K220="",E220=""),"",IF(COUNTIFS($B:$B,$B220,$A:$A,$K220,E:E,"&gt;=0")=0,"",E220-SUMIFS(E:E,$B:$B,$B220,$A:$A,$K220)))</f>
        <v/>
      </c>
      <c r="N220" s="16">
        <f>IF(OR($K220="",F220=""),"",IF(COUNTIFS($B:$B,$B220,$A:$A,$K220,F:F,"&gt;=0")=0,"",F220-SUMIFS(F:F,$B:$B,$B220,$A:$A,$K220)))</f>
        <v/>
      </c>
      <c r="O220" s="16">
        <f>IF(OR($K220="",G220=""),"",IF(COUNTIFS($B:$B,$B220,$A:$A,$K220,G:G,"&gt;=0")=0,"",G220-SUMIFS(G:G,$B:$B,$B220,$A:$A,$K220)))</f>
        <v/>
      </c>
    </row>
    <row r="221">
      <c r="A221" s="15" t="n">
        <v>46311</v>
      </c>
      <c r="B221" s="5" t="inlineStr">
        <is>
          <t>Ryzen 7 7800X3D</t>
        </is>
      </c>
      <c r="C221" s="5" t="inlineStr">
        <is>
          <t>CPU</t>
        </is>
      </c>
      <c r="D221" s="7" t="n">
        <v>320</v>
      </c>
      <c r="E221" s="7" t="n">
        <v>279.99</v>
      </c>
      <c r="F221" s="2" t="n"/>
      <c r="G221" s="8" t="n">
        <v>5664</v>
      </c>
      <c r="H221" s="9">
        <f>IFERROR(IF(INDEX(Dólar!$B:$B,MATCH(A221,Dólar!$A:$A,0))="","",INDEX(Dólar!$B:$B,MATCH(A221,Dólar!$A:$A,0))),"")</f>
        <v/>
      </c>
      <c r="I221" s="10">
        <f>IFERROR(INDEX(Dólar!$E:$E,MATCH(A221,Dólar!$A:$A,0)),"")</f>
        <v/>
      </c>
      <c r="J221" s="6" t="inlineStr">
        <is>
          <t>ver anuncio</t>
        </is>
      </c>
      <c r="K221" s="15" t="n">
        <v>46310</v>
      </c>
      <c r="L221" s="16">
        <f>IF(OR($K221="",D221=""),"",IF(COUNTIFS($B:$B,$B221,$A:$A,$K221,D:D,"&gt;=0")=0,"",D221-SUMIFS(D:D,$B:$B,$B221,$A:$A,$K221)))</f>
        <v/>
      </c>
      <c r="M221" s="16">
        <f>IF(OR($K221="",E221=""),"",IF(COUNTIFS($B:$B,$B221,$A:$A,$K221,E:E,"&gt;=0")=0,"",E221-SUMIFS(E:E,$B:$B,$B221,$A:$A,$K221)))</f>
        <v/>
      </c>
      <c r="N221" s="16">
        <f>IF(OR($K221="",F221=""),"",IF(COUNTIFS($B:$B,$B221,$A:$A,$K221,F:F,"&gt;=0")=0,"",F221-SUMIFS(F:F,$B:$B,$B221,$A:$A,$K221)))</f>
        <v/>
      </c>
      <c r="O221" s="16">
        <f>IF(OR($K221="",G221=""),"",IF(COUNTIFS($B:$B,$B221,$A:$A,$K221,G:G,"&gt;=0")=0,"",G221-SUMIFS(G:G,$B:$B,$B221,$A:$A,$K221)))</f>
        <v/>
      </c>
    </row>
    <row r="222">
      <c r="A222" s="15" t="n">
        <v>46311</v>
      </c>
      <c r="B222" s="5" t="inlineStr">
        <is>
          <t>Ryzen 7 5700X3D</t>
        </is>
      </c>
      <c r="C222" s="5" t="inlineStr">
        <is>
          <t>CPU</t>
        </is>
      </c>
      <c r="D222" s="2" t="n"/>
      <c r="E222" s="7" t="n">
        <v>298.01</v>
      </c>
      <c r="F222" s="2" t="n"/>
      <c r="G222" s="2" t="n"/>
      <c r="H222" s="9">
        <f>IFERROR(IF(INDEX(Dólar!$B:$B,MATCH(A222,Dólar!$A:$A,0))="","",INDEX(Dólar!$B:$B,MATCH(A222,Dólar!$A:$A,0))),"")</f>
        <v/>
      </c>
      <c r="I222" s="10">
        <f>IFERROR(INDEX(Dólar!$E:$E,MATCH(A222,Dólar!$A:$A,0)),"")</f>
        <v/>
      </c>
      <c r="J222" s="6" t="inlineStr">
        <is>
          <t>ver anuncio</t>
        </is>
      </c>
      <c r="K222" s="15" t="n">
        <v>46310</v>
      </c>
      <c r="L222" s="16">
        <f>IF(OR($K222="",D222=""),"",IF(COUNTIFS($B:$B,$B222,$A:$A,$K222,D:D,"&gt;=0")=0,"",D222-SUMIFS(D:D,$B:$B,$B222,$A:$A,$K222)))</f>
        <v/>
      </c>
      <c r="M222" s="16">
        <f>IF(OR($K222="",E222=""),"",IF(COUNTIFS($B:$B,$B222,$A:$A,$K222,E:E,"&gt;=0")=0,"",E222-SUMIFS(E:E,$B:$B,$B222,$A:$A,$K222)))</f>
        <v/>
      </c>
      <c r="N222" s="16">
        <f>IF(OR($K222="",F222=""),"",IF(COUNTIFS($B:$B,$B222,$A:$A,$K222,F:F,"&gt;=0")=0,"",F222-SUMIFS(F:F,$B:$B,$B222,$A:$A,$K222)))</f>
        <v/>
      </c>
      <c r="O222" s="16">
        <f>IF(OR($K222="",G222=""),"",IF(COUNTIFS($B:$B,$B222,$A:$A,$K222,G:G,"&gt;=0")=0,"",G222-SUMIFS(G:G,$B:$B,$B222,$A:$A,$K222)))</f>
        <v/>
      </c>
    </row>
    <row r="223">
      <c r="A223" s="15" t="n">
        <v>46311</v>
      </c>
      <c r="B223" s="5" t="inlineStr">
        <is>
          <t>Ryzen 5 7600</t>
        </is>
      </c>
      <c r="C223" s="5" t="inlineStr">
        <is>
          <t>CPU</t>
        </is>
      </c>
      <c r="D223" s="7" t="n">
        <v>141.24</v>
      </c>
      <c r="E223" s="7" t="n">
        <v>120</v>
      </c>
      <c r="F223" s="2" t="n"/>
      <c r="G223" s="8" t="n">
        <v>2850</v>
      </c>
      <c r="H223" s="9">
        <f>IFERROR(IF(INDEX(Dólar!$B:$B,MATCH(A223,Dólar!$A:$A,0))="","",INDEX(Dólar!$B:$B,MATCH(A223,Dólar!$A:$A,0))),"")</f>
        <v/>
      </c>
      <c r="I223" s="10">
        <f>IFERROR(INDEX(Dólar!$E:$E,MATCH(A223,Dólar!$A:$A,0)),"")</f>
        <v/>
      </c>
      <c r="J223" s="6" t="inlineStr">
        <is>
          <t>ver anuncio</t>
        </is>
      </c>
      <c r="K223" s="15" t="n">
        <v>46310</v>
      </c>
      <c r="L223" s="16">
        <f>IF(OR($K223="",D223=""),"",IF(COUNTIFS($B:$B,$B223,$A:$A,$K223,D:D,"&gt;=0")=0,"",D223-SUMIFS(D:D,$B:$B,$B223,$A:$A,$K223)))</f>
        <v/>
      </c>
      <c r="M223" s="16">
        <f>IF(OR($K223="",E223=""),"",IF(COUNTIFS($B:$B,$B223,$A:$A,$K223,E:E,"&gt;=0")=0,"",E223-SUMIFS(E:E,$B:$B,$B223,$A:$A,$K223)))</f>
        <v/>
      </c>
      <c r="N223" s="16">
        <f>IF(OR($K223="",F223=""),"",IF(COUNTIFS($B:$B,$B223,$A:$A,$K223,F:F,"&gt;=0")=0,"",F223-SUMIFS(F:F,$B:$B,$B223,$A:$A,$K223)))</f>
        <v/>
      </c>
      <c r="O223" s="16">
        <f>IF(OR($K223="",G223=""),"",IF(COUNTIFS($B:$B,$B223,$A:$A,$K223,G:G,"&gt;=0")=0,"",G223-SUMIFS(G:G,$B:$B,$B223,$A:$A,$K223)))</f>
        <v/>
      </c>
    </row>
    <row r="224">
      <c r="A224" s="15" t="n">
        <v>46311</v>
      </c>
      <c r="B224" s="5" t="inlineStr">
        <is>
          <t>Ryzen 5 5600</t>
        </is>
      </c>
      <c r="C224" s="5" t="inlineStr">
        <is>
          <t>CPU</t>
        </is>
      </c>
      <c r="D224" s="7" t="n">
        <v>138.9</v>
      </c>
      <c r="E224" s="7" t="n">
        <v>129.99</v>
      </c>
      <c r="F224" s="2" t="n"/>
      <c r="G224" s="2" t="n"/>
      <c r="H224" s="9">
        <f>IFERROR(IF(INDEX(Dólar!$B:$B,MATCH(A224,Dólar!$A:$A,0))="","",INDEX(Dólar!$B:$B,MATCH(A224,Dólar!$A:$A,0))),"")</f>
        <v/>
      </c>
      <c r="I224" s="10">
        <f>IFERROR(INDEX(Dólar!$E:$E,MATCH(A224,Dólar!$A:$A,0)),"")</f>
        <v/>
      </c>
      <c r="J224" s="6" t="inlineStr">
        <is>
          <t>ver anuncio</t>
        </is>
      </c>
      <c r="K224" s="15" t="n">
        <v>46310</v>
      </c>
      <c r="L224" s="16">
        <f>IF(OR($K224="",D224=""),"",IF(COUNTIFS($B:$B,$B224,$A:$A,$K224,D:D,"&gt;=0")=0,"",D224-SUMIFS(D:D,$B:$B,$B224,$A:$A,$K224)))</f>
        <v/>
      </c>
      <c r="M224" s="16">
        <f>IF(OR($K224="",E224=""),"",IF(COUNTIFS($B:$B,$B224,$A:$A,$K224,E:E,"&gt;=0")=0,"",E224-SUMIFS(E:E,$B:$B,$B224,$A:$A,$K224)))</f>
        <v/>
      </c>
      <c r="N224" s="16">
        <f>IF(OR($K224="",F224=""),"",IF(COUNTIFS($B:$B,$B224,$A:$A,$K224,F:F,"&gt;=0")=0,"",F224-SUMIFS(F:F,$B:$B,$B224,$A:$A,$K224)))</f>
        <v/>
      </c>
      <c r="O224" s="16">
        <f>IF(OR($K224="",G224=""),"",IF(COUNTIFS($B:$B,$B224,$A:$A,$K224,G:G,"&gt;=0")=0,"",G224-SUMIFS(G:G,$B:$B,$B224,$A:$A,$K224)))</f>
        <v/>
      </c>
    </row>
    <row r="225">
      <c r="A225" s="15" t="n">
        <v>46311</v>
      </c>
      <c r="B225" s="5" t="inlineStr">
        <is>
          <t>RAM DDR4 16GB (2x8) 3200</t>
        </is>
      </c>
      <c r="C225" s="5" t="inlineStr">
        <is>
          <t>RAM</t>
        </is>
      </c>
      <c r="D225" s="7" t="n">
        <v>118.96</v>
      </c>
      <c r="E225" s="7" t="n">
        <v>73.95</v>
      </c>
      <c r="F225" s="2" t="n"/>
      <c r="G225" s="2" t="n"/>
      <c r="H225" s="9">
        <f>IFERROR(IF(INDEX(Dólar!$B:$B,MATCH(A225,Dólar!$A:$A,0))="","",INDEX(Dólar!$B:$B,MATCH(A225,Dólar!$A:$A,0))),"")</f>
        <v/>
      </c>
      <c r="I225" s="10">
        <f>IFERROR(INDEX(Dólar!$E:$E,MATCH(A225,Dólar!$A:$A,0)),"")</f>
        <v/>
      </c>
      <c r="J225" s="6" t="inlineStr">
        <is>
          <t>ver anuncio</t>
        </is>
      </c>
      <c r="K225" s="15" t="n">
        <v>46310</v>
      </c>
      <c r="L225" s="16">
        <f>IF(OR($K225="",D225=""),"",IF(COUNTIFS($B:$B,$B225,$A:$A,$K225,D:D,"&gt;=0")=0,"",D225-SUMIFS(D:D,$B:$B,$B225,$A:$A,$K225)))</f>
        <v/>
      </c>
      <c r="M225" s="16">
        <f>IF(OR($K225="",E225=""),"",IF(COUNTIFS($B:$B,$B225,$A:$A,$K225,E:E,"&gt;=0")=0,"",E225-SUMIFS(E:E,$B:$B,$B225,$A:$A,$K225)))</f>
        <v/>
      </c>
      <c r="N225" s="16">
        <f>IF(OR($K225="",F225=""),"",IF(COUNTIFS($B:$B,$B225,$A:$A,$K225,F:F,"&gt;=0")=0,"",F225-SUMIFS(F:F,$B:$B,$B225,$A:$A,$K225)))</f>
        <v/>
      </c>
      <c r="O225" s="16">
        <f>IF(OR($K225="",G225=""),"",IF(COUNTIFS($B:$B,$B225,$A:$A,$K225,G:G,"&gt;=0")=0,"",G225-SUMIFS(G:G,$B:$B,$B225,$A:$A,$K225)))</f>
        <v/>
      </c>
    </row>
    <row r="226">
      <c r="A226" s="15" t="n">
        <v>46311</v>
      </c>
      <c r="B226" s="5" t="inlineStr">
        <is>
          <t>Intel Core i5-14400F</t>
        </is>
      </c>
      <c r="C226" s="5" t="inlineStr">
        <is>
          <t>CPU</t>
        </is>
      </c>
      <c r="D226" s="7" t="n">
        <v>164.49</v>
      </c>
      <c r="E226" s="7" t="n">
        <v>139.99</v>
      </c>
      <c r="F226" s="2" t="n"/>
      <c r="G226" s="8" t="n">
        <v>2384</v>
      </c>
      <c r="H226" s="9">
        <f>IFERROR(IF(INDEX(Dólar!$B:$B,MATCH(A226,Dólar!$A:$A,0))="","",INDEX(Dólar!$B:$B,MATCH(A226,Dólar!$A:$A,0))),"")</f>
        <v/>
      </c>
      <c r="I226" s="10">
        <f>IFERROR(INDEX(Dólar!$E:$E,MATCH(A226,Dólar!$A:$A,0)),"")</f>
        <v/>
      </c>
      <c r="J226" s="6" t="inlineStr">
        <is>
          <t>ver anuncio</t>
        </is>
      </c>
      <c r="K226" s="15" t="n">
        <v>46310</v>
      </c>
      <c r="L226" s="16">
        <f>IF(OR($K226="",D226=""),"",IF(COUNTIFS($B:$B,$B226,$A:$A,$K226,D:D,"&gt;=0")=0,"",D226-SUMIFS(D:D,$B:$B,$B226,$A:$A,$K226)))</f>
        <v/>
      </c>
      <c r="M226" s="16">
        <f>IF(OR($K226="",E226=""),"",IF(COUNTIFS($B:$B,$B226,$A:$A,$K226,E:E,"&gt;=0")=0,"",E226-SUMIFS(E:E,$B:$B,$B226,$A:$A,$K226)))</f>
        <v/>
      </c>
      <c r="N226" s="16">
        <f>IF(OR($K226="",F226=""),"",IF(COUNTIFS($B:$B,$B226,$A:$A,$K226,F:F,"&gt;=0")=0,"",F226-SUMIFS(F:F,$B:$B,$B226,$A:$A,$K226)))</f>
        <v/>
      </c>
      <c r="O226" s="16">
        <f>IF(OR($K226="",G226=""),"",IF(COUNTIFS($B:$B,$B226,$A:$A,$K226,G:G,"&gt;=0")=0,"",G226-SUMIFS(G:G,$B:$B,$B226,$A:$A,$K226)))</f>
        <v/>
      </c>
    </row>
    <row r="227">
      <c r="A227" s="15" t="n">
        <v>46311</v>
      </c>
      <c r="B227" s="5" t="inlineStr">
        <is>
          <t>Intel Core i5-13400</t>
        </is>
      </c>
      <c r="C227" s="5" t="inlineStr">
        <is>
          <t>CPU</t>
        </is>
      </c>
      <c r="D227" s="2" t="n"/>
      <c r="E227" s="7" t="n">
        <v>149.99</v>
      </c>
      <c r="F227" s="2" t="n"/>
      <c r="G227" s="2" t="n"/>
      <c r="H227" s="9">
        <f>IFERROR(IF(INDEX(Dólar!$B:$B,MATCH(A227,Dólar!$A:$A,0))="","",INDEX(Dólar!$B:$B,MATCH(A227,Dólar!$A:$A,0))),"")</f>
        <v/>
      </c>
      <c r="I227" s="10">
        <f>IFERROR(INDEX(Dólar!$E:$E,MATCH(A227,Dólar!$A:$A,0)),"")</f>
        <v/>
      </c>
      <c r="J227" s="6" t="inlineStr">
        <is>
          <t>ver anuncio</t>
        </is>
      </c>
      <c r="K227" s="15" t="n">
        <v>46310</v>
      </c>
      <c r="L227" s="16">
        <f>IF(OR($K227="",D227=""),"",IF(COUNTIFS($B:$B,$B227,$A:$A,$K227,D:D,"&gt;=0")=0,"",D227-SUMIFS(D:D,$B:$B,$B227,$A:$A,$K227)))</f>
        <v/>
      </c>
      <c r="M227" s="16">
        <f>IF(OR($K227="",E227=""),"",IF(COUNTIFS($B:$B,$B227,$A:$A,$K227,E:E,"&gt;=0")=0,"",E227-SUMIFS(E:E,$B:$B,$B227,$A:$A,$K227)))</f>
        <v/>
      </c>
      <c r="N227" s="16">
        <f>IF(OR($K227="",F227=""),"",IF(COUNTIFS($B:$B,$B227,$A:$A,$K227,F:F,"&gt;=0")=0,"",F227-SUMIFS(F:F,$B:$B,$B227,$A:$A,$K227)))</f>
        <v/>
      </c>
      <c r="O227" s="16">
        <f>IF(OR($K227="",G227=""),"",IF(COUNTIFS($B:$B,$B227,$A:$A,$K227,G:G,"&gt;=0")=0,"",G227-SUMIFS(G:G,$B:$B,$B227,$A:$A,$K227)))</f>
        <v/>
      </c>
    </row>
    <row r="228">
      <c r="A228" s="15" t="n">
        <v>46311</v>
      </c>
      <c r="B228" s="5" t="inlineStr">
        <is>
          <t>Intel Core i5-12400F</t>
        </is>
      </c>
      <c r="C228" s="5" t="inlineStr">
        <is>
          <t>CPU</t>
        </is>
      </c>
      <c r="D228" s="7" t="n">
        <v>150</v>
      </c>
      <c r="E228" s="7" t="n">
        <v>120.99</v>
      </c>
      <c r="F228" s="2" t="n"/>
      <c r="G228" s="2" t="n"/>
      <c r="H228" s="9">
        <f>IFERROR(IF(INDEX(Dólar!$B:$B,MATCH(A228,Dólar!$A:$A,0))="","",INDEX(Dólar!$B:$B,MATCH(A228,Dólar!$A:$A,0))),"")</f>
        <v/>
      </c>
      <c r="I228" s="10">
        <f>IFERROR(INDEX(Dólar!$E:$E,MATCH(A228,Dólar!$A:$A,0)),"")</f>
        <v/>
      </c>
      <c r="J228" s="6" t="inlineStr">
        <is>
          <t>ver anuncio</t>
        </is>
      </c>
      <c r="K228" s="15" t="n">
        <v>46310</v>
      </c>
      <c r="L228" s="16">
        <f>IF(OR($K228="",D228=""),"",IF(COUNTIFS($B:$B,$B228,$A:$A,$K228,D:D,"&gt;=0")=0,"",D228-SUMIFS(D:D,$B:$B,$B228,$A:$A,$K228)))</f>
        <v/>
      </c>
      <c r="M228" s="16">
        <f>IF(OR($K228="",E228=""),"",IF(COUNTIFS($B:$B,$B228,$A:$A,$K228,E:E,"&gt;=0")=0,"",E228-SUMIFS(E:E,$B:$B,$B228,$A:$A,$K228)))</f>
        <v/>
      </c>
      <c r="N228" s="16">
        <f>IF(OR($K228="",F228=""),"",IF(COUNTIFS($B:$B,$B228,$A:$A,$K228,F:F,"&gt;=0")=0,"",F228-SUMIFS(F:F,$B:$B,$B228,$A:$A,$K228)))</f>
        <v/>
      </c>
      <c r="O228" s="16">
        <f>IF(OR($K228="",G228=""),"",IF(COUNTIFS($B:$B,$B228,$A:$A,$K228,G:G,"&gt;=0")=0,"",G228-SUMIFS(G:G,$B:$B,$B228,$A:$A,$K228)))</f>
        <v/>
      </c>
    </row>
    <row r="229">
      <c r="A229" s="15" t="n">
        <v>46311</v>
      </c>
      <c r="B229" s="5" t="inlineStr">
        <is>
          <t>Intel Core Ultra 7 265K</t>
        </is>
      </c>
      <c r="C229" s="5" t="inlineStr">
        <is>
          <t>CPU</t>
        </is>
      </c>
      <c r="D229" s="7" t="n">
        <v>234.99</v>
      </c>
      <c r="E229" s="7" t="n">
        <v>229</v>
      </c>
      <c r="F229" s="2" t="n"/>
      <c r="G229" s="2" t="n"/>
      <c r="H229" s="9">
        <f>IFERROR(IF(INDEX(Dólar!$B:$B,MATCH(A229,Dólar!$A:$A,0))="","",INDEX(Dólar!$B:$B,MATCH(A229,Dólar!$A:$A,0))),"")</f>
        <v/>
      </c>
      <c r="I229" s="10">
        <f>IFERROR(INDEX(Dólar!$E:$E,MATCH(A229,Dólar!$A:$A,0)),"")</f>
        <v/>
      </c>
      <c r="J229" s="6" t="inlineStr">
        <is>
          <t>ver anuncio</t>
        </is>
      </c>
      <c r="K229" s="15" t="n">
        <v>46310</v>
      </c>
      <c r="L229" s="16">
        <f>IF(OR($K229="",D229=""),"",IF(COUNTIFS($B:$B,$B229,$A:$A,$K229,D:D,"&gt;=0")=0,"",D229-SUMIFS(D:D,$B:$B,$B229,$A:$A,$K229)))</f>
        <v/>
      </c>
      <c r="M229" s="16">
        <f>IF(OR($K229="",E229=""),"",IF(COUNTIFS($B:$B,$B229,$A:$A,$K229,E:E,"&gt;=0")=0,"",E229-SUMIFS(E:E,$B:$B,$B229,$A:$A,$K229)))</f>
        <v/>
      </c>
      <c r="N229" s="16">
        <f>IF(OR($K229="",F229=""),"",IF(COUNTIFS($B:$B,$B229,$A:$A,$K229,F:F,"&gt;=0")=0,"",F229-SUMIFS(F:F,$B:$B,$B229,$A:$A,$K229)))</f>
        <v/>
      </c>
      <c r="O229" s="16">
        <f>IF(OR($K229="",G229=""),"",IF(COUNTIFS($B:$B,$B229,$A:$A,$K229,G:G,"&gt;=0")=0,"",G229-SUMIFS(G:G,$B:$B,$B229,$A:$A,$K229)))</f>
        <v/>
      </c>
    </row>
    <row r="230">
      <c r="A230" s="15" t="n">
        <v>46311</v>
      </c>
      <c r="B230" s="5" t="inlineStr">
        <is>
          <t>Corsair Vengeance RGB DDR5 32GB (2x16) 6000</t>
        </is>
      </c>
      <c r="C230" s="5" t="inlineStr">
        <is>
          <t>RAM</t>
        </is>
      </c>
      <c r="D230" s="7" t="n">
        <v>474.49</v>
      </c>
      <c r="E230" s="7" t="n">
        <v>389.99</v>
      </c>
      <c r="F230" s="2" t="n"/>
      <c r="G230" s="2" t="n"/>
      <c r="H230" s="9">
        <f>IFERROR(IF(INDEX(Dólar!$B:$B,MATCH(A230,Dólar!$A:$A,0))="","",INDEX(Dólar!$B:$B,MATCH(A230,Dólar!$A:$A,0))),"")</f>
        <v/>
      </c>
      <c r="I230" s="10">
        <f>IFERROR(INDEX(Dólar!$E:$E,MATCH(A230,Dólar!$A:$A,0)),"")</f>
        <v/>
      </c>
      <c r="J230" s="6" t="inlineStr">
        <is>
          <t>ver anuncio</t>
        </is>
      </c>
      <c r="K230" s="15" t="n">
        <v>46310</v>
      </c>
      <c r="L230" s="16">
        <f>IF(OR($K230="",D230=""),"",IF(COUNTIFS($B:$B,$B230,$A:$A,$K230,D:D,"&gt;=0")=0,"",D230-SUMIFS(D:D,$B:$B,$B230,$A:$A,$K230)))</f>
        <v/>
      </c>
      <c r="M230" s="16">
        <f>IF(OR($K230="",E230=""),"",IF(COUNTIFS($B:$B,$B230,$A:$A,$K230,E:E,"&gt;=0")=0,"",E230-SUMIFS(E:E,$B:$B,$B230,$A:$A,$K230)))</f>
        <v/>
      </c>
      <c r="N230" s="16">
        <f>IF(OR($K230="",F230=""),"",IF(COUNTIFS($B:$B,$B230,$A:$A,$K230,F:F,"&gt;=0")=0,"",F230-SUMIFS(F:F,$B:$B,$B230,$A:$A,$K230)))</f>
        <v/>
      </c>
      <c r="O230" s="16">
        <f>IF(OR($K230="",G230=""),"",IF(COUNTIFS($B:$B,$B230,$A:$A,$K230,G:G,"&gt;=0")=0,"",G230-SUMIFS(G:G,$B:$B,$B230,$A:$A,$K230)))</f>
        <v/>
      </c>
    </row>
    <row r="231">
      <c r="A231" s="15" t="n">
        <v>46311</v>
      </c>
      <c r="B231" s="5" t="inlineStr">
        <is>
          <t>Corsair Vengeance RGB DDR5 32GB (2x16) 5600</t>
        </is>
      </c>
      <c r="C231" s="5" t="inlineStr">
        <is>
          <t>RAM</t>
        </is>
      </c>
      <c r="D231" s="7" t="n">
        <v>429.97</v>
      </c>
      <c r="E231" s="7" t="n">
        <v>379.99</v>
      </c>
      <c r="F231" s="2" t="n"/>
      <c r="G231" s="2" t="n"/>
      <c r="H231" s="9">
        <f>IFERROR(IF(INDEX(Dólar!$B:$B,MATCH(A231,Dólar!$A:$A,0))="","",INDEX(Dólar!$B:$B,MATCH(A231,Dólar!$A:$A,0))),"")</f>
        <v/>
      </c>
      <c r="I231" s="10">
        <f>IFERROR(INDEX(Dólar!$E:$E,MATCH(A231,Dólar!$A:$A,0)),"")</f>
        <v/>
      </c>
      <c r="J231" s="6" t="inlineStr">
        <is>
          <t>ver anuncio</t>
        </is>
      </c>
      <c r="K231" s="15" t="n">
        <v>46310</v>
      </c>
      <c r="L231" s="16">
        <f>IF(OR($K231="",D231=""),"",IF(COUNTIFS($B:$B,$B231,$A:$A,$K231,D:D,"&gt;=0")=0,"",D231-SUMIFS(D:D,$B:$B,$B231,$A:$A,$K231)))</f>
        <v/>
      </c>
      <c r="M231" s="16">
        <f>IF(OR($K231="",E231=""),"",IF(COUNTIFS($B:$B,$B231,$A:$A,$K231,E:E,"&gt;=0")=0,"",E231-SUMIFS(E:E,$B:$B,$B231,$A:$A,$K231)))</f>
        <v/>
      </c>
      <c r="N231" s="16">
        <f>IF(OR($K231="",F231=""),"",IF(COUNTIFS($B:$B,$B231,$A:$A,$K231,F:F,"&gt;=0")=0,"",F231-SUMIFS(F:F,$B:$B,$B231,$A:$A,$K231)))</f>
        <v/>
      </c>
      <c r="O231" s="16">
        <f>IF(OR($K231="",G231=""),"",IF(COUNTIFS($B:$B,$B231,$A:$A,$K231,G:G,"&gt;=0")=0,"",G231-SUMIFS(G:G,$B:$B,$B231,$A:$A,$K231)))</f>
        <v/>
      </c>
    </row>
    <row r="232">
      <c r="A232" s="15" t="n">
        <v>46310</v>
      </c>
      <c r="B232" s="5" t="inlineStr">
        <is>
          <t>SSD NVMe 2TB</t>
        </is>
      </c>
      <c r="C232" s="5" t="inlineStr">
        <is>
          <t>SSD</t>
        </is>
      </c>
      <c r="D232" s="7" t="n">
        <v>209.99</v>
      </c>
      <c r="E232" s="7" t="n">
        <v>175</v>
      </c>
      <c r="F232" s="2" t="n"/>
      <c r="G232" s="2" t="n"/>
      <c r="H232" s="9">
        <f>IFERROR(IF(INDEX(Dólar!$B:$B,MATCH(A232,Dólar!$A:$A,0))="","",INDEX(Dólar!$B:$B,MATCH(A232,Dólar!$A:$A,0))),"")</f>
        <v/>
      </c>
      <c r="I232" s="10">
        <f>IFERROR(INDEX(Dólar!$E:$E,MATCH(A232,Dólar!$A:$A,0)),"")</f>
        <v/>
      </c>
      <c r="J232" s="6" t="inlineStr">
        <is>
          <t>ver anuncio</t>
        </is>
      </c>
      <c r="K232" s="15" t="n">
        <v>46309</v>
      </c>
      <c r="L232" s="16">
        <f>IF(OR($K232="",D232=""),"",IF(COUNTIFS($B:$B,$B232,$A:$A,$K232,D:D,"&gt;=0")=0,"",D232-SUMIFS(D:D,$B:$B,$B232,$A:$A,$K232)))</f>
        <v/>
      </c>
      <c r="M232" s="16">
        <f>IF(OR($K232="",E232=""),"",IF(COUNTIFS($B:$B,$B232,$A:$A,$K232,E:E,"&gt;=0")=0,"",E232-SUMIFS(E:E,$B:$B,$B232,$A:$A,$K232)))</f>
        <v/>
      </c>
      <c r="N232" s="16">
        <f>IF(OR($K232="",F232=""),"",IF(COUNTIFS($B:$B,$B232,$A:$A,$K232,F:F,"&gt;=0")=0,"",F232-SUMIFS(F:F,$B:$B,$B232,$A:$A,$K232)))</f>
        <v/>
      </c>
      <c r="O232" s="16">
        <f>IF(OR($K232="",G232=""),"",IF(COUNTIFS($B:$B,$B232,$A:$A,$K232,G:G,"&gt;=0")=0,"",G232-SUMIFS(G:G,$B:$B,$B232,$A:$A,$K232)))</f>
        <v/>
      </c>
    </row>
    <row r="233">
      <c r="A233" s="15" t="n">
        <v>46310</v>
      </c>
      <c r="B233" s="5" t="inlineStr">
        <is>
          <t>SSD NVMe 1TB</t>
        </is>
      </c>
      <c r="C233" s="5" t="inlineStr">
        <is>
          <t>SSD</t>
        </is>
      </c>
      <c r="D233" s="7" t="n">
        <v>128.99</v>
      </c>
      <c r="E233" s="7" t="n">
        <v>80</v>
      </c>
      <c r="F233" s="2" t="n"/>
      <c r="G233" s="8" t="n">
        <v>1754</v>
      </c>
      <c r="H233" s="9">
        <f>IFERROR(IF(INDEX(Dólar!$B:$B,MATCH(A233,Dólar!$A:$A,0))="","",INDEX(Dólar!$B:$B,MATCH(A233,Dólar!$A:$A,0))),"")</f>
        <v/>
      </c>
      <c r="I233" s="10">
        <f>IFERROR(INDEX(Dólar!$E:$E,MATCH(A233,Dólar!$A:$A,0)),"")</f>
        <v/>
      </c>
      <c r="J233" s="6" t="inlineStr">
        <is>
          <t>ver anuncio</t>
        </is>
      </c>
      <c r="K233" s="15" t="n">
        <v>46309</v>
      </c>
      <c r="L233" s="16">
        <f>IF(OR($K233="",D233=""),"",IF(COUNTIFS($B:$B,$B233,$A:$A,$K233,D:D,"&gt;=0")=0,"",D233-SUMIFS(D:D,$B:$B,$B233,$A:$A,$K233)))</f>
        <v/>
      </c>
      <c r="M233" s="16">
        <f>IF(OR($K233="",E233=""),"",IF(COUNTIFS($B:$B,$B233,$A:$A,$K233,E:E,"&gt;=0")=0,"",E233-SUMIFS(E:E,$B:$B,$B233,$A:$A,$K233)))</f>
        <v/>
      </c>
      <c r="N233" s="16">
        <f>IF(OR($K233="",F233=""),"",IF(COUNTIFS($B:$B,$B233,$A:$A,$K233,F:F,"&gt;=0")=0,"",F233-SUMIFS(F:F,$B:$B,$B233,$A:$A,$K233)))</f>
        <v/>
      </c>
      <c r="O233" s="16">
        <f>IF(OR($K233="",G233=""),"",IF(COUNTIFS($B:$B,$B233,$A:$A,$K233,G:G,"&gt;=0")=0,"",G233-SUMIFS(G:G,$B:$B,$B233,$A:$A,$K233)))</f>
        <v/>
      </c>
    </row>
    <row r="234">
      <c r="A234" s="15" t="n">
        <v>46310</v>
      </c>
      <c r="B234" s="5" t="inlineStr">
        <is>
          <t>Ryzen 9 9950X</t>
        </is>
      </c>
      <c r="C234" s="5" t="inlineStr">
        <is>
          <t>CPU</t>
        </is>
      </c>
      <c r="D234" s="7" t="n">
        <v>689.34</v>
      </c>
      <c r="E234" s="7" t="n">
        <v>375</v>
      </c>
      <c r="F234" s="2" t="n"/>
      <c r="G234" s="2" t="n"/>
      <c r="H234" s="9">
        <f>IFERROR(IF(INDEX(Dólar!$B:$B,MATCH(A234,Dólar!$A:$A,0))="","",INDEX(Dólar!$B:$B,MATCH(A234,Dólar!$A:$A,0))),"")</f>
        <v/>
      </c>
      <c r="I234" s="10">
        <f>IFERROR(INDEX(Dólar!$E:$E,MATCH(A234,Dólar!$A:$A,0)),"")</f>
        <v/>
      </c>
      <c r="J234" s="6" t="inlineStr">
        <is>
          <t>ver anuncio</t>
        </is>
      </c>
      <c r="K234" s="15" t="n">
        <v>46309</v>
      </c>
      <c r="L234" s="16">
        <f>IF(OR($K234="",D234=""),"",IF(COUNTIFS($B:$B,$B234,$A:$A,$K234,D:D,"&gt;=0")=0,"",D234-SUMIFS(D:D,$B:$B,$B234,$A:$A,$K234)))</f>
        <v/>
      </c>
      <c r="M234" s="16">
        <f>IF(OR($K234="",E234=""),"",IF(COUNTIFS($B:$B,$B234,$A:$A,$K234,E:E,"&gt;=0")=0,"",E234-SUMIFS(E:E,$B:$B,$B234,$A:$A,$K234)))</f>
        <v/>
      </c>
      <c r="N234" s="16">
        <f>IF(OR($K234="",F234=""),"",IF(COUNTIFS($B:$B,$B234,$A:$A,$K234,F:F,"&gt;=0")=0,"",F234-SUMIFS(F:F,$B:$B,$B234,$A:$A,$K234)))</f>
        <v/>
      </c>
      <c r="O234" s="16">
        <f>IF(OR($K234="",G234=""),"",IF(COUNTIFS($B:$B,$B234,$A:$A,$K234,G:G,"&gt;=0")=0,"",G234-SUMIFS(G:G,$B:$B,$B234,$A:$A,$K234)))</f>
        <v/>
      </c>
    </row>
    <row r="235">
      <c r="A235" s="15" t="n">
        <v>46310</v>
      </c>
      <c r="B235" s="5" t="inlineStr">
        <is>
          <t>Ryzen 7 7800X3D</t>
        </is>
      </c>
      <c r="C235" s="5" t="inlineStr">
        <is>
          <t>CPU</t>
        </is>
      </c>
      <c r="D235" s="7" t="n">
        <v>320</v>
      </c>
      <c r="E235" s="7" t="n">
        <v>279.99</v>
      </c>
      <c r="F235" s="2" t="n"/>
      <c r="G235" s="8" t="n">
        <v>5890</v>
      </c>
      <c r="H235" s="9">
        <f>IFERROR(IF(INDEX(Dólar!$B:$B,MATCH(A235,Dólar!$A:$A,0))="","",INDEX(Dólar!$B:$B,MATCH(A235,Dólar!$A:$A,0))),"")</f>
        <v/>
      </c>
      <c r="I235" s="10">
        <f>IFERROR(INDEX(Dólar!$E:$E,MATCH(A235,Dólar!$A:$A,0)),"")</f>
        <v/>
      </c>
      <c r="J235" s="6" t="inlineStr">
        <is>
          <t>ver anuncio</t>
        </is>
      </c>
      <c r="K235" s="15" t="n">
        <v>46309</v>
      </c>
      <c r="L235" s="16">
        <f>IF(OR($K235="",D235=""),"",IF(COUNTIFS($B:$B,$B235,$A:$A,$K235,D:D,"&gt;=0")=0,"",D235-SUMIFS(D:D,$B:$B,$B235,$A:$A,$K235)))</f>
        <v/>
      </c>
      <c r="M235" s="16">
        <f>IF(OR($K235="",E235=""),"",IF(COUNTIFS($B:$B,$B235,$A:$A,$K235,E:E,"&gt;=0")=0,"",E235-SUMIFS(E:E,$B:$B,$B235,$A:$A,$K235)))</f>
        <v/>
      </c>
      <c r="N235" s="16">
        <f>IF(OR($K235="",F235=""),"",IF(COUNTIFS($B:$B,$B235,$A:$A,$K235,F:F,"&gt;=0")=0,"",F235-SUMIFS(F:F,$B:$B,$B235,$A:$A,$K235)))</f>
        <v/>
      </c>
      <c r="O235" s="16">
        <f>IF(OR($K235="",G235=""),"",IF(COUNTIFS($B:$B,$B235,$A:$A,$K235,G:G,"&gt;=0")=0,"",G235-SUMIFS(G:G,$B:$B,$B235,$A:$A,$K235)))</f>
        <v/>
      </c>
    </row>
    <row r="236">
      <c r="A236" s="15" t="n">
        <v>46310</v>
      </c>
      <c r="B236" s="5" t="inlineStr">
        <is>
          <t>Ryzen 7 7700X</t>
        </is>
      </c>
      <c r="C236" s="5" t="inlineStr">
        <is>
          <t>CPU</t>
        </is>
      </c>
      <c r="D236" s="2" t="n"/>
      <c r="E236" s="2" t="n"/>
      <c r="F236" s="2" t="n"/>
      <c r="G236" s="8" t="n">
        <v>3480</v>
      </c>
      <c r="H236" s="9">
        <f>IFERROR(IF(INDEX(Dólar!$B:$B,MATCH(A236,Dólar!$A:$A,0))="","",INDEX(Dólar!$B:$B,MATCH(A236,Dólar!$A:$A,0))),"")</f>
        <v/>
      </c>
      <c r="I236" s="10">
        <f>IFERROR(INDEX(Dólar!$E:$E,MATCH(A236,Dólar!$A:$A,0)),"")</f>
        <v/>
      </c>
      <c r="J236" s="2" t="n"/>
      <c r="K236" s="5" t="n"/>
      <c r="L236" s="16">
        <f>IF(OR($K236="",D236=""),"",IF(COUNTIFS($B:$B,$B236,$A:$A,$K236,D:D,"&gt;=0")=0,"",D236-SUMIFS(D:D,$B:$B,$B236,$A:$A,$K236)))</f>
        <v/>
      </c>
      <c r="M236" s="16">
        <f>IF(OR($K236="",E236=""),"",IF(COUNTIFS($B:$B,$B236,$A:$A,$K236,E:E,"&gt;=0")=0,"",E236-SUMIFS(E:E,$B:$B,$B236,$A:$A,$K236)))</f>
        <v/>
      </c>
      <c r="N236" s="16">
        <f>IF(OR($K236="",F236=""),"",IF(COUNTIFS($B:$B,$B236,$A:$A,$K236,F:F,"&gt;=0")=0,"",F236-SUMIFS(F:F,$B:$B,$B236,$A:$A,$K236)))</f>
        <v/>
      </c>
      <c r="O236" s="16">
        <f>IF(OR($K236="",G236=""),"",IF(COUNTIFS($B:$B,$B236,$A:$A,$K236,G:G,"&gt;=0")=0,"",G236-SUMIFS(G:G,$B:$B,$B236,$A:$A,$K236)))</f>
        <v/>
      </c>
    </row>
    <row r="237">
      <c r="A237" s="15" t="n">
        <v>46310</v>
      </c>
      <c r="B237" s="5" t="inlineStr">
        <is>
          <t>Ryzen 7 5700X3D</t>
        </is>
      </c>
      <c r="C237" s="5" t="inlineStr">
        <is>
          <t>CPU</t>
        </is>
      </c>
      <c r="D237" s="2" t="n"/>
      <c r="E237" s="7" t="n">
        <v>295</v>
      </c>
      <c r="F237" s="2" t="n"/>
      <c r="G237" s="2" t="n"/>
      <c r="H237" s="9">
        <f>IFERROR(IF(INDEX(Dólar!$B:$B,MATCH(A237,Dólar!$A:$A,0))="","",INDEX(Dólar!$B:$B,MATCH(A237,Dólar!$A:$A,0))),"")</f>
        <v/>
      </c>
      <c r="I237" s="10">
        <f>IFERROR(INDEX(Dólar!$E:$E,MATCH(A237,Dólar!$A:$A,0)),"")</f>
        <v/>
      </c>
      <c r="J237" s="6" t="inlineStr">
        <is>
          <t>ver anuncio</t>
        </is>
      </c>
      <c r="K237" s="15" t="n">
        <v>46309</v>
      </c>
      <c r="L237" s="16">
        <f>IF(OR($K237="",D237=""),"",IF(COUNTIFS($B:$B,$B237,$A:$A,$K237,D:D,"&gt;=0")=0,"",D237-SUMIFS(D:D,$B:$B,$B237,$A:$A,$K237)))</f>
        <v/>
      </c>
      <c r="M237" s="16">
        <f>IF(OR($K237="",E237=""),"",IF(COUNTIFS($B:$B,$B237,$A:$A,$K237,E:E,"&gt;=0")=0,"",E237-SUMIFS(E:E,$B:$B,$B237,$A:$A,$K237)))</f>
        <v/>
      </c>
      <c r="N237" s="16">
        <f>IF(OR($K237="",F237=""),"",IF(COUNTIFS($B:$B,$B237,$A:$A,$K237,F:F,"&gt;=0")=0,"",F237-SUMIFS(F:F,$B:$B,$B237,$A:$A,$K237)))</f>
        <v/>
      </c>
      <c r="O237" s="16">
        <f>IF(OR($K237="",G237=""),"",IF(COUNTIFS($B:$B,$B237,$A:$A,$K237,G:G,"&gt;=0")=0,"",G237-SUMIFS(G:G,$B:$B,$B237,$A:$A,$K237)))</f>
        <v/>
      </c>
    </row>
    <row r="238">
      <c r="A238" s="15" t="n">
        <v>46310</v>
      </c>
      <c r="B238" s="5" t="inlineStr">
        <is>
          <t>Ryzen 5 7600</t>
        </is>
      </c>
      <c r="C238" s="5" t="inlineStr">
        <is>
          <t>CPU</t>
        </is>
      </c>
      <c r="D238" s="7" t="n">
        <v>142.24</v>
      </c>
      <c r="E238" s="7" t="n">
        <v>120</v>
      </c>
      <c r="F238" s="2" t="n"/>
      <c r="G238" s="8" t="n">
        <v>2800</v>
      </c>
      <c r="H238" s="9">
        <f>IFERROR(IF(INDEX(Dólar!$B:$B,MATCH(A238,Dólar!$A:$A,0))="","",INDEX(Dólar!$B:$B,MATCH(A238,Dólar!$A:$A,0))),"")</f>
        <v/>
      </c>
      <c r="I238" s="10">
        <f>IFERROR(INDEX(Dólar!$E:$E,MATCH(A238,Dólar!$A:$A,0)),"")</f>
        <v/>
      </c>
      <c r="J238" s="6" t="inlineStr">
        <is>
          <t>ver anuncio</t>
        </is>
      </c>
      <c r="K238" s="15" t="n">
        <v>46309</v>
      </c>
      <c r="L238" s="16">
        <f>IF(OR($K238="",D238=""),"",IF(COUNTIFS($B:$B,$B238,$A:$A,$K238,D:D,"&gt;=0")=0,"",D238-SUMIFS(D:D,$B:$B,$B238,$A:$A,$K238)))</f>
        <v/>
      </c>
      <c r="M238" s="16">
        <f>IF(OR($K238="",E238=""),"",IF(COUNTIFS($B:$B,$B238,$A:$A,$K238,E:E,"&gt;=0")=0,"",E238-SUMIFS(E:E,$B:$B,$B238,$A:$A,$K238)))</f>
        <v/>
      </c>
      <c r="N238" s="16">
        <f>IF(OR($K238="",F238=""),"",IF(COUNTIFS($B:$B,$B238,$A:$A,$K238,F:F,"&gt;=0")=0,"",F238-SUMIFS(F:F,$B:$B,$B238,$A:$A,$K238)))</f>
        <v/>
      </c>
      <c r="O238" s="16">
        <f>IF(OR($K238="",G238=""),"",IF(COUNTIFS($B:$B,$B238,$A:$A,$K238,G:G,"&gt;=0")=0,"",G238-SUMIFS(G:G,$B:$B,$B238,$A:$A,$K238)))</f>
        <v/>
      </c>
    </row>
    <row r="239">
      <c r="A239" s="15" t="n">
        <v>46310</v>
      </c>
      <c r="B239" s="5" t="inlineStr">
        <is>
          <t>Ryzen 5 5600</t>
        </is>
      </c>
      <c r="C239" s="5" t="inlineStr">
        <is>
          <t>CPU</t>
        </is>
      </c>
      <c r="D239" s="7" t="n">
        <v>138.9</v>
      </c>
      <c r="E239" s="7" t="n">
        <v>135</v>
      </c>
      <c r="F239" s="2" t="n"/>
      <c r="G239" s="2" t="n"/>
      <c r="H239" s="9">
        <f>IFERROR(IF(INDEX(Dólar!$B:$B,MATCH(A239,Dólar!$A:$A,0))="","",INDEX(Dólar!$B:$B,MATCH(A239,Dólar!$A:$A,0))),"")</f>
        <v/>
      </c>
      <c r="I239" s="10">
        <f>IFERROR(INDEX(Dólar!$E:$E,MATCH(A239,Dólar!$A:$A,0)),"")</f>
        <v/>
      </c>
      <c r="J239" s="6" t="inlineStr">
        <is>
          <t>ver anuncio</t>
        </is>
      </c>
      <c r="K239" s="15" t="n">
        <v>46309</v>
      </c>
      <c r="L239" s="16">
        <f>IF(OR($K239="",D239=""),"",IF(COUNTIFS($B:$B,$B239,$A:$A,$K239,D:D,"&gt;=0")=0,"",D239-SUMIFS(D:D,$B:$B,$B239,$A:$A,$K239)))</f>
        <v/>
      </c>
      <c r="M239" s="16">
        <f>IF(OR($K239="",E239=""),"",IF(COUNTIFS($B:$B,$B239,$A:$A,$K239,E:E,"&gt;=0")=0,"",E239-SUMIFS(E:E,$B:$B,$B239,$A:$A,$K239)))</f>
        <v/>
      </c>
      <c r="N239" s="16">
        <f>IF(OR($K239="",F239=""),"",IF(COUNTIFS($B:$B,$B239,$A:$A,$K239,F:F,"&gt;=0")=0,"",F239-SUMIFS(F:F,$B:$B,$B239,$A:$A,$K239)))</f>
        <v/>
      </c>
      <c r="O239" s="16">
        <f>IF(OR($K239="",G239=""),"",IF(COUNTIFS($B:$B,$B239,$A:$A,$K239,G:G,"&gt;=0")=0,"",G239-SUMIFS(G:G,$B:$B,$B239,$A:$A,$K239)))</f>
        <v/>
      </c>
    </row>
    <row r="240">
      <c r="A240" s="15" t="n">
        <v>46310</v>
      </c>
      <c r="B240" s="5" t="inlineStr">
        <is>
          <t>RAM DDR4 16GB (2x8) 3200</t>
        </is>
      </c>
      <c r="C240" s="5" t="inlineStr">
        <is>
          <t>RAM</t>
        </is>
      </c>
      <c r="D240" s="7" t="n">
        <v>75</v>
      </c>
      <c r="E240" s="7" t="n">
        <v>73.95</v>
      </c>
      <c r="F240" s="2" t="n"/>
      <c r="G240" s="2" t="n"/>
      <c r="H240" s="9">
        <f>IFERROR(IF(INDEX(Dólar!$B:$B,MATCH(A240,Dólar!$A:$A,0))="","",INDEX(Dólar!$B:$B,MATCH(A240,Dólar!$A:$A,0))),"")</f>
        <v/>
      </c>
      <c r="I240" s="10">
        <f>IFERROR(INDEX(Dólar!$E:$E,MATCH(A240,Dólar!$A:$A,0)),"")</f>
        <v/>
      </c>
      <c r="J240" s="6" t="inlineStr">
        <is>
          <t>ver anuncio</t>
        </is>
      </c>
      <c r="K240" s="15" t="n">
        <v>46309</v>
      </c>
      <c r="L240" s="16">
        <f>IF(OR($K240="",D240=""),"",IF(COUNTIFS($B:$B,$B240,$A:$A,$K240,D:D,"&gt;=0")=0,"",D240-SUMIFS(D:D,$B:$B,$B240,$A:$A,$K240)))</f>
        <v/>
      </c>
      <c r="M240" s="16">
        <f>IF(OR($K240="",E240=""),"",IF(COUNTIFS($B:$B,$B240,$A:$A,$K240,E:E,"&gt;=0")=0,"",E240-SUMIFS(E:E,$B:$B,$B240,$A:$A,$K240)))</f>
        <v/>
      </c>
      <c r="N240" s="16">
        <f>IF(OR($K240="",F240=""),"",IF(COUNTIFS($B:$B,$B240,$A:$A,$K240,F:F,"&gt;=0")=0,"",F240-SUMIFS(F:F,$B:$B,$B240,$A:$A,$K240)))</f>
        <v/>
      </c>
      <c r="O240" s="16">
        <f>IF(OR($K240="",G240=""),"",IF(COUNTIFS($B:$B,$B240,$A:$A,$K240,G:G,"&gt;=0")=0,"",G240-SUMIFS(G:G,$B:$B,$B240,$A:$A,$K240)))</f>
        <v/>
      </c>
    </row>
    <row r="241">
      <c r="A241" s="15" t="n">
        <v>46310</v>
      </c>
      <c r="B241" s="5" t="inlineStr">
        <is>
          <t>Intel Core i5-14400F</t>
        </is>
      </c>
      <c r="C241" s="5" t="inlineStr">
        <is>
          <t>CPU</t>
        </is>
      </c>
      <c r="D241" s="7" t="n">
        <v>164.49</v>
      </c>
      <c r="E241" s="7" t="n">
        <v>134.99</v>
      </c>
      <c r="F241" s="2" t="n"/>
      <c r="G241" s="8" t="n">
        <v>2750</v>
      </c>
      <c r="H241" s="9">
        <f>IFERROR(IF(INDEX(Dólar!$B:$B,MATCH(A241,Dólar!$A:$A,0))="","",INDEX(Dólar!$B:$B,MATCH(A241,Dólar!$A:$A,0))),"")</f>
        <v/>
      </c>
      <c r="I241" s="10">
        <f>IFERROR(INDEX(Dólar!$E:$E,MATCH(A241,Dólar!$A:$A,0)),"")</f>
        <v/>
      </c>
      <c r="J241" s="6" t="inlineStr">
        <is>
          <t>ver anuncio</t>
        </is>
      </c>
      <c r="K241" s="15" t="n">
        <v>46309</v>
      </c>
      <c r="L241" s="16">
        <f>IF(OR($K241="",D241=""),"",IF(COUNTIFS($B:$B,$B241,$A:$A,$K241,D:D,"&gt;=0")=0,"",D241-SUMIFS(D:D,$B:$B,$B241,$A:$A,$K241)))</f>
        <v/>
      </c>
      <c r="M241" s="16">
        <f>IF(OR($K241="",E241=""),"",IF(COUNTIFS($B:$B,$B241,$A:$A,$K241,E:E,"&gt;=0")=0,"",E241-SUMIFS(E:E,$B:$B,$B241,$A:$A,$K241)))</f>
        <v/>
      </c>
      <c r="N241" s="16">
        <f>IF(OR($K241="",F241=""),"",IF(COUNTIFS($B:$B,$B241,$A:$A,$K241,F:F,"&gt;=0")=0,"",F241-SUMIFS(F:F,$B:$B,$B241,$A:$A,$K241)))</f>
        <v/>
      </c>
      <c r="O241" s="16">
        <f>IF(OR($K241="",G241=""),"",IF(COUNTIFS($B:$B,$B241,$A:$A,$K241,G:G,"&gt;=0")=0,"",G241-SUMIFS(G:G,$B:$B,$B241,$A:$A,$K241)))</f>
        <v/>
      </c>
    </row>
    <row r="242">
      <c r="A242" s="15" t="n">
        <v>46310</v>
      </c>
      <c r="B242" s="5" t="inlineStr">
        <is>
          <t>Intel Core i5-13400</t>
        </is>
      </c>
      <c r="C242" s="5" t="inlineStr">
        <is>
          <t>CPU</t>
        </is>
      </c>
      <c r="D242" s="2" t="n"/>
      <c r="E242" s="7" t="n">
        <v>149.99</v>
      </c>
      <c r="F242" s="2" t="n"/>
      <c r="G242" s="2" t="n"/>
      <c r="H242" s="9">
        <f>IFERROR(IF(INDEX(Dólar!$B:$B,MATCH(A242,Dólar!$A:$A,0))="","",INDEX(Dólar!$B:$B,MATCH(A242,Dólar!$A:$A,0))),"")</f>
        <v/>
      </c>
      <c r="I242" s="10">
        <f>IFERROR(INDEX(Dólar!$E:$E,MATCH(A242,Dólar!$A:$A,0)),"")</f>
        <v/>
      </c>
      <c r="J242" s="6" t="inlineStr">
        <is>
          <t>ver anuncio</t>
        </is>
      </c>
      <c r="K242" s="15" t="n">
        <v>46309</v>
      </c>
      <c r="L242" s="16">
        <f>IF(OR($K242="",D242=""),"",IF(COUNTIFS($B:$B,$B242,$A:$A,$K242,D:D,"&gt;=0")=0,"",D242-SUMIFS(D:D,$B:$B,$B242,$A:$A,$K242)))</f>
        <v/>
      </c>
      <c r="M242" s="16">
        <f>IF(OR($K242="",E242=""),"",IF(COUNTIFS($B:$B,$B242,$A:$A,$K242,E:E,"&gt;=0")=0,"",E242-SUMIFS(E:E,$B:$B,$B242,$A:$A,$K242)))</f>
        <v/>
      </c>
      <c r="N242" s="16">
        <f>IF(OR($K242="",F242=""),"",IF(COUNTIFS($B:$B,$B242,$A:$A,$K242,F:F,"&gt;=0")=0,"",F242-SUMIFS(F:F,$B:$B,$B242,$A:$A,$K242)))</f>
        <v/>
      </c>
      <c r="O242" s="16">
        <f>IF(OR($K242="",G242=""),"",IF(COUNTIFS($B:$B,$B242,$A:$A,$K242,G:G,"&gt;=0")=0,"",G242-SUMIFS(G:G,$B:$B,$B242,$A:$A,$K242)))</f>
        <v/>
      </c>
    </row>
    <row r="243">
      <c r="A243" s="15" t="n">
        <v>46310</v>
      </c>
      <c r="B243" s="5" t="inlineStr">
        <is>
          <t>Intel Core i5-12400F</t>
        </is>
      </c>
      <c r="C243" s="5" t="inlineStr">
        <is>
          <t>CPU</t>
        </is>
      </c>
      <c r="D243" s="7" t="n">
        <v>150</v>
      </c>
      <c r="E243" s="7" t="n">
        <v>114.99</v>
      </c>
      <c r="F243" s="2" t="n"/>
      <c r="G243" s="8" t="n">
        <v>2260</v>
      </c>
      <c r="H243" s="9">
        <f>IFERROR(IF(INDEX(Dólar!$B:$B,MATCH(A243,Dólar!$A:$A,0))="","",INDEX(Dólar!$B:$B,MATCH(A243,Dólar!$A:$A,0))),"")</f>
        <v/>
      </c>
      <c r="I243" s="10">
        <f>IFERROR(INDEX(Dólar!$E:$E,MATCH(A243,Dólar!$A:$A,0)),"")</f>
        <v/>
      </c>
      <c r="J243" s="6" t="inlineStr">
        <is>
          <t>ver anuncio</t>
        </is>
      </c>
      <c r="K243" s="15" t="n">
        <v>46309</v>
      </c>
      <c r="L243" s="16">
        <f>IF(OR($K243="",D243=""),"",IF(COUNTIFS($B:$B,$B243,$A:$A,$K243,D:D,"&gt;=0")=0,"",D243-SUMIFS(D:D,$B:$B,$B243,$A:$A,$K243)))</f>
        <v/>
      </c>
      <c r="M243" s="16">
        <f>IF(OR($K243="",E243=""),"",IF(COUNTIFS($B:$B,$B243,$A:$A,$K243,E:E,"&gt;=0")=0,"",E243-SUMIFS(E:E,$B:$B,$B243,$A:$A,$K243)))</f>
        <v/>
      </c>
      <c r="N243" s="16">
        <f>IF(OR($K243="",F243=""),"",IF(COUNTIFS($B:$B,$B243,$A:$A,$K243,F:F,"&gt;=0")=0,"",F243-SUMIFS(F:F,$B:$B,$B243,$A:$A,$K243)))</f>
        <v/>
      </c>
      <c r="O243" s="16">
        <f>IF(OR($K243="",G243=""),"",IF(COUNTIFS($B:$B,$B243,$A:$A,$K243,G:G,"&gt;=0")=0,"",G243-SUMIFS(G:G,$B:$B,$B243,$A:$A,$K243)))</f>
        <v/>
      </c>
    </row>
    <row r="244">
      <c r="A244" s="15" t="n">
        <v>46310</v>
      </c>
      <c r="B244" s="5" t="inlineStr">
        <is>
          <t>Intel Core Ultra 7 265K</t>
        </is>
      </c>
      <c r="C244" s="5" t="inlineStr">
        <is>
          <t>CPU</t>
        </is>
      </c>
      <c r="D244" s="7" t="n">
        <v>234.99</v>
      </c>
      <c r="E244" s="7" t="n">
        <v>229</v>
      </c>
      <c r="F244" s="2" t="n"/>
      <c r="G244" s="2" t="n"/>
      <c r="H244" s="9">
        <f>IFERROR(IF(INDEX(Dólar!$B:$B,MATCH(A244,Dólar!$A:$A,0))="","",INDEX(Dólar!$B:$B,MATCH(A244,Dólar!$A:$A,0))),"")</f>
        <v/>
      </c>
      <c r="I244" s="10">
        <f>IFERROR(INDEX(Dólar!$E:$E,MATCH(A244,Dólar!$A:$A,0)),"")</f>
        <v/>
      </c>
      <c r="J244" s="6" t="inlineStr">
        <is>
          <t>ver anuncio</t>
        </is>
      </c>
      <c r="K244" s="15" t="n">
        <v>46309</v>
      </c>
      <c r="L244" s="16">
        <f>IF(OR($K244="",D244=""),"",IF(COUNTIFS($B:$B,$B244,$A:$A,$K244,D:D,"&gt;=0")=0,"",D244-SUMIFS(D:D,$B:$B,$B244,$A:$A,$K244)))</f>
        <v/>
      </c>
      <c r="M244" s="16">
        <f>IF(OR($K244="",E244=""),"",IF(COUNTIFS($B:$B,$B244,$A:$A,$K244,E:E,"&gt;=0")=0,"",E244-SUMIFS(E:E,$B:$B,$B244,$A:$A,$K244)))</f>
        <v/>
      </c>
      <c r="N244" s="16">
        <f>IF(OR($K244="",F244=""),"",IF(COUNTIFS($B:$B,$B244,$A:$A,$K244,F:F,"&gt;=0")=0,"",F244-SUMIFS(F:F,$B:$B,$B244,$A:$A,$K244)))</f>
        <v/>
      </c>
      <c r="O244" s="16">
        <f>IF(OR($K244="",G244=""),"",IF(COUNTIFS($B:$B,$B244,$A:$A,$K244,G:G,"&gt;=0")=0,"",G244-SUMIFS(G:G,$B:$B,$B244,$A:$A,$K244)))</f>
        <v/>
      </c>
    </row>
    <row r="245">
      <c r="A245" s="15" t="n">
        <v>46310</v>
      </c>
      <c r="B245" s="5" t="inlineStr">
        <is>
          <t>Corsair Vengeance RGB DDR5 32GB (2x16) 6000</t>
        </is>
      </c>
      <c r="C245" s="5" t="inlineStr">
        <is>
          <t>RAM</t>
        </is>
      </c>
      <c r="D245" s="7" t="n">
        <v>435.99</v>
      </c>
      <c r="E245" s="7" t="n">
        <v>394.99</v>
      </c>
      <c r="F245" s="2" t="n"/>
      <c r="G245" s="2" t="n"/>
      <c r="H245" s="9">
        <f>IFERROR(IF(INDEX(Dólar!$B:$B,MATCH(A245,Dólar!$A:$A,0))="","",INDEX(Dólar!$B:$B,MATCH(A245,Dólar!$A:$A,0))),"")</f>
        <v/>
      </c>
      <c r="I245" s="10">
        <f>IFERROR(INDEX(Dólar!$E:$E,MATCH(A245,Dólar!$A:$A,0)),"")</f>
        <v/>
      </c>
      <c r="J245" s="6" t="inlineStr">
        <is>
          <t>ver anuncio</t>
        </is>
      </c>
      <c r="K245" s="15" t="n">
        <v>46309</v>
      </c>
      <c r="L245" s="16">
        <f>IF(OR($K245="",D245=""),"",IF(COUNTIFS($B:$B,$B245,$A:$A,$K245,D:D,"&gt;=0")=0,"",D245-SUMIFS(D:D,$B:$B,$B245,$A:$A,$K245)))</f>
        <v/>
      </c>
      <c r="M245" s="16">
        <f>IF(OR($K245="",E245=""),"",IF(COUNTIFS($B:$B,$B245,$A:$A,$K245,E:E,"&gt;=0")=0,"",E245-SUMIFS(E:E,$B:$B,$B245,$A:$A,$K245)))</f>
        <v/>
      </c>
      <c r="N245" s="16">
        <f>IF(OR($K245="",F245=""),"",IF(COUNTIFS($B:$B,$B245,$A:$A,$K245,F:F,"&gt;=0")=0,"",F245-SUMIFS(F:F,$B:$B,$B245,$A:$A,$K245)))</f>
        <v/>
      </c>
      <c r="O245" s="16">
        <f>IF(OR($K245="",G245=""),"",IF(COUNTIFS($B:$B,$B245,$A:$A,$K245,G:G,"&gt;=0")=0,"",G245-SUMIFS(G:G,$B:$B,$B245,$A:$A,$K245)))</f>
        <v/>
      </c>
    </row>
    <row r="246">
      <c r="A246" s="15" t="n">
        <v>46310</v>
      </c>
      <c r="B246" s="5" t="inlineStr">
        <is>
          <t>Corsair Vengeance RGB DDR5 32GB (2x16) 5600</t>
        </is>
      </c>
      <c r="C246" s="5" t="inlineStr">
        <is>
          <t>RAM</t>
        </is>
      </c>
      <c r="D246" s="7" t="n">
        <v>429.97</v>
      </c>
      <c r="E246" s="7" t="n">
        <v>375</v>
      </c>
      <c r="F246" s="2" t="n"/>
      <c r="G246" s="2" t="n"/>
      <c r="H246" s="9">
        <f>IFERROR(IF(INDEX(Dólar!$B:$B,MATCH(A246,Dólar!$A:$A,0))="","",INDEX(Dólar!$B:$B,MATCH(A246,Dólar!$A:$A,0))),"")</f>
        <v/>
      </c>
      <c r="I246" s="10">
        <f>IFERROR(INDEX(Dólar!$E:$E,MATCH(A246,Dólar!$A:$A,0)),"")</f>
        <v/>
      </c>
      <c r="J246" s="6" t="inlineStr">
        <is>
          <t>ver anuncio</t>
        </is>
      </c>
      <c r="K246" s="15" t="n">
        <v>46309</v>
      </c>
      <c r="L246" s="16">
        <f>IF(OR($K246="",D246=""),"",IF(COUNTIFS($B:$B,$B246,$A:$A,$K246,D:D,"&gt;=0")=0,"",D246-SUMIFS(D:D,$B:$B,$B246,$A:$A,$K246)))</f>
        <v/>
      </c>
      <c r="M246" s="16">
        <f>IF(OR($K246="",E246=""),"",IF(COUNTIFS($B:$B,$B246,$A:$A,$K246,E:E,"&gt;=0")=0,"",E246-SUMIFS(E:E,$B:$B,$B246,$A:$A,$K246)))</f>
        <v/>
      </c>
      <c r="N246" s="16">
        <f>IF(OR($K246="",F246=""),"",IF(COUNTIFS($B:$B,$B246,$A:$A,$K246,F:F,"&gt;=0")=0,"",F246-SUMIFS(F:F,$B:$B,$B246,$A:$A,$K246)))</f>
        <v/>
      </c>
      <c r="O246" s="16">
        <f>IF(OR($K246="",G246=""),"",IF(COUNTIFS($B:$B,$B246,$A:$A,$K246,G:G,"&gt;=0")=0,"",G246-SUMIFS(G:G,$B:$B,$B246,$A:$A,$K246)))</f>
        <v/>
      </c>
    </row>
    <row r="247">
      <c r="A247" s="15" t="n">
        <v>46309</v>
      </c>
      <c r="B247" s="5" t="inlineStr">
        <is>
          <t>SSD NVMe 2TB</t>
        </is>
      </c>
      <c r="C247" s="5" t="inlineStr">
        <is>
          <t>SSD</t>
        </is>
      </c>
      <c r="D247" s="7" t="n">
        <v>209.99</v>
      </c>
      <c r="E247" s="7" t="n">
        <v>164.99</v>
      </c>
      <c r="F247" s="2" t="n"/>
      <c r="G247" s="2" t="n"/>
      <c r="H247" s="9">
        <f>IFERROR(IF(INDEX(Dólar!$B:$B,MATCH(A247,Dólar!$A:$A,0))="","",INDEX(Dólar!$B:$B,MATCH(A247,Dólar!$A:$A,0))),"")</f>
        <v/>
      </c>
      <c r="I247" s="10">
        <f>IFERROR(INDEX(Dólar!$E:$E,MATCH(A247,Dólar!$A:$A,0)),"")</f>
        <v/>
      </c>
      <c r="J247" s="6" t="inlineStr">
        <is>
          <t>ver anuncio</t>
        </is>
      </c>
      <c r="K247" s="15" t="n">
        <v>46308</v>
      </c>
      <c r="L247" s="16">
        <f>IF(OR($K247="",D247=""),"",IF(COUNTIFS($B:$B,$B247,$A:$A,$K247,D:D,"&gt;=0")=0,"",D247-SUMIFS(D:D,$B:$B,$B247,$A:$A,$K247)))</f>
        <v/>
      </c>
      <c r="M247" s="16">
        <f>IF(OR($K247="",E247=""),"",IF(COUNTIFS($B:$B,$B247,$A:$A,$K247,E:E,"&gt;=0")=0,"",E247-SUMIFS(E:E,$B:$B,$B247,$A:$A,$K247)))</f>
        <v/>
      </c>
      <c r="N247" s="16">
        <f>IF(OR($K247="",F247=""),"",IF(COUNTIFS($B:$B,$B247,$A:$A,$K247,F:F,"&gt;=0")=0,"",F247-SUMIFS(F:F,$B:$B,$B247,$A:$A,$K247)))</f>
        <v/>
      </c>
      <c r="O247" s="16">
        <f>IF(OR($K247="",G247=""),"",IF(COUNTIFS($B:$B,$B247,$A:$A,$K247,G:G,"&gt;=0")=0,"",G247-SUMIFS(G:G,$B:$B,$B247,$A:$A,$K247)))</f>
        <v/>
      </c>
    </row>
    <row r="248">
      <c r="A248" s="15" t="n">
        <v>46309</v>
      </c>
      <c r="B248" s="5" t="inlineStr">
        <is>
          <t>SSD NVMe 1TB</t>
        </is>
      </c>
      <c r="C248" s="5" t="inlineStr">
        <is>
          <t>SSD</t>
        </is>
      </c>
      <c r="D248" s="7" t="n">
        <v>117.99</v>
      </c>
      <c r="E248" s="7" t="n">
        <v>92.98999999999999</v>
      </c>
      <c r="F248" s="2" t="n"/>
      <c r="G248" s="2" t="n"/>
      <c r="H248" s="9">
        <f>IFERROR(IF(INDEX(Dólar!$B:$B,MATCH(A248,Dólar!$A:$A,0))="","",INDEX(Dólar!$B:$B,MATCH(A248,Dólar!$A:$A,0))),"")</f>
        <v/>
      </c>
      <c r="I248" s="10">
        <f>IFERROR(INDEX(Dólar!$E:$E,MATCH(A248,Dólar!$A:$A,0)),"")</f>
        <v/>
      </c>
      <c r="J248" s="6" t="inlineStr">
        <is>
          <t>ver anuncio</t>
        </is>
      </c>
      <c r="K248" s="15" t="n">
        <v>46308</v>
      </c>
      <c r="L248" s="16">
        <f>IF(OR($K248="",D248=""),"",IF(COUNTIFS($B:$B,$B248,$A:$A,$K248,D:D,"&gt;=0")=0,"",D248-SUMIFS(D:D,$B:$B,$B248,$A:$A,$K248)))</f>
        <v/>
      </c>
      <c r="M248" s="16">
        <f>IF(OR($K248="",E248=""),"",IF(COUNTIFS($B:$B,$B248,$A:$A,$K248,E:E,"&gt;=0")=0,"",E248-SUMIFS(E:E,$B:$B,$B248,$A:$A,$K248)))</f>
        <v/>
      </c>
      <c r="N248" s="16">
        <f>IF(OR($K248="",F248=""),"",IF(COUNTIFS($B:$B,$B248,$A:$A,$K248,F:F,"&gt;=0")=0,"",F248-SUMIFS(F:F,$B:$B,$B248,$A:$A,$K248)))</f>
        <v/>
      </c>
      <c r="O248" s="16">
        <f>IF(OR($K248="",G248=""),"",IF(COUNTIFS($B:$B,$B248,$A:$A,$K248,G:G,"&gt;=0")=0,"",G248-SUMIFS(G:G,$B:$B,$B248,$A:$A,$K248)))</f>
        <v/>
      </c>
    </row>
    <row r="249">
      <c r="A249" s="15" t="n">
        <v>46309</v>
      </c>
      <c r="B249" s="5" t="inlineStr">
        <is>
          <t>Ryzen 9 9950X</t>
        </is>
      </c>
      <c r="C249" s="5" t="inlineStr">
        <is>
          <t>CPU</t>
        </is>
      </c>
      <c r="D249" s="7" t="n">
        <v>499.99</v>
      </c>
      <c r="E249" s="7" t="n">
        <v>454.99</v>
      </c>
      <c r="F249" s="2" t="n"/>
      <c r="G249" s="2" t="n"/>
      <c r="H249" s="9">
        <f>IFERROR(IF(INDEX(Dólar!$B:$B,MATCH(A249,Dólar!$A:$A,0))="","",INDEX(Dólar!$B:$B,MATCH(A249,Dólar!$A:$A,0))),"")</f>
        <v/>
      </c>
      <c r="I249" s="10">
        <f>IFERROR(INDEX(Dólar!$E:$E,MATCH(A249,Dólar!$A:$A,0)),"")</f>
        <v/>
      </c>
      <c r="J249" s="6" t="inlineStr">
        <is>
          <t>ver anuncio</t>
        </is>
      </c>
      <c r="K249" s="15" t="n">
        <v>46308</v>
      </c>
      <c r="L249" s="16">
        <f>IF(OR($K249="",D249=""),"",IF(COUNTIFS($B:$B,$B249,$A:$A,$K249,D:D,"&gt;=0")=0,"",D249-SUMIFS(D:D,$B:$B,$B249,$A:$A,$K249)))</f>
        <v/>
      </c>
      <c r="M249" s="16">
        <f>IF(OR($K249="",E249=""),"",IF(COUNTIFS($B:$B,$B249,$A:$A,$K249,E:E,"&gt;=0")=0,"",E249-SUMIFS(E:E,$B:$B,$B249,$A:$A,$K249)))</f>
        <v/>
      </c>
      <c r="N249" s="16">
        <f>IF(OR($K249="",F249=""),"",IF(COUNTIFS($B:$B,$B249,$A:$A,$K249,F:F,"&gt;=0")=0,"",F249-SUMIFS(F:F,$B:$B,$B249,$A:$A,$K249)))</f>
        <v/>
      </c>
      <c r="O249" s="16">
        <f>IF(OR($K249="",G249=""),"",IF(COUNTIFS($B:$B,$B249,$A:$A,$K249,G:G,"&gt;=0")=0,"",G249-SUMIFS(G:G,$B:$B,$B249,$A:$A,$K249)))</f>
        <v/>
      </c>
    </row>
    <row r="250">
      <c r="A250" s="15" t="n">
        <v>46309</v>
      </c>
      <c r="B250" s="5" t="inlineStr">
        <is>
          <t>Ryzen 7 7800X3D</t>
        </is>
      </c>
      <c r="C250" s="5" t="inlineStr">
        <is>
          <t>CPU</t>
        </is>
      </c>
      <c r="D250" s="7" t="n">
        <v>329</v>
      </c>
      <c r="E250" s="7" t="n">
        <v>275.99</v>
      </c>
      <c r="F250" s="2" t="n"/>
      <c r="G250" s="2" t="n"/>
      <c r="H250" s="9">
        <f>IFERROR(IF(INDEX(Dólar!$B:$B,MATCH(A250,Dólar!$A:$A,0))="","",INDEX(Dólar!$B:$B,MATCH(A250,Dólar!$A:$A,0))),"")</f>
        <v/>
      </c>
      <c r="I250" s="10">
        <f>IFERROR(INDEX(Dólar!$E:$E,MATCH(A250,Dólar!$A:$A,0)),"")</f>
        <v/>
      </c>
      <c r="J250" s="6" t="inlineStr">
        <is>
          <t>ver anuncio</t>
        </is>
      </c>
      <c r="K250" s="15" t="n">
        <v>46308</v>
      </c>
      <c r="L250" s="16">
        <f>IF(OR($K250="",D250=""),"",IF(COUNTIFS($B:$B,$B250,$A:$A,$K250,D:D,"&gt;=0")=0,"",D250-SUMIFS(D:D,$B:$B,$B250,$A:$A,$K250)))</f>
        <v/>
      </c>
      <c r="M250" s="16">
        <f>IF(OR($K250="",E250=""),"",IF(COUNTIFS($B:$B,$B250,$A:$A,$K250,E:E,"&gt;=0")=0,"",E250-SUMIFS(E:E,$B:$B,$B250,$A:$A,$K250)))</f>
        <v/>
      </c>
      <c r="N250" s="16">
        <f>IF(OR($K250="",F250=""),"",IF(COUNTIFS($B:$B,$B250,$A:$A,$K250,F:F,"&gt;=0")=0,"",F250-SUMIFS(F:F,$B:$B,$B250,$A:$A,$K250)))</f>
        <v/>
      </c>
      <c r="O250" s="16">
        <f>IF(OR($K250="",G250=""),"",IF(COUNTIFS($B:$B,$B250,$A:$A,$K250,G:G,"&gt;=0")=0,"",G250-SUMIFS(G:G,$B:$B,$B250,$A:$A,$K250)))</f>
        <v/>
      </c>
    </row>
    <row r="251">
      <c r="A251" s="15" t="n">
        <v>46309</v>
      </c>
      <c r="B251" s="5" t="inlineStr">
        <is>
          <t>Ryzen 7 5700X3D</t>
        </is>
      </c>
      <c r="C251" s="5" t="inlineStr">
        <is>
          <t>CPU</t>
        </is>
      </c>
      <c r="D251" s="2" t="n"/>
      <c r="E251" s="7" t="n">
        <v>295</v>
      </c>
      <c r="F251" s="2" t="n"/>
      <c r="G251" s="2" t="n"/>
      <c r="H251" s="9">
        <f>IFERROR(IF(INDEX(Dólar!$B:$B,MATCH(A251,Dólar!$A:$A,0))="","",INDEX(Dólar!$B:$B,MATCH(A251,Dólar!$A:$A,0))),"")</f>
        <v/>
      </c>
      <c r="I251" s="10">
        <f>IFERROR(INDEX(Dólar!$E:$E,MATCH(A251,Dólar!$A:$A,0)),"")</f>
        <v/>
      </c>
      <c r="J251" s="6" t="inlineStr">
        <is>
          <t>ver anuncio</t>
        </is>
      </c>
      <c r="K251" s="15" t="n">
        <v>46308</v>
      </c>
      <c r="L251" s="16">
        <f>IF(OR($K251="",D251=""),"",IF(COUNTIFS($B:$B,$B251,$A:$A,$K251,D:D,"&gt;=0")=0,"",D251-SUMIFS(D:D,$B:$B,$B251,$A:$A,$K251)))</f>
        <v/>
      </c>
      <c r="M251" s="16">
        <f>IF(OR($K251="",E251=""),"",IF(COUNTIFS($B:$B,$B251,$A:$A,$K251,E:E,"&gt;=0")=0,"",E251-SUMIFS(E:E,$B:$B,$B251,$A:$A,$K251)))</f>
        <v/>
      </c>
      <c r="N251" s="16">
        <f>IF(OR($K251="",F251=""),"",IF(COUNTIFS($B:$B,$B251,$A:$A,$K251,F:F,"&gt;=0")=0,"",F251-SUMIFS(F:F,$B:$B,$B251,$A:$A,$K251)))</f>
        <v/>
      </c>
      <c r="O251" s="16">
        <f>IF(OR($K251="",G251=""),"",IF(COUNTIFS($B:$B,$B251,$A:$A,$K251,G:G,"&gt;=0")=0,"",G251-SUMIFS(G:G,$B:$B,$B251,$A:$A,$K251)))</f>
        <v/>
      </c>
    </row>
    <row r="252">
      <c r="A252" s="15" t="n">
        <v>46309</v>
      </c>
      <c r="B252" s="5" t="inlineStr">
        <is>
          <t>Ryzen 5 7600</t>
        </is>
      </c>
      <c r="C252" s="5" t="inlineStr">
        <is>
          <t>CPU</t>
        </is>
      </c>
      <c r="D252" s="7" t="n">
        <v>142.24</v>
      </c>
      <c r="E252" s="7" t="n">
        <v>121.99</v>
      </c>
      <c r="F252" s="2" t="n"/>
      <c r="G252" s="2" t="n"/>
      <c r="H252" s="9">
        <f>IFERROR(IF(INDEX(Dólar!$B:$B,MATCH(A252,Dólar!$A:$A,0))="","",INDEX(Dólar!$B:$B,MATCH(A252,Dólar!$A:$A,0))),"")</f>
        <v/>
      </c>
      <c r="I252" s="10">
        <f>IFERROR(INDEX(Dólar!$E:$E,MATCH(A252,Dólar!$A:$A,0)),"")</f>
        <v/>
      </c>
      <c r="J252" s="6" t="inlineStr">
        <is>
          <t>ver anuncio</t>
        </is>
      </c>
      <c r="K252" s="15" t="n">
        <v>46308</v>
      </c>
      <c r="L252" s="16">
        <f>IF(OR($K252="",D252=""),"",IF(COUNTIFS($B:$B,$B252,$A:$A,$K252,D:D,"&gt;=0")=0,"",D252-SUMIFS(D:D,$B:$B,$B252,$A:$A,$K252)))</f>
        <v/>
      </c>
      <c r="M252" s="16">
        <f>IF(OR($K252="",E252=""),"",IF(COUNTIFS($B:$B,$B252,$A:$A,$K252,E:E,"&gt;=0")=0,"",E252-SUMIFS(E:E,$B:$B,$B252,$A:$A,$K252)))</f>
        <v/>
      </c>
      <c r="N252" s="16">
        <f>IF(OR($K252="",F252=""),"",IF(COUNTIFS($B:$B,$B252,$A:$A,$K252,F:F,"&gt;=0")=0,"",F252-SUMIFS(F:F,$B:$B,$B252,$A:$A,$K252)))</f>
        <v/>
      </c>
      <c r="O252" s="16">
        <f>IF(OR($K252="",G252=""),"",IF(COUNTIFS($B:$B,$B252,$A:$A,$K252,G:G,"&gt;=0")=0,"",G252-SUMIFS(G:G,$B:$B,$B252,$A:$A,$K252)))</f>
        <v/>
      </c>
    </row>
    <row r="253">
      <c r="A253" s="15" t="n">
        <v>46309</v>
      </c>
      <c r="B253" s="5" t="inlineStr">
        <is>
          <t>Ryzen 5 5600</t>
        </is>
      </c>
      <c r="C253" s="5" t="inlineStr">
        <is>
          <t>CPU</t>
        </is>
      </c>
      <c r="D253" s="7" t="n">
        <v>138.9</v>
      </c>
      <c r="E253" s="7" t="n">
        <v>129.99</v>
      </c>
      <c r="F253" s="2" t="n"/>
      <c r="G253" s="2" t="n"/>
      <c r="H253" s="9">
        <f>IFERROR(IF(INDEX(Dólar!$B:$B,MATCH(A253,Dólar!$A:$A,0))="","",INDEX(Dólar!$B:$B,MATCH(A253,Dólar!$A:$A,0))),"")</f>
        <v/>
      </c>
      <c r="I253" s="10">
        <f>IFERROR(INDEX(Dólar!$E:$E,MATCH(A253,Dólar!$A:$A,0)),"")</f>
        <v/>
      </c>
      <c r="J253" s="6" t="inlineStr">
        <is>
          <t>ver anuncio</t>
        </is>
      </c>
      <c r="K253" s="15" t="n">
        <v>46308</v>
      </c>
      <c r="L253" s="16">
        <f>IF(OR($K253="",D253=""),"",IF(COUNTIFS($B:$B,$B253,$A:$A,$K253,D:D,"&gt;=0")=0,"",D253-SUMIFS(D:D,$B:$B,$B253,$A:$A,$K253)))</f>
        <v/>
      </c>
      <c r="M253" s="16">
        <f>IF(OR($K253="",E253=""),"",IF(COUNTIFS($B:$B,$B253,$A:$A,$K253,E:E,"&gt;=0")=0,"",E253-SUMIFS(E:E,$B:$B,$B253,$A:$A,$K253)))</f>
        <v/>
      </c>
      <c r="N253" s="16">
        <f>IF(OR($K253="",F253=""),"",IF(COUNTIFS($B:$B,$B253,$A:$A,$K253,F:F,"&gt;=0")=0,"",F253-SUMIFS(F:F,$B:$B,$B253,$A:$A,$K253)))</f>
        <v/>
      </c>
      <c r="O253" s="16">
        <f>IF(OR($K253="",G253=""),"",IF(COUNTIFS($B:$B,$B253,$A:$A,$K253,G:G,"&gt;=0")=0,"",G253-SUMIFS(G:G,$B:$B,$B253,$A:$A,$K253)))</f>
        <v/>
      </c>
    </row>
    <row r="254">
      <c r="A254" s="15" t="n">
        <v>46309</v>
      </c>
      <c r="B254" s="5" t="inlineStr">
        <is>
          <t>RAM DDR4 16GB (2x8) 3200</t>
        </is>
      </c>
      <c r="C254" s="5" t="inlineStr">
        <is>
          <t>RAM</t>
        </is>
      </c>
      <c r="D254" s="7" t="n">
        <v>72.98999999999999</v>
      </c>
      <c r="E254" s="7" t="n">
        <v>65</v>
      </c>
      <c r="F254" s="2" t="n"/>
      <c r="G254" s="2" t="n"/>
      <c r="H254" s="9">
        <f>IFERROR(IF(INDEX(Dólar!$B:$B,MATCH(A254,Dólar!$A:$A,0))="","",INDEX(Dólar!$B:$B,MATCH(A254,Dólar!$A:$A,0))),"")</f>
        <v/>
      </c>
      <c r="I254" s="10">
        <f>IFERROR(INDEX(Dólar!$E:$E,MATCH(A254,Dólar!$A:$A,0)),"")</f>
        <v/>
      </c>
      <c r="J254" s="6" t="inlineStr">
        <is>
          <t>ver anuncio</t>
        </is>
      </c>
      <c r="K254" s="15" t="n">
        <v>46308</v>
      </c>
      <c r="L254" s="16">
        <f>IF(OR($K254="",D254=""),"",IF(COUNTIFS($B:$B,$B254,$A:$A,$K254,D:D,"&gt;=0")=0,"",D254-SUMIFS(D:D,$B:$B,$B254,$A:$A,$K254)))</f>
        <v/>
      </c>
      <c r="M254" s="16">
        <f>IF(OR($K254="",E254=""),"",IF(COUNTIFS($B:$B,$B254,$A:$A,$K254,E:E,"&gt;=0")=0,"",E254-SUMIFS(E:E,$B:$B,$B254,$A:$A,$K254)))</f>
        <v/>
      </c>
      <c r="N254" s="16">
        <f>IF(OR($K254="",F254=""),"",IF(COUNTIFS($B:$B,$B254,$A:$A,$K254,F:F,"&gt;=0")=0,"",F254-SUMIFS(F:F,$B:$B,$B254,$A:$A,$K254)))</f>
        <v/>
      </c>
      <c r="O254" s="16">
        <f>IF(OR($K254="",G254=""),"",IF(COUNTIFS($B:$B,$B254,$A:$A,$K254,G:G,"&gt;=0")=0,"",G254-SUMIFS(G:G,$B:$B,$B254,$A:$A,$K254)))</f>
        <v/>
      </c>
    </row>
    <row r="255">
      <c r="A255" s="15" t="n">
        <v>46309</v>
      </c>
      <c r="B255" s="5" t="inlineStr">
        <is>
          <t>Intel Core i5-14400F</t>
        </is>
      </c>
      <c r="C255" s="5" t="inlineStr">
        <is>
          <t>CPU</t>
        </is>
      </c>
      <c r="D255" s="7" t="n">
        <v>164.49</v>
      </c>
      <c r="E255" s="7" t="n">
        <v>134</v>
      </c>
      <c r="F255" s="2" t="n"/>
      <c r="G255" s="2" t="n"/>
      <c r="H255" s="9">
        <f>IFERROR(IF(INDEX(Dólar!$B:$B,MATCH(A255,Dólar!$A:$A,0))="","",INDEX(Dólar!$B:$B,MATCH(A255,Dólar!$A:$A,0))),"")</f>
        <v/>
      </c>
      <c r="I255" s="10">
        <f>IFERROR(INDEX(Dólar!$E:$E,MATCH(A255,Dólar!$A:$A,0)),"")</f>
        <v/>
      </c>
      <c r="J255" s="6" t="inlineStr">
        <is>
          <t>ver anuncio</t>
        </is>
      </c>
      <c r="K255" s="15" t="n">
        <v>46308</v>
      </c>
      <c r="L255" s="16">
        <f>IF(OR($K255="",D255=""),"",IF(COUNTIFS($B:$B,$B255,$A:$A,$K255,D:D,"&gt;=0")=0,"",D255-SUMIFS(D:D,$B:$B,$B255,$A:$A,$K255)))</f>
        <v/>
      </c>
      <c r="M255" s="16">
        <f>IF(OR($K255="",E255=""),"",IF(COUNTIFS($B:$B,$B255,$A:$A,$K255,E:E,"&gt;=0")=0,"",E255-SUMIFS(E:E,$B:$B,$B255,$A:$A,$K255)))</f>
        <v/>
      </c>
      <c r="N255" s="16">
        <f>IF(OR($K255="",F255=""),"",IF(COUNTIFS($B:$B,$B255,$A:$A,$K255,F:F,"&gt;=0")=0,"",F255-SUMIFS(F:F,$B:$B,$B255,$A:$A,$K255)))</f>
        <v/>
      </c>
      <c r="O255" s="16">
        <f>IF(OR($K255="",G255=""),"",IF(COUNTIFS($B:$B,$B255,$A:$A,$K255,G:G,"&gt;=0")=0,"",G255-SUMIFS(G:G,$B:$B,$B255,$A:$A,$K255)))</f>
        <v/>
      </c>
    </row>
    <row r="256">
      <c r="A256" s="15" t="n">
        <v>46309</v>
      </c>
      <c r="B256" s="5" t="inlineStr">
        <is>
          <t>Intel Core i5-13400</t>
        </is>
      </c>
      <c r="C256" s="5" t="inlineStr">
        <is>
          <t>CPU</t>
        </is>
      </c>
      <c r="D256" s="2" t="n"/>
      <c r="E256" s="7" t="n">
        <v>149.99</v>
      </c>
      <c r="F256" s="2" t="n"/>
      <c r="G256" s="2" t="n"/>
      <c r="H256" s="9">
        <f>IFERROR(IF(INDEX(Dólar!$B:$B,MATCH(A256,Dólar!$A:$A,0))="","",INDEX(Dólar!$B:$B,MATCH(A256,Dólar!$A:$A,0))),"")</f>
        <v/>
      </c>
      <c r="I256" s="10">
        <f>IFERROR(INDEX(Dólar!$E:$E,MATCH(A256,Dólar!$A:$A,0)),"")</f>
        <v/>
      </c>
      <c r="J256" s="6" t="inlineStr">
        <is>
          <t>ver anuncio</t>
        </is>
      </c>
      <c r="K256" s="15" t="n">
        <v>46308</v>
      </c>
      <c r="L256" s="16">
        <f>IF(OR($K256="",D256=""),"",IF(COUNTIFS($B:$B,$B256,$A:$A,$K256,D:D,"&gt;=0")=0,"",D256-SUMIFS(D:D,$B:$B,$B256,$A:$A,$K256)))</f>
        <v/>
      </c>
      <c r="M256" s="16">
        <f>IF(OR($K256="",E256=""),"",IF(COUNTIFS($B:$B,$B256,$A:$A,$K256,E:E,"&gt;=0")=0,"",E256-SUMIFS(E:E,$B:$B,$B256,$A:$A,$K256)))</f>
        <v/>
      </c>
      <c r="N256" s="16">
        <f>IF(OR($K256="",F256=""),"",IF(COUNTIFS($B:$B,$B256,$A:$A,$K256,F:F,"&gt;=0")=0,"",F256-SUMIFS(F:F,$B:$B,$B256,$A:$A,$K256)))</f>
        <v/>
      </c>
      <c r="O256" s="16">
        <f>IF(OR($K256="",G256=""),"",IF(COUNTIFS($B:$B,$B256,$A:$A,$K256,G:G,"&gt;=0")=0,"",G256-SUMIFS(G:G,$B:$B,$B256,$A:$A,$K256)))</f>
        <v/>
      </c>
    </row>
    <row r="257">
      <c r="A257" s="15" t="n">
        <v>46309</v>
      </c>
      <c r="B257" s="5" t="inlineStr">
        <is>
          <t>Intel Core i5-12400F</t>
        </is>
      </c>
      <c r="C257" s="5" t="inlineStr">
        <is>
          <t>CPU</t>
        </is>
      </c>
      <c r="D257" s="7" t="n">
        <v>150</v>
      </c>
      <c r="E257" s="7" t="n">
        <v>120.99</v>
      </c>
      <c r="F257" s="2" t="n"/>
      <c r="G257" s="2" t="n"/>
      <c r="H257" s="9">
        <f>IFERROR(IF(INDEX(Dólar!$B:$B,MATCH(A257,Dólar!$A:$A,0))="","",INDEX(Dólar!$B:$B,MATCH(A257,Dólar!$A:$A,0))),"")</f>
        <v/>
      </c>
      <c r="I257" s="10">
        <f>IFERROR(INDEX(Dólar!$E:$E,MATCH(A257,Dólar!$A:$A,0)),"")</f>
        <v/>
      </c>
      <c r="J257" s="6" t="inlineStr">
        <is>
          <t>ver anuncio</t>
        </is>
      </c>
      <c r="K257" s="15" t="n">
        <v>46308</v>
      </c>
      <c r="L257" s="16">
        <f>IF(OR($K257="",D257=""),"",IF(COUNTIFS($B:$B,$B257,$A:$A,$K257,D:D,"&gt;=0")=0,"",D257-SUMIFS(D:D,$B:$B,$B257,$A:$A,$K257)))</f>
        <v/>
      </c>
      <c r="M257" s="16">
        <f>IF(OR($K257="",E257=""),"",IF(COUNTIFS($B:$B,$B257,$A:$A,$K257,E:E,"&gt;=0")=0,"",E257-SUMIFS(E:E,$B:$B,$B257,$A:$A,$K257)))</f>
        <v/>
      </c>
      <c r="N257" s="16">
        <f>IF(OR($K257="",F257=""),"",IF(COUNTIFS($B:$B,$B257,$A:$A,$K257,F:F,"&gt;=0")=0,"",F257-SUMIFS(F:F,$B:$B,$B257,$A:$A,$K257)))</f>
        <v/>
      </c>
      <c r="O257" s="16">
        <f>IF(OR($K257="",G257=""),"",IF(COUNTIFS($B:$B,$B257,$A:$A,$K257,G:G,"&gt;=0")=0,"",G257-SUMIFS(G:G,$B:$B,$B257,$A:$A,$K257)))</f>
        <v/>
      </c>
    </row>
    <row r="258">
      <c r="A258" s="15" t="n">
        <v>46309</v>
      </c>
      <c r="B258" s="5" t="inlineStr">
        <is>
          <t>Intel Core Ultra 7 265K</t>
        </is>
      </c>
      <c r="C258" s="5" t="inlineStr">
        <is>
          <t>CPU</t>
        </is>
      </c>
      <c r="D258" s="7" t="n">
        <v>234.99</v>
      </c>
      <c r="E258" s="7" t="n">
        <v>229</v>
      </c>
      <c r="F258" s="2" t="n"/>
      <c r="G258" s="2" t="n"/>
      <c r="H258" s="9">
        <f>IFERROR(IF(INDEX(Dólar!$B:$B,MATCH(A258,Dólar!$A:$A,0))="","",INDEX(Dólar!$B:$B,MATCH(A258,Dólar!$A:$A,0))),"")</f>
        <v/>
      </c>
      <c r="I258" s="10">
        <f>IFERROR(INDEX(Dólar!$E:$E,MATCH(A258,Dólar!$A:$A,0)),"")</f>
        <v/>
      </c>
      <c r="J258" s="6" t="inlineStr">
        <is>
          <t>ver anuncio</t>
        </is>
      </c>
      <c r="K258" s="15" t="n">
        <v>46308</v>
      </c>
      <c r="L258" s="16">
        <f>IF(OR($K258="",D258=""),"",IF(COUNTIFS($B:$B,$B258,$A:$A,$K258,D:D,"&gt;=0")=0,"",D258-SUMIFS(D:D,$B:$B,$B258,$A:$A,$K258)))</f>
        <v/>
      </c>
      <c r="M258" s="16">
        <f>IF(OR($K258="",E258=""),"",IF(COUNTIFS($B:$B,$B258,$A:$A,$K258,E:E,"&gt;=0")=0,"",E258-SUMIFS(E:E,$B:$B,$B258,$A:$A,$K258)))</f>
        <v/>
      </c>
      <c r="N258" s="16">
        <f>IF(OR($K258="",F258=""),"",IF(COUNTIFS($B:$B,$B258,$A:$A,$K258,F:F,"&gt;=0")=0,"",F258-SUMIFS(F:F,$B:$B,$B258,$A:$A,$K258)))</f>
        <v/>
      </c>
      <c r="O258" s="16">
        <f>IF(OR($K258="",G258=""),"",IF(COUNTIFS($B:$B,$B258,$A:$A,$K258,G:G,"&gt;=0")=0,"",G258-SUMIFS(G:G,$B:$B,$B258,$A:$A,$K258)))</f>
        <v/>
      </c>
    </row>
    <row r="259">
      <c r="A259" s="15" t="n">
        <v>46309</v>
      </c>
      <c r="B259" s="5" t="inlineStr">
        <is>
          <t>Corsair Vengeance RGB DDR5 32GB (2x16) 6000</t>
        </is>
      </c>
      <c r="C259" s="5" t="inlineStr">
        <is>
          <t>RAM</t>
        </is>
      </c>
      <c r="D259" s="7" t="n">
        <v>435.99</v>
      </c>
      <c r="E259" s="7" t="n">
        <v>399.9</v>
      </c>
      <c r="F259" s="2" t="n"/>
      <c r="G259" s="2" t="n"/>
      <c r="H259" s="9">
        <f>IFERROR(IF(INDEX(Dólar!$B:$B,MATCH(A259,Dólar!$A:$A,0))="","",INDEX(Dólar!$B:$B,MATCH(A259,Dólar!$A:$A,0))),"")</f>
        <v/>
      </c>
      <c r="I259" s="10">
        <f>IFERROR(INDEX(Dólar!$E:$E,MATCH(A259,Dólar!$A:$A,0)),"")</f>
        <v/>
      </c>
      <c r="J259" s="6" t="inlineStr">
        <is>
          <t>ver anuncio</t>
        </is>
      </c>
      <c r="K259" s="15" t="n">
        <v>46308</v>
      </c>
      <c r="L259" s="16">
        <f>IF(OR($K259="",D259=""),"",IF(COUNTIFS($B:$B,$B259,$A:$A,$K259,D:D,"&gt;=0")=0,"",D259-SUMIFS(D:D,$B:$B,$B259,$A:$A,$K259)))</f>
        <v/>
      </c>
      <c r="M259" s="16">
        <f>IF(OR($K259="",E259=""),"",IF(COUNTIFS($B:$B,$B259,$A:$A,$K259,E:E,"&gt;=0")=0,"",E259-SUMIFS(E:E,$B:$B,$B259,$A:$A,$K259)))</f>
        <v/>
      </c>
      <c r="N259" s="16">
        <f>IF(OR($K259="",F259=""),"",IF(COUNTIFS($B:$B,$B259,$A:$A,$K259,F:F,"&gt;=0")=0,"",F259-SUMIFS(F:F,$B:$B,$B259,$A:$A,$K259)))</f>
        <v/>
      </c>
      <c r="O259" s="16">
        <f>IF(OR($K259="",G259=""),"",IF(COUNTIFS($B:$B,$B259,$A:$A,$K259,G:G,"&gt;=0")=0,"",G259-SUMIFS(G:G,$B:$B,$B259,$A:$A,$K259)))</f>
        <v/>
      </c>
    </row>
    <row r="260">
      <c r="A260" s="15" t="n">
        <v>46309</v>
      </c>
      <c r="B260" s="5" t="inlineStr">
        <is>
          <t>Corsair Vengeance RGB DDR5 32GB (2x16) 5600</t>
        </is>
      </c>
      <c r="C260" s="5" t="inlineStr">
        <is>
          <t>RAM</t>
        </is>
      </c>
      <c r="D260" s="7" t="n">
        <v>429.97</v>
      </c>
      <c r="E260" s="7" t="n">
        <v>379.99</v>
      </c>
      <c r="F260" s="2" t="n"/>
      <c r="G260" s="2" t="n"/>
      <c r="H260" s="9">
        <f>IFERROR(IF(INDEX(Dólar!$B:$B,MATCH(A260,Dólar!$A:$A,0))="","",INDEX(Dólar!$B:$B,MATCH(A260,Dólar!$A:$A,0))),"")</f>
        <v/>
      </c>
      <c r="I260" s="10">
        <f>IFERROR(INDEX(Dólar!$E:$E,MATCH(A260,Dólar!$A:$A,0)),"")</f>
        <v/>
      </c>
      <c r="J260" s="6" t="inlineStr">
        <is>
          <t>ver anuncio</t>
        </is>
      </c>
      <c r="K260" s="15" t="n">
        <v>46308</v>
      </c>
      <c r="L260" s="16">
        <f>IF(OR($K260="",D260=""),"",IF(COUNTIFS($B:$B,$B260,$A:$A,$K260,D:D,"&gt;=0")=0,"",D260-SUMIFS(D:D,$B:$B,$B260,$A:$A,$K260)))</f>
        <v/>
      </c>
      <c r="M260" s="16">
        <f>IF(OR($K260="",E260=""),"",IF(COUNTIFS($B:$B,$B260,$A:$A,$K260,E:E,"&gt;=0")=0,"",E260-SUMIFS(E:E,$B:$B,$B260,$A:$A,$K260)))</f>
        <v/>
      </c>
      <c r="N260" s="16">
        <f>IF(OR($K260="",F260=""),"",IF(COUNTIFS($B:$B,$B260,$A:$A,$K260,F:F,"&gt;=0")=0,"",F260-SUMIFS(F:F,$B:$B,$B260,$A:$A,$K260)))</f>
        <v/>
      </c>
      <c r="O260" s="16">
        <f>IF(OR($K260="",G260=""),"",IF(COUNTIFS($B:$B,$B260,$A:$A,$K260,G:G,"&gt;=0")=0,"",G260-SUMIFS(G:G,$B:$B,$B260,$A:$A,$K260)))</f>
        <v/>
      </c>
    </row>
    <row r="261">
      <c r="A261" s="15" t="n">
        <v>46308</v>
      </c>
      <c r="B261" s="5" t="inlineStr">
        <is>
          <t>SSD NVMe 2TB</t>
        </is>
      </c>
      <c r="C261" s="5" t="inlineStr">
        <is>
          <t>SSD</t>
        </is>
      </c>
      <c r="D261" s="7" t="n">
        <v>209.99</v>
      </c>
      <c r="E261" s="7" t="n">
        <v>170</v>
      </c>
      <c r="F261" s="2" t="n"/>
      <c r="G261" s="2" t="n"/>
      <c r="H261" s="9">
        <f>IFERROR(IF(INDEX(Dólar!$B:$B,MATCH(A261,Dólar!$A:$A,0))="","",INDEX(Dólar!$B:$B,MATCH(A261,Dólar!$A:$A,0))),"")</f>
        <v/>
      </c>
      <c r="I261" s="10">
        <f>IFERROR(INDEX(Dólar!$E:$E,MATCH(A261,Dólar!$A:$A,0)),"")</f>
        <v/>
      </c>
      <c r="J261" s="6" t="inlineStr">
        <is>
          <t>ver anuncio</t>
        </is>
      </c>
      <c r="K261" s="15" t="n">
        <v>46307</v>
      </c>
      <c r="L261" s="16">
        <f>IF(OR($K261="",D261=""),"",IF(COUNTIFS($B:$B,$B261,$A:$A,$K261,D:D,"&gt;=0")=0,"",D261-SUMIFS(D:D,$B:$B,$B261,$A:$A,$K261)))</f>
        <v/>
      </c>
      <c r="M261" s="16">
        <f>IF(OR($K261="",E261=""),"",IF(COUNTIFS($B:$B,$B261,$A:$A,$K261,E:E,"&gt;=0")=0,"",E261-SUMIFS(E:E,$B:$B,$B261,$A:$A,$K261)))</f>
        <v/>
      </c>
      <c r="N261" s="16">
        <f>IF(OR($K261="",F261=""),"",IF(COUNTIFS($B:$B,$B261,$A:$A,$K261,F:F,"&gt;=0")=0,"",F261-SUMIFS(F:F,$B:$B,$B261,$A:$A,$K261)))</f>
        <v/>
      </c>
      <c r="O261" s="16">
        <f>IF(OR($K261="",G261=""),"",IF(COUNTIFS($B:$B,$B261,$A:$A,$K261,G:G,"&gt;=0")=0,"",G261-SUMIFS(G:G,$B:$B,$B261,$A:$A,$K261)))</f>
        <v/>
      </c>
    </row>
    <row r="262">
      <c r="A262" s="15" t="n">
        <v>46308</v>
      </c>
      <c r="B262" s="5" t="inlineStr">
        <is>
          <t>SSD NVMe 1TB</t>
        </is>
      </c>
      <c r="C262" s="5" t="inlineStr">
        <is>
          <t>SSD</t>
        </is>
      </c>
      <c r="D262" s="7" t="n">
        <v>114.99</v>
      </c>
      <c r="E262" s="7" t="n">
        <v>99.98999999999999</v>
      </c>
      <c r="F262" s="2" t="n"/>
      <c r="G262" s="2" t="n"/>
      <c r="H262" s="9">
        <f>IFERROR(IF(INDEX(Dólar!$B:$B,MATCH(A262,Dólar!$A:$A,0))="","",INDEX(Dólar!$B:$B,MATCH(A262,Dólar!$A:$A,0))),"")</f>
        <v/>
      </c>
      <c r="I262" s="10">
        <f>IFERROR(INDEX(Dólar!$E:$E,MATCH(A262,Dólar!$A:$A,0)),"")</f>
        <v/>
      </c>
      <c r="J262" s="6" t="inlineStr">
        <is>
          <t>ver anuncio</t>
        </is>
      </c>
      <c r="K262" s="15" t="n">
        <v>46307</v>
      </c>
      <c r="L262" s="16">
        <f>IF(OR($K262="",D262=""),"",IF(COUNTIFS($B:$B,$B262,$A:$A,$K262,D:D,"&gt;=0")=0,"",D262-SUMIFS(D:D,$B:$B,$B262,$A:$A,$K262)))</f>
        <v/>
      </c>
      <c r="M262" s="16">
        <f>IF(OR($K262="",E262=""),"",IF(COUNTIFS($B:$B,$B262,$A:$A,$K262,E:E,"&gt;=0")=0,"",E262-SUMIFS(E:E,$B:$B,$B262,$A:$A,$K262)))</f>
        <v/>
      </c>
      <c r="N262" s="16">
        <f>IF(OR($K262="",F262=""),"",IF(COUNTIFS($B:$B,$B262,$A:$A,$K262,F:F,"&gt;=0")=0,"",F262-SUMIFS(F:F,$B:$B,$B262,$A:$A,$K262)))</f>
        <v/>
      </c>
      <c r="O262" s="16">
        <f>IF(OR($K262="",G262=""),"",IF(COUNTIFS($B:$B,$B262,$A:$A,$K262,G:G,"&gt;=0")=0,"",G262-SUMIFS(G:G,$B:$B,$B262,$A:$A,$K262)))</f>
        <v/>
      </c>
    </row>
    <row r="263">
      <c r="A263" s="15" t="n">
        <v>46308</v>
      </c>
      <c r="B263" s="5" t="inlineStr">
        <is>
          <t>Ryzen 9 9950X</t>
        </is>
      </c>
      <c r="C263" s="5" t="inlineStr">
        <is>
          <t>CPU</t>
        </is>
      </c>
      <c r="D263" s="7" t="n">
        <v>499.99</v>
      </c>
      <c r="E263" s="7" t="n">
        <v>454.99</v>
      </c>
      <c r="F263" s="2" t="n"/>
      <c r="G263" s="2" t="n"/>
      <c r="H263" s="9">
        <f>IFERROR(IF(INDEX(Dólar!$B:$B,MATCH(A263,Dólar!$A:$A,0))="","",INDEX(Dólar!$B:$B,MATCH(A263,Dólar!$A:$A,0))),"")</f>
        <v/>
      </c>
      <c r="I263" s="10">
        <f>IFERROR(INDEX(Dólar!$E:$E,MATCH(A263,Dólar!$A:$A,0)),"")</f>
        <v/>
      </c>
      <c r="J263" s="6" t="inlineStr">
        <is>
          <t>ver anuncio</t>
        </is>
      </c>
      <c r="K263" s="15" t="n">
        <v>46307</v>
      </c>
      <c r="L263" s="16">
        <f>IF(OR($K263="",D263=""),"",IF(COUNTIFS($B:$B,$B263,$A:$A,$K263,D:D,"&gt;=0")=0,"",D263-SUMIFS(D:D,$B:$B,$B263,$A:$A,$K263)))</f>
        <v/>
      </c>
      <c r="M263" s="16">
        <f>IF(OR($K263="",E263=""),"",IF(COUNTIFS($B:$B,$B263,$A:$A,$K263,E:E,"&gt;=0")=0,"",E263-SUMIFS(E:E,$B:$B,$B263,$A:$A,$K263)))</f>
        <v/>
      </c>
      <c r="N263" s="16">
        <f>IF(OR($K263="",F263=""),"",IF(COUNTIFS($B:$B,$B263,$A:$A,$K263,F:F,"&gt;=0")=0,"",F263-SUMIFS(F:F,$B:$B,$B263,$A:$A,$K263)))</f>
        <v/>
      </c>
      <c r="O263" s="16">
        <f>IF(OR($K263="",G263=""),"",IF(COUNTIFS($B:$B,$B263,$A:$A,$K263,G:G,"&gt;=0")=0,"",G263-SUMIFS(G:G,$B:$B,$B263,$A:$A,$K263)))</f>
        <v/>
      </c>
    </row>
    <row r="264">
      <c r="A264" s="15" t="n">
        <v>46308</v>
      </c>
      <c r="B264" s="5" t="inlineStr">
        <is>
          <t>Ryzen 7 7800X3D</t>
        </is>
      </c>
      <c r="C264" s="5" t="inlineStr">
        <is>
          <t>CPU</t>
        </is>
      </c>
      <c r="D264" s="7" t="n">
        <v>329</v>
      </c>
      <c r="E264" s="7" t="n">
        <v>283.99</v>
      </c>
      <c r="F264" s="8" t="n">
        <v>4800</v>
      </c>
      <c r="G264" s="8" t="n">
        <v>5350</v>
      </c>
      <c r="H264" s="9">
        <f>IFERROR(IF(INDEX(Dólar!$B:$B,MATCH(A264,Dólar!$A:$A,0))="","",INDEX(Dólar!$B:$B,MATCH(A264,Dólar!$A:$A,0))),"")</f>
        <v/>
      </c>
      <c r="I264" s="10">
        <f>IFERROR(INDEX(Dólar!$E:$E,MATCH(A264,Dólar!$A:$A,0)),"")</f>
        <v/>
      </c>
      <c r="J264" s="6" t="inlineStr">
        <is>
          <t>ver anuncio</t>
        </is>
      </c>
      <c r="K264" s="15" t="n">
        <v>46307</v>
      </c>
      <c r="L264" s="16">
        <f>IF(OR($K264="",D264=""),"",IF(COUNTIFS($B:$B,$B264,$A:$A,$K264,D:D,"&gt;=0")=0,"",D264-SUMIFS(D:D,$B:$B,$B264,$A:$A,$K264)))</f>
        <v/>
      </c>
      <c r="M264" s="16">
        <f>IF(OR($K264="",E264=""),"",IF(COUNTIFS($B:$B,$B264,$A:$A,$K264,E:E,"&gt;=0")=0,"",E264-SUMIFS(E:E,$B:$B,$B264,$A:$A,$K264)))</f>
        <v/>
      </c>
      <c r="N264" s="16">
        <f>IF(OR($K264="",F264=""),"",IF(COUNTIFS($B:$B,$B264,$A:$A,$K264,F:F,"&gt;=0")=0,"",F264-SUMIFS(F:F,$B:$B,$B264,$A:$A,$K264)))</f>
        <v/>
      </c>
      <c r="O264" s="16">
        <f>IF(OR($K264="",G264=""),"",IF(COUNTIFS($B:$B,$B264,$A:$A,$K264,G:G,"&gt;=0")=0,"",G264-SUMIFS(G:G,$B:$B,$B264,$A:$A,$K264)))</f>
        <v/>
      </c>
    </row>
    <row r="265">
      <c r="A265" s="15" t="n">
        <v>46308</v>
      </c>
      <c r="B265" s="5" t="inlineStr">
        <is>
          <t>Ryzen 7 5700X3D</t>
        </is>
      </c>
      <c r="C265" s="5" t="inlineStr">
        <is>
          <t>CPU</t>
        </is>
      </c>
      <c r="D265" s="2" t="n"/>
      <c r="E265" s="7" t="n">
        <v>299.99</v>
      </c>
      <c r="F265" s="2" t="n"/>
      <c r="G265" s="2" t="n"/>
      <c r="H265" s="9">
        <f>IFERROR(IF(INDEX(Dólar!$B:$B,MATCH(A265,Dólar!$A:$A,0))="","",INDEX(Dólar!$B:$B,MATCH(A265,Dólar!$A:$A,0))),"")</f>
        <v/>
      </c>
      <c r="I265" s="10">
        <f>IFERROR(INDEX(Dólar!$E:$E,MATCH(A265,Dólar!$A:$A,0)),"")</f>
        <v/>
      </c>
      <c r="J265" s="6" t="inlineStr">
        <is>
          <t>ver anuncio</t>
        </is>
      </c>
      <c r="K265" s="15" t="n">
        <v>46307</v>
      </c>
      <c r="L265" s="16">
        <f>IF(OR($K265="",D265=""),"",IF(COUNTIFS($B:$B,$B265,$A:$A,$K265,D:D,"&gt;=0")=0,"",D265-SUMIFS(D:D,$B:$B,$B265,$A:$A,$K265)))</f>
        <v/>
      </c>
      <c r="M265" s="16">
        <f>IF(OR($K265="",E265=""),"",IF(COUNTIFS($B:$B,$B265,$A:$A,$K265,E:E,"&gt;=0")=0,"",E265-SUMIFS(E:E,$B:$B,$B265,$A:$A,$K265)))</f>
        <v/>
      </c>
      <c r="N265" s="16">
        <f>IF(OR($K265="",F265=""),"",IF(COUNTIFS($B:$B,$B265,$A:$A,$K265,F:F,"&gt;=0")=0,"",F265-SUMIFS(F:F,$B:$B,$B265,$A:$A,$K265)))</f>
        <v/>
      </c>
      <c r="O265" s="16">
        <f>IF(OR($K265="",G265=""),"",IF(COUNTIFS($B:$B,$B265,$A:$A,$K265,G:G,"&gt;=0")=0,"",G265-SUMIFS(G:G,$B:$B,$B265,$A:$A,$K265)))</f>
        <v/>
      </c>
    </row>
    <row r="266">
      <c r="A266" s="15" t="n">
        <v>46308</v>
      </c>
      <c r="B266" s="5" t="inlineStr">
        <is>
          <t>Ryzen 5 7600</t>
        </is>
      </c>
      <c r="C266" s="5" t="inlineStr">
        <is>
          <t>CPU</t>
        </is>
      </c>
      <c r="D266" s="7" t="n">
        <v>143.24</v>
      </c>
      <c r="E266" s="7" t="n">
        <v>122.99</v>
      </c>
      <c r="F266" s="2" t="n"/>
      <c r="G266" s="2" t="n"/>
      <c r="H266" s="9">
        <f>IFERROR(IF(INDEX(Dólar!$B:$B,MATCH(A266,Dólar!$A:$A,0))="","",INDEX(Dólar!$B:$B,MATCH(A266,Dólar!$A:$A,0))),"")</f>
        <v/>
      </c>
      <c r="I266" s="10">
        <f>IFERROR(INDEX(Dólar!$E:$E,MATCH(A266,Dólar!$A:$A,0)),"")</f>
        <v/>
      </c>
      <c r="J266" s="6" t="inlineStr">
        <is>
          <t>ver anuncio</t>
        </is>
      </c>
      <c r="K266" s="15" t="n">
        <v>46307</v>
      </c>
      <c r="L266" s="16">
        <f>IF(OR($K266="",D266=""),"",IF(COUNTIFS($B:$B,$B266,$A:$A,$K266,D:D,"&gt;=0")=0,"",D266-SUMIFS(D:D,$B:$B,$B266,$A:$A,$K266)))</f>
        <v/>
      </c>
      <c r="M266" s="16">
        <f>IF(OR($K266="",E266=""),"",IF(COUNTIFS($B:$B,$B266,$A:$A,$K266,E:E,"&gt;=0")=0,"",E266-SUMIFS(E:E,$B:$B,$B266,$A:$A,$K266)))</f>
        <v/>
      </c>
      <c r="N266" s="16">
        <f>IF(OR($K266="",F266=""),"",IF(COUNTIFS($B:$B,$B266,$A:$A,$K266,F:F,"&gt;=0")=0,"",F266-SUMIFS(F:F,$B:$B,$B266,$A:$A,$K266)))</f>
        <v/>
      </c>
      <c r="O266" s="16">
        <f>IF(OR($K266="",G266=""),"",IF(COUNTIFS($B:$B,$B266,$A:$A,$K266,G:G,"&gt;=0")=0,"",G266-SUMIFS(G:G,$B:$B,$B266,$A:$A,$K266)))</f>
        <v/>
      </c>
    </row>
    <row r="267">
      <c r="A267" s="15" t="n">
        <v>46308</v>
      </c>
      <c r="B267" s="5" t="inlineStr">
        <is>
          <t>Ryzen 5 5600</t>
        </is>
      </c>
      <c r="C267" s="5" t="inlineStr">
        <is>
          <t>CPU</t>
        </is>
      </c>
      <c r="D267" s="7" t="n">
        <v>138.9</v>
      </c>
      <c r="E267" s="7" t="n">
        <v>135</v>
      </c>
      <c r="F267" s="2" t="n"/>
      <c r="G267" s="2" t="n"/>
      <c r="H267" s="9">
        <f>IFERROR(IF(INDEX(Dólar!$B:$B,MATCH(A267,Dólar!$A:$A,0))="","",INDEX(Dólar!$B:$B,MATCH(A267,Dólar!$A:$A,0))),"")</f>
        <v/>
      </c>
      <c r="I267" s="10">
        <f>IFERROR(INDEX(Dólar!$E:$E,MATCH(A267,Dólar!$A:$A,0)),"")</f>
        <v/>
      </c>
      <c r="J267" s="6" t="inlineStr">
        <is>
          <t>ver anuncio</t>
        </is>
      </c>
      <c r="K267" s="15" t="n">
        <v>46307</v>
      </c>
      <c r="L267" s="16">
        <f>IF(OR($K267="",D267=""),"",IF(COUNTIFS($B:$B,$B267,$A:$A,$K267,D:D,"&gt;=0")=0,"",D267-SUMIFS(D:D,$B:$B,$B267,$A:$A,$K267)))</f>
        <v/>
      </c>
      <c r="M267" s="16">
        <f>IF(OR($K267="",E267=""),"",IF(COUNTIFS($B:$B,$B267,$A:$A,$K267,E:E,"&gt;=0")=0,"",E267-SUMIFS(E:E,$B:$B,$B267,$A:$A,$K267)))</f>
        <v/>
      </c>
      <c r="N267" s="16">
        <f>IF(OR($K267="",F267=""),"",IF(COUNTIFS($B:$B,$B267,$A:$A,$K267,F:F,"&gt;=0")=0,"",F267-SUMIFS(F:F,$B:$B,$B267,$A:$A,$K267)))</f>
        <v/>
      </c>
      <c r="O267" s="16">
        <f>IF(OR($K267="",G267=""),"",IF(COUNTIFS($B:$B,$B267,$A:$A,$K267,G:G,"&gt;=0")=0,"",G267-SUMIFS(G:G,$B:$B,$B267,$A:$A,$K267)))</f>
        <v/>
      </c>
    </row>
    <row r="268">
      <c r="A268" s="15" t="n">
        <v>46308</v>
      </c>
      <c r="B268" s="5" t="inlineStr">
        <is>
          <t>RAM DDR4 16GB (2x8) 3200</t>
        </is>
      </c>
      <c r="C268" s="5" t="inlineStr">
        <is>
          <t>RAM</t>
        </is>
      </c>
      <c r="D268" s="7" t="n">
        <v>92.98999999999999</v>
      </c>
      <c r="E268" s="7" t="n">
        <v>64.98999999999999</v>
      </c>
      <c r="F268" s="2" t="n"/>
      <c r="G268" s="2" t="n"/>
      <c r="H268" s="9">
        <f>IFERROR(IF(INDEX(Dólar!$B:$B,MATCH(A268,Dólar!$A:$A,0))="","",INDEX(Dólar!$B:$B,MATCH(A268,Dólar!$A:$A,0))),"")</f>
        <v/>
      </c>
      <c r="I268" s="10">
        <f>IFERROR(INDEX(Dólar!$E:$E,MATCH(A268,Dólar!$A:$A,0)),"")</f>
        <v/>
      </c>
      <c r="J268" s="6" t="inlineStr">
        <is>
          <t>ver anuncio</t>
        </is>
      </c>
      <c r="K268" s="15" t="n">
        <v>46307</v>
      </c>
      <c r="L268" s="16">
        <f>IF(OR($K268="",D268=""),"",IF(COUNTIFS($B:$B,$B268,$A:$A,$K268,D:D,"&gt;=0")=0,"",D268-SUMIFS(D:D,$B:$B,$B268,$A:$A,$K268)))</f>
        <v/>
      </c>
      <c r="M268" s="16">
        <f>IF(OR($K268="",E268=""),"",IF(COUNTIFS($B:$B,$B268,$A:$A,$K268,E:E,"&gt;=0")=0,"",E268-SUMIFS(E:E,$B:$B,$B268,$A:$A,$K268)))</f>
        <v/>
      </c>
      <c r="N268" s="16">
        <f>IF(OR($K268="",F268=""),"",IF(COUNTIFS($B:$B,$B268,$A:$A,$K268,F:F,"&gt;=0")=0,"",F268-SUMIFS(F:F,$B:$B,$B268,$A:$A,$K268)))</f>
        <v/>
      </c>
      <c r="O268" s="16">
        <f>IF(OR($K268="",G268=""),"",IF(COUNTIFS($B:$B,$B268,$A:$A,$K268,G:G,"&gt;=0")=0,"",G268-SUMIFS(G:G,$B:$B,$B268,$A:$A,$K268)))</f>
        <v/>
      </c>
    </row>
    <row r="269">
      <c r="A269" s="15" t="n">
        <v>46308</v>
      </c>
      <c r="B269" s="5" t="inlineStr">
        <is>
          <t>Intel Core i5-14400F</t>
        </is>
      </c>
      <c r="C269" s="5" t="inlineStr">
        <is>
          <t>CPU</t>
        </is>
      </c>
      <c r="D269" s="7" t="n">
        <v>164.49</v>
      </c>
      <c r="E269" s="7" t="n">
        <v>134</v>
      </c>
      <c r="F269" s="2" t="n"/>
      <c r="G269" s="8" t="n">
        <v>2460</v>
      </c>
      <c r="H269" s="9">
        <f>IFERROR(IF(INDEX(Dólar!$B:$B,MATCH(A269,Dólar!$A:$A,0))="","",INDEX(Dólar!$B:$B,MATCH(A269,Dólar!$A:$A,0))),"")</f>
        <v/>
      </c>
      <c r="I269" s="10">
        <f>IFERROR(INDEX(Dólar!$E:$E,MATCH(A269,Dólar!$A:$A,0)),"")</f>
        <v/>
      </c>
      <c r="J269" s="6" t="inlineStr">
        <is>
          <t>ver anuncio</t>
        </is>
      </c>
      <c r="K269" s="15" t="n">
        <v>46307</v>
      </c>
      <c r="L269" s="16">
        <f>IF(OR($K269="",D269=""),"",IF(COUNTIFS($B:$B,$B269,$A:$A,$K269,D:D,"&gt;=0")=0,"",D269-SUMIFS(D:D,$B:$B,$B269,$A:$A,$K269)))</f>
        <v/>
      </c>
      <c r="M269" s="16">
        <f>IF(OR($K269="",E269=""),"",IF(COUNTIFS($B:$B,$B269,$A:$A,$K269,E:E,"&gt;=0")=0,"",E269-SUMIFS(E:E,$B:$B,$B269,$A:$A,$K269)))</f>
        <v/>
      </c>
      <c r="N269" s="16">
        <f>IF(OR($K269="",F269=""),"",IF(COUNTIFS($B:$B,$B269,$A:$A,$K269,F:F,"&gt;=0")=0,"",F269-SUMIFS(F:F,$B:$B,$B269,$A:$A,$K269)))</f>
        <v/>
      </c>
      <c r="O269" s="16">
        <f>IF(OR($K269="",G269=""),"",IF(COUNTIFS($B:$B,$B269,$A:$A,$K269,G:G,"&gt;=0")=0,"",G269-SUMIFS(G:G,$B:$B,$B269,$A:$A,$K269)))</f>
        <v/>
      </c>
    </row>
    <row r="270">
      <c r="A270" s="15" t="n">
        <v>46308</v>
      </c>
      <c r="B270" s="5" t="inlineStr">
        <is>
          <t>Intel Core i5-13400</t>
        </is>
      </c>
      <c r="C270" s="5" t="inlineStr">
        <is>
          <t>CPU</t>
        </is>
      </c>
      <c r="D270" s="2" t="n"/>
      <c r="E270" s="7" t="n">
        <v>149.99</v>
      </c>
      <c r="F270" s="2" t="n"/>
      <c r="G270" s="2" t="n"/>
      <c r="H270" s="9">
        <f>IFERROR(IF(INDEX(Dólar!$B:$B,MATCH(A270,Dólar!$A:$A,0))="","",INDEX(Dólar!$B:$B,MATCH(A270,Dólar!$A:$A,0))),"")</f>
        <v/>
      </c>
      <c r="I270" s="10">
        <f>IFERROR(INDEX(Dólar!$E:$E,MATCH(A270,Dólar!$A:$A,0)),"")</f>
        <v/>
      </c>
      <c r="J270" s="6" t="inlineStr">
        <is>
          <t>ver anuncio</t>
        </is>
      </c>
      <c r="K270" s="15" t="n">
        <v>46307</v>
      </c>
      <c r="L270" s="16">
        <f>IF(OR($K270="",D270=""),"",IF(COUNTIFS($B:$B,$B270,$A:$A,$K270,D:D,"&gt;=0")=0,"",D270-SUMIFS(D:D,$B:$B,$B270,$A:$A,$K270)))</f>
        <v/>
      </c>
      <c r="M270" s="16">
        <f>IF(OR($K270="",E270=""),"",IF(COUNTIFS($B:$B,$B270,$A:$A,$K270,E:E,"&gt;=0")=0,"",E270-SUMIFS(E:E,$B:$B,$B270,$A:$A,$K270)))</f>
        <v/>
      </c>
      <c r="N270" s="16">
        <f>IF(OR($K270="",F270=""),"",IF(COUNTIFS($B:$B,$B270,$A:$A,$K270,F:F,"&gt;=0")=0,"",F270-SUMIFS(F:F,$B:$B,$B270,$A:$A,$K270)))</f>
        <v/>
      </c>
      <c r="O270" s="16">
        <f>IF(OR($K270="",G270=""),"",IF(COUNTIFS($B:$B,$B270,$A:$A,$K270,G:G,"&gt;=0")=0,"",G270-SUMIFS(G:G,$B:$B,$B270,$A:$A,$K270)))</f>
        <v/>
      </c>
    </row>
    <row r="271">
      <c r="A271" s="15" t="n">
        <v>46308</v>
      </c>
      <c r="B271" s="5" t="inlineStr">
        <is>
          <t>Intel Core i5-12400F</t>
        </is>
      </c>
      <c r="C271" s="5" t="inlineStr">
        <is>
          <t>CPU</t>
        </is>
      </c>
      <c r="D271" s="7" t="n">
        <v>150</v>
      </c>
      <c r="E271" s="7" t="n">
        <v>99</v>
      </c>
      <c r="F271" s="2" t="n"/>
      <c r="G271" s="2" t="n"/>
      <c r="H271" s="9">
        <f>IFERROR(IF(INDEX(Dólar!$B:$B,MATCH(A271,Dólar!$A:$A,0))="","",INDEX(Dólar!$B:$B,MATCH(A271,Dólar!$A:$A,0))),"")</f>
        <v/>
      </c>
      <c r="I271" s="10">
        <f>IFERROR(INDEX(Dólar!$E:$E,MATCH(A271,Dólar!$A:$A,0)),"")</f>
        <v/>
      </c>
      <c r="J271" s="6" t="inlineStr">
        <is>
          <t>ver anuncio</t>
        </is>
      </c>
      <c r="K271" s="15" t="n">
        <v>46307</v>
      </c>
      <c r="L271" s="16">
        <f>IF(OR($K271="",D271=""),"",IF(COUNTIFS($B:$B,$B271,$A:$A,$K271,D:D,"&gt;=0")=0,"",D271-SUMIFS(D:D,$B:$B,$B271,$A:$A,$K271)))</f>
        <v/>
      </c>
      <c r="M271" s="16">
        <f>IF(OR($K271="",E271=""),"",IF(COUNTIFS($B:$B,$B271,$A:$A,$K271,E:E,"&gt;=0")=0,"",E271-SUMIFS(E:E,$B:$B,$B271,$A:$A,$K271)))</f>
        <v/>
      </c>
      <c r="N271" s="16">
        <f>IF(OR($K271="",F271=""),"",IF(COUNTIFS($B:$B,$B271,$A:$A,$K271,F:F,"&gt;=0")=0,"",F271-SUMIFS(F:F,$B:$B,$B271,$A:$A,$K271)))</f>
        <v/>
      </c>
      <c r="O271" s="16">
        <f>IF(OR($K271="",G271=""),"",IF(COUNTIFS($B:$B,$B271,$A:$A,$K271,G:G,"&gt;=0")=0,"",G271-SUMIFS(G:G,$B:$B,$B271,$A:$A,$K271)))</f>
        <v/>
      </c>
    </row>
    <row r="272">
      <c r="A272" s="15" t="n">
        <v>46308</v>
      </c>
      <c r="B272" s="5" t="inlineStr">
        <is>
          <t>Intel Core Ultra 7 265K</t>
        </is>
      </c>
      <c r="C272" s="5" t="inlineStr">
        <is>
          <t>CPU</t>
        </is>
      </c>
      <c r="D272" s="7" t="n">
        <v>234.99</v>
      </c>
      <c r="E272" s="7" t="n">
        <v>209.99</v>
      </c>
      <c r="F272" s="2" t="n"/>
      <c r="G272" s="2" t="n"/>
      <c r="H272" s="9">
        <f>IFERROR(IF(INDEX(Dólar!$B:$B,MATCH(A272,Dólar!$A:$A,0))="","",INDEX(Dólar!$B:$B,MATCH(A272,Dólar!$A:$A,0))),"")</f>
        <v/>
      </c>
      <c r="I272" s="10">
        <f>IFERROR(INDEX(Dólar!$E:$E,MATCH(A272,Dólar!$A:$A,0)),"")</f>
        <v/>
      </c>
      <c r="J272" s="6" t="inlineStr">
        <is>
          <t>ver anuncio</t>
        </is>
      </c>
      <c r="K272" s="15" t="n">
        <v>46307</v>
      </c>
      <c r="L272" s="16">
        <f>IF(OR($K272="",D272=""),"",IF(COUNTIFS($B:$B,$B272,$A:$A,$K272,D:D,"&gt;=0")=0,"",D272-SUMIFS(D:D,$B:$B,$B272,$A:$A,$K272)))</f>
        <v/>
      </c>
      <c r="M272" s="16">
        <f>IF(OR($K272="",E272=""),"",IF(COUNTIFS($B:$B,$B272,$A:$A,$K272,E:E,"&gt;=0")=0,"",E272-SUMIFS(E:E,$B:$B,$B272,$A:$A,$K272)))</f>
        <v/>
      </c>
      <c r="N272" s="16">
        <f>IF(OR($K272="",F272=""),"",IF(COUNTIFS($B:$B,$B272,$A:$A,$K272,F:F,"&gt;=0")=0,"",F272-SUMIFS(F:F,$B:$B,$B272,$A:$A,$K272)))</f>
        <v/>
      </c>
      <c r="O272" s="16">
        <f>IF(OR($K272="",G272=""),"",IF(COUNTIFS($B:$B,$B272,$A:$A,$K272,G:G,"&gt;=0")=0,"",G272-SUMIFS(G:G,$B:$B,$B272,$A:$A,$K272)))</f>
        <v/>
      </c>
    </row>
    <row r="273">
      <c r="A273" s="15" t="n">
        <v>46308</v>
      </c>
      <c r="B273" s="5" t="inlineStr">
        <is>
          <t>Corsair Vengeance RGB DDR5 32GB (2x16) 6000</t>
        </is>
      </c>
      <c r="C273" s="5" t="inlineStr">
        <is>
          <t>RAM</t>
        </is>
      </c>
      <c r="D273" s="7" t="n">
        <v>435.99</v>
      </c>
      <c r="E273" s="7" t="n">
        <v>399.9</v>
      </c>
      <c r="F273" s="2" t="n"/>
      <c r="G273" s="2" t="n"/>
      <c r="H273" s="9">
        <f>IFERROR(IF(INDEX(Dólar!$B:$B,MATCH(A273,Dólar!$A:$A,0))="","",INDEX(Dólar!$B:$B,MATCH(A273,Dólar!$A:$A,0))),"")</f>
        <v/>
      </c>
      <c r="I273" s="10">
        <f>IFERROR(INDEX(Dólar!$E:$E,MATCH(A273,Dólar!$A:$A,0)),"")</f>
        <v/>
      </c>
      <c r="J273" s="6" t="inlineStr">
        <is>
          <t>ver anuncio</t>
        </is>
      </c>
      <c r="K273" s="15" t="n">
        <v>46307</v>
      </c>
      <c r="L273" s="16">
        <f>IF(OR($K273="",D273=""),"",IF(COUNTIFS($B:$B,$B273,$A:$A,$K273,D:D,"&gt;=0")=0,"",D273-SUMIFS(D:D,$B:$B,$B273,$A:$A,$K273)))</f>
        <v/>
      </c>
      <c r="M273" s="16">
        <f>IF(OR($K273="",E273=""),"",IF(COUNTIFS($B:$B,$B273,$A:$A,$K273,E:E,"&gt;=0")=0,"",E273-SUMIFS(E:E,$B:$B,$B273,$A:$A,$K273)))</f>
        <v/>
      </c>
      <c r="N273" s="16">
        <f>IF(OR($K273="",F273=""),"",IF(COUNTIFS($B:$B,$B273,$A:$A,$K273,F:F,"&gt;=0")=0,"",F273-SUMIFS(F:F,$B:$B,$B273,$A:$A,$K273)))</f>
        <v/>
      </c>
      <c r="O273" s="16">
        <f>IF(OR($K273="",G273=""),"",IF(COUNTIFS($B:$B,$B273,$A:$A,$K273,G:G,"&gt;=0")=0,"",G273-SUMIFS(G:G,$B:$B,$B273,$A:$A,$K273)))</f>
        <v/>
      </c>
    </row>
    <row r="274">
      <c r="A274" s="15" t="n">
        <v>46308</v>
      </c>
      <c r="B274" s="5" t="inlineStr">
        <is>
          <t>Corsair Vengeance RGB DDR5 32GB (2x16) 5600</t>
        </is>
      </c>
      <c r="C274" s="5" t="inlineStr">
        <is>
          <t>RAM</t>
        </is>
      </c>
      <c r="D274" s="7" t="n">
        <v>493</v>
      </c>
      <c r="E274" s="7" t="n">
        <v>383.99</v>
      </c>
      <c r="F274" s="2" t="n"/>
      <c r="G274" s="2" t="n"/>
      <c r="H274" s="9">
        <f>IFERROR(IF(INDEX(Dólar!$B:$B,MATCH(A274,Dólar!$A:$A,0))="","",INDEX(Dólar!$B:$B,MATCH(A274,Dólar!$A:$A,0))),"")</f>
        <v/>
      </c>
      <c r="I274" s="10">
        <f>IFERROR(INDEX(Dólar!$E:$E,MATCH(A274,Dólar!$A:$A,0)),"")</f>
        <v/>
      </c>
      <c r="J274" s="6" t="inlineStr">
        <is>
          <t>ver anuncio</t>
        </is>
      </c>
      <c r="K274" s="15" t="n">
        <v>46307</v>
      </c>
      <c r="L274" s="16">
        <f>IF(OR($K274="",D274=""),"",IF(COUNTIFS($B:$B,$B274,$A:$A,$K274,D:D,"&gt;=0")=0,"",D274-SUMIFS(D:D,$B:$B,$B274,$A:$A,$K274)))</f>
        <v/>
      </c>
      <c r="M274" s="16">
        <f>IF(OR($K274="",E274=""),"",IF(COUNTIFS($B:$B,$B274,$A:$A,$K274,E:E,"&gt;=0")=0,"",E274-SUMIFS(E:E,$B:$B,$B274,$A:$A,$K274)))</f>
        <v/>
      </c>
      <c r="N274" s="16">
        <f>IF(OR($K274="",F274=""),"",IF(COUNTIFS($B:$B,$B274,$A:$A,$K274,F:F,"&gt;=0")=0,"",F274-SUMIFS(F:F,$B:$B,$B274,$A:$A,$K274)))</f>
        <v/>
      </c>
      <c r="O274" s="16">
        <f>IF(OR($K274="",G274=""),"",IF(COUNTIFS($B:$B,$B274,$A:$A,$K274,G:G,"&gt;=0")=0,"",G274-SUMIFS(G:G,$B:$B,$B274,$A:$A,$K274)))</f>
        <v/>
      </c>
    </row>
    <row r="275">
      <c r="A275" s="15" t="n">
        <v>46307</v>
      </c>
      <c r="B275" s="5" t="inlineStr">
        <is>
          <t>SSD NVMe 2TB</t>
        </is>
      </c>
      <c r="C275" s="5" t="inlineStr">
        <is>
          <t>SSD</t>
        </is>
      </c>
      <c r="D275" s="7" t="n">
        <v>209.99</v>
      </c>
      <c r="E275" s="7" t="n">
        <v>179.99</v>
      </c>
      <c r="F275" s="2" t="n"/>
      <c r="G275" s="8" t="n">
        <v>4060</v>
      </c>
      <c r="H275" s="9">
        <f>IFERROR(IF(INDEX(Dólar!$B:$B,MATCH(A275,Dólar!$A:$A,0))="","",INDEX(Dólar!$B:$B,MATCH(A275,Dólar!$A:$A,0))),"")</f>
        <v/>
      </c>
      <c r="I275" s="10">
        <f>IFERROR(INDEX(Dólar!$E:$E,MATCH(A275,Dólar!$A:$A,0)),"")</f>
        <v/>
      </c>
      <c r="J275" s="6" t="inlineStr">
        <is>
          <t>ver anuncio</t>
        </is>
      </c>
      <c r="K275" s="15" t="n">
        <v>46306</v>
      </c>
      <c r="L275" s="16">
        <f>IF(OR($K275="",D275=""),"",IF(COUNTIFS($B:$B,$B275,$A:$A,$K275,D:D,"&gt;=0")=0,"",D275-SUMIFS(D:D,$B:$B,$B275,$A:$A,$K275)))</f>
        <v/>
      </c>
      <c r="M275" s="16">
        <f>IF(OR($K275="",E275=""),"",IF(COUNTIFS($B:$B,$B275,$A:$A,$K275,E:E,"&gt;=0")=0,"",E275-SUMIFS(E:E,$B:$B,$B275,$A:$A,$K275)))</f>
        <v/>
      </c>
      <c r="N275" s="16">
        <f>IF(OR($K275="",F275=""),"",IF(COUNTIFS($B:$B,$B275,$A:$A,$K275,F:F,"&gt;=0")=0,"",F275-SUMIFS(F:F,$B:$B,$B275,$A:$A,$K275)))</f>
        <v/>
      </c>
      <c r="O275" s="16">
        <f>IF(OR($K275="",G275=""),"",IF(COUNTIFS($B:$B,$B275,$A:$A,$K275,G:G,"&gt;=0")=0,"",G275-SUMIFS(G:G,$B:$B,$B275,$A:$A,$K275)))</f>
        <v/>
      </c>
    </row>
    <row r="276">
      <c r="A276" s="15" t="n">
        <v>46307</v>
      </c>
      <c r="B276" s="5" t="inlineStr">
        <is>
          <t>SSD NVMe 1TB</t>
        </is>
      </c>
      <c r="C276" s="5" t="inlineStr">
        <is>
          <t>SSD</t>
        </is>
      </c>
      <c r="D276" s="7" t="n">
        <v>114.99</v>
      </c>
      <c r="E276" s="7" t="n">
        <v>99.98999999999999</v>
      </c>
      <c r="F276" s="2" t="n"/>
      <c r="G276" s="8" t="n">
        <v>1860</v>
      </c>
      <c r="H276" s="9">
        <f>IFERROR(IF(INDEX(Dólar!$B:$B,MATCH(A276,Dólar!$A:$A,0))="","",INDEX(Dólar!$B:$B,MATCH(A276,Dólar!$A:$A,0))),"")</f>
        <v/>
      </c>
      <c r="I276" s="10">
        <f>IFERROR(INDEX(Dólar!$E:$E,MATCH(A276,Dólar!$A:$A,0)),"")</f>
        <v/>
      </c>
      <c r="J276" s="6" t="inlineStr">
        <is>
          <t>ver anuncio</t>
        </is>
      </c>
      <c r="K276" s="15" t="n">
        <v>46306</v>
      </c>
      <c r="L276" s="16">
        <f>IF(OR($K276="",D276=""),"",IF(COUNTIFS($B:$B,$B276,$A:$A,$K276,D:D,"&gt;=0")=0,"",D276-SUMIFS(D:D,$B:$B,$B276,$A:$A,$K276)))</f>
        <v/>
      </c>
      <c r="M276" s="16">
        <f>IF(OR($K276="",E276=""),"",IF(COUNTIFS($B:$B,$B276,$A:$A,$K276,E:E,"&gt;=0")=0,"",E276-SUMIFS(E:E,$B:$B,$B276,$A:$A,$K276)))</f>
        <v/>
      </c>
      <c r="N276" s="16">
        <f>IF(OR($K276="",F276=""),"",IF(COUNTIFS($B:$B,$B276,$A:$A,$K276,F:F,"&gt;=0")=0,"",F276-SUMIFS(F:F,$B:$B,$B276,$A:$A,$K276)))</f>
        <v/>
      </c>
      <c r="O276" s="16">
        <f>IF(OR($K276="",G276=""),"",IF(COUNTIFS($B:$B,$B276,$A:$A,$K276,G:G,"&gt;=0")=0,"",G276-SUMIFS(G:G,$B:$B,$B276,$A:$A,$K276)))</f>
        <v/>
      </c>
    </row>
    <row r="277">
      <c r="A277" s="15" t="n">
        <v>46307</v>
      </c>
      <c r="B277" s="5" t="inlineStr">
        <is>
          <t>Ryzen 9 9950X</t>
        </is>
      </c>
      <c r="C277" s="5" t="inlineStr">
        <is>
          <t>CPU</t>
        </is>
      </c>
      <c r="D277" s="7" t="n">
        <v>499.99</v>
      </c>
      <c r="E277" s="7" t="n">
        <v>454.99</v>
      </c>
      <c r="F277" s="2" t="n"/>
      <c r="G277" s="8" t="n">
        <v>6140</v>
      </c>
      <c r="H277" s="9">
        <f>IFERROR(IF(INDEX(Dólar!$B:$B,MATCH(A277,Dólar!$A:$A,0))="","",INDEX(Dólar!$B:$B,MATCH(A277,Dólar!$A:$A,0))),"")</f>
        <v/>
      </c>
      <c r="I277" s="10">
        <f>IFERROR(INDEX(Dólar!$E:$E,MATCH(A277,Dólar!$A:$A,0)),"")</f>
        <v/>
      </c>
      <c r="J277" s="6" t="inlineStr">
        <is>
          <t>ver anuncio</t>
        </is>
      </c>
      <c r="K277" s="15" t="n">
        <v>46306</v>
      </c>
      <c r="L277" s="16">
        <f>IF(OR($K277="",D277=""),"",IF(COUNTIFS($B:$B,$B277,$A:$A,$K277,D:D,"&gt;=0")=0,"",D277-SUMIFS(D:D,$B:$B,$B277,$A:$A,$K277)))</f>
        <v/>
      </c>
      <c r="M277" s="16">
        <f>IF(OR($K277="",E277=""),"",IF(COUNTIFS($B:$B,$B277,$A:$A,$K277,E:E,"&gt;=0")=0,"",E277-SUMIFS(E:E,$B:$B,$B277,$A:$A,$K277)))</f>
        <v/>
      </c>
      <c r="N277" s="16">
        <f>IF(OR($K277="",F277=""),"",IF(COUNTIFS($B:$B,$B277,$A:$A,$K277,F:F,"&gt;=0")=0,"",F277-SUMIFS(F:F,$B:$B,$B277,$A:$A,$K277)))</f>
        <v/>
      </c>
      <c r="O277" s="16">
        <f>IF(OR($K277="",G277=""),"",IF(COUNTIFS($B:$B,$B277,$A:$A,$K277,G:G,"&gt;=0")=0,"",G277-SUMIFS(G:G,$B:$B,$B277,$A:$A,$K277)))</f>
        <v/>
      </c>
    </row>
    <row r="278">
      <c r="A278" s="15" t="n">
        <v>46307</v>
      </c>
      <c r="B278" s="5" t="inlineStr">
        <is>
          <t>Ryzen 7 7800X3D</t>
        </is>
      </c>
      <c r="C278" s="5" t="inlineStr">
        <is>
          <t>CPU</t>
        </is>
      </c>
      <c r="D278" s="7" t="n">
        <v>329</v>
      </c>
      <c r="E278" s="7" t="n">
        <v>283.99</v>
      </c>
      <c r="F278" s="2" t="n"/>
      <c r="G278" s="8" t="n">
        <v>4760</v>
      </c>
      <c r="H278" s="9">
        <f>IFERROR(IF(INDEX(Dólar!$B:$B,MATCH(A278,Dólar!$A:$A,0))="","",INDEX(Dólar!$B:$B,MATCH(A278,Dólar!$A:$A,0))),"")</f>
        <v/>
      </c>
      <c r="I278" s="10">
        <f>IFERROR(INDEX(Dólar!$E:$E,MATCH(A278,Dólar!$A:$A,0)),"")</f>
        <v/>
      </c>
      <c r="J278" s="6" t="inlineStr">
        <is>
          <t>ver anuncio</t>
        </is>
      </c>
      <c r="K278" s="15" t="n">
        <v>46306</v>
      </c>
      <c r="L278" s="16">
        <f>IF(OR($K278="",D278=""),"",IF(COUNTIFS($B:$B,$B278,$A:$A,$K278,D:D,"&gt;=0")=0,"",D278-SUMIFS(D:D,$B:$B,$B278,$A:$A,$K278)))</f>
        <v/>
      </c>
      <c r="M278" s="16">
        <f>IF(OR($K278="",E278=""),"",IF(COUNTIFS($B:$B,$B278,$A:$A,$K278,E:E,"&gt;=0")=0,"",E278-SUMIFS(E:E,$B:$B,$B278,$A:$A,$K278)))</f>
        <v/>
      </c>
      <c r="N278" s="16">
        <f>IF(OR($K278="",F278=""),"",IF(COUNTIFS($B:$B,$B278,$A:$A,$K278,F:F,"&gt;=0")=0,"",F278-SUMIFS(F:F,$B:$B,$B278,$A:$A,$K278)))</f>
        <v/>
      </c>
      <c r="O278" s="16">
        <f>IF(OR($K278="",G278=""),"",IF(COUNTIFS($B:$B,$B278,$A:$A,$K278,G:G,"&gt;=0")=0,"",G278-SUMIFS(G:G,$B:$B,$B278,$A:$A,$K278)))</f>
        <v/>
      </c>
    </row>
    <row r="279">
      <c r="A279" s="15" t="n">
        <v>46307</v>
      </c>
      <c r="B279" s="5" t="inlineStr">
        <is>
          <t>Ryzen 7 5700X3D</t>
        </is>
      </c>
      <c r="C279" s="5" t="inlineStr">
        <is>
          <t>CPU</t>
        </is>
      </c>
      <c r="D279" s="2" t="n"/>
      <c r="E279" s="7" t="n">
        <v>305</v>
      </c>
      <c r="F279" s="2" t="n"/>
      <c r="G279" s="2" t="n"/>
      <c r="H279" s="9">
        <f>IFERROR(IF(INDEX(Dólar!$B:$B,MATCH(A279,Dólar!$A:$A,0))="","",INDEX(Dólar!$B:$B,MATCH(A279,Dólar!$A:$A,0))),"")</f>
        <v/>
      </c>
      <c r="I279" s="10">
        <f>IFERROR(INDEX(Dólar!$E:$E,MATCH(A279,Dólar!$A:$A,0)),"")</f>
        <v/>
      </c>
      <c r="J279" s="6" t="inlineStr">
        <is>
          <t>ver anuncio</t>
        </is>
      </c>
      <c r="K279" s="5" t="n"/>
      <c r="L279" s="16">
        <f>IF(OR($K279="",D279=""),"",IF(COUNTIFS($B:$B,$B279,$A:$A,$K279,D:D,"&gt;=0")=0,"",D279-SUMIFS(D:D,$B:$B,$B279,$A:$A,$K279)))</f>
        <v/>
      </c>
      <c r="M279" s="16">
        <f>IF(OR($K279="",E279=""),"",IF(COUNTIFS($B:$B,$B279,$A:$A,$K279,E:E,"&gt;=0")=0,"",E279-SUMIFS(E:E,$B:$B,$B279,$A:$A,$K279)))</f>
        <v/>
      </c>
      <c r="N279" s="16">
        <f>IF(OR($K279="",F279=""),"",IF(COUNTIFS($B:$B,$B279,$A:$A,$K279,F:F,"&gt;=0")=0,"",F279-SUMIFS(F:F,$B:$B,$B279,$A:$A,$K279)))</f>
        <v/>
      </c>
      <c r="O279" s="16">
        <f>IF(OR($K279="",G279=""),"",IF(COUNTIFS($B:$B,$B279,$A:$A,$K279,G:G,"&gt;=0")=0,"",G279-SUMIFS(G:G,$B:$B,$B279,$A:$A,$K279)))</f>
        <v/>
      </c>
    </row>
    <row r="280">
      <c r="A280" s="15" t="n">
        <v>46307</v>
      </c>
      <c r="B280" s="5" t="inlineStr">
        <is>
          <t>Ryzen 5 7600</t>
        </is>
      </c>
      <c r="C280" s="5" t="inlineStr">
        <is>
          <t>CPU</t>
        </is>
      </c>
      <c r="D280" s="7" t="n">
        <v>144.25</v>
      </c>
      <c r="E280" s="7" t="n">
        <v>122.99</v>
      </c>
      <c r="F280" s="2" t="n"/>
      <c r="G280" s="8" t="n">
        <v>2860</v>
      </c>
      <c r="H280" s="9">
        <f>IFERROR(IF(INDEX(Dólar!$B:$B,MATCH(A280,Dólar!$A:$A,0))="","",INDEX(Dólar!$B:$B,MATCH(A280,Dólar!$A:$A,0))),"")</f>
        <v/>
      </c>
      <c r="I280" s="10">
        <f>IFERROR(INDEX(Dólar!$E:$E,MATCH(A280,Dólar!$A:$A,0)),"")</f>
        <v/>
      </c>
      <c r="J280" s="6" t="inlineStr">
        <is>
          <t>ver anuncio</t>
        </is>
      </c>
      <c r="K280" s="15" t="n">
        <v>46306</v>
      </c>
      <c r="L280" s="16">
        <f>IF(OR($K280="",D280=""),"",IF(COUNTIFS($B:$B,$B280,$A:$A,$K280,D:D,"&gt;=0")=0,"",D280-SUMIFS(D:D,$B:$B,$B280,$A:$A,$K280)))</f>
        <v/>
      </c>
      <c r="M280" s="16">
        <f>IF(OR($K280="",E280=""),"",IF(COUNTIFS($B:$B,$B280,$A:$A,$K280,E:E,"&gt;=0")=0,"",E280-SUMIFS(E:E,$B:$B,$B280,$A:$A,$K280)))</f>
        <v/>
      </c>
      <c r="N280" s="16">
        <f>IF(OR($K280="",F280=""),"",IF(COUNTIFS($B:$B,$B280,$A:$A,$K280,F:F,"&gt;=0")=0,"",F280-SUMIFS(F:F,$B:$B,$B280,$A:$A,$K280)))</f>
        <v/>
      </c>
      <c r="O280" s="16">
        <f>IF(OR($K280="",G280=""),"",IF(COUNTIFS($B:$B,$B280,$A:$A,$K280,G:G,"&gt;=0")=0,"",G280-SUMIFS(G:G,$B:$B,$B280,$A:$A,$K280)))</f>
        <v/>
      </c>
    </row>
    <row r="281">
      <c r="A281" s="15" t="n">
        <v>46307</v>
      </c>
      <c r="B281" s="5" t="inlineStr">
        <is>
          <t>Ryzen 5 5600</t>
        </is>
      </c>
      <c r="C281" s="5" t="inlineStr">
        <is>
          <t>CPU</t>
        </is>
      </c>
      <c r="D281" s="7" t="n">
        <v>138.9</v>
      </c>
      <c r="E281" s="7" t="n">
        <v>135</v>
      </c>
      <c r="F281" s="2" t="n"/>
      <c r="G281" s="2" t="n"/>
      <c r="H281" s="9">
        <f>IFERROR(IF(INDEX(Dólar!$B:$B,MATCH(A281,Dólar!$A:$A,0))="","",INDEX(Dólar!$B:$B,MATCH(A281,Dólar!$A:$A,0))),"")</f>
        <v/>
      </c>
      <c r="I281" s="10">
        <f>IFERROR(INDEX(Dólar!$E:$E,MATCH(A281,Dólar!$A:$A,0)),"")</f>
        <v/>
      </c>
      <c r="J281" s="6" t="inlineStr">
        <is>
          <t>ver anuncio</t>
        </is>
      </c>
      <c r="K281" s="5" t="n"/>
      <c r="L281" s="16">
        <f>IF(OR($K281="",D281=""),"",IF(COUNTIFS($B:$B,$B281,$A:$A,$K281,D:D,"&gt;=0")=0,"",D281-SUMIFS(D:D,$B:$B,$B281,$A:$A,$K281)))</f>
        <v/>
      </c>
      <c r="M281" s="16">
        <f>IF(OR($K281="",E281=""),"",IF(COUNTIFS($B:$B,$B281,$A:$A,$K281,E:E,"&gt;=0")=0,"",E281-SUMIFS(E:E,$B:$B,$B281,$A:$A,$K281)))</f>
        <v/>
      </c>
      <c r="N281" s="16">
        <f>IF(OR($K281="",F281=""),"",IF(COUNTIFS($B:$B,$B281,$A:$A,$K281,F:F,"&gt;=0")=0,"",F281-SUMIFS(F:F,$B:$B,$B281,$A:$A,$K281)))</f>
        <v/>
      </c>
      <c r="O281" s="16">
        <f>IF(OR($K281="",G281=""),"",IF(COUNTIFS($B:$B,$B281,$A:$A,$K281,G:G,"&gt;=0")=0,"",G281-SUMIFS(G:G,$B:$B,$B281,$A:$A,$K281)))</f>
        <v/>
      </c>
    </row>
    <row r="282">
      <c r="A282" s="15" t="n">
        <v>46307</v>
      </c>
      <c r="B282" s="5" t="inlineStr">
        <is>
          <t>RAM DDR4 16GB (2x8) 3200</t>
        </is>
      </c>
      <c r="C282" s="5" t="inlineStr">
        <is>
          <t>RAM</t>
        </is>
      </c>
      <c r="D282" s="7" t="n">
        <v>75</v>
      </c>
      <c r="E282" s="7" t="n">
        <v>59.99</v>
      </c>
      <c r="F282" s="2" t="n"/>
      <c r="G282" s="8" t="n">
        <v>2150</v>
      </c>
      <c r="H282" s="9">
        <f>IFERROR(IF(INDEX(Dólar!$B:$B,MATCH(A282,Dólar!$A:$A,0))="","",INDEX(Dólar!$B:$B,MATCH(A282,Dólar!$A:$A,0))),"")</f>
        <v/>
      </c>
      <c r="I282" s="10">
        <f>IFERROR(INDEX(Dólar!$E:$E,MATCH(A282,Dólar!$A:$A,0)),"")</f>
        <v/>
      </c>
      <c r="J282" s="6" t="inlineStr">
        <is>
          <t>ver anuncio</t>
        </is>
      </c>
      <c r="K282" s="15" t="n">
        <v>46306</v>
      </c>
      <c r="L282" s="16">
        <f>IF(OR($K282="",D282=""),"",IF(COUNTIFS($B:$B,$B282,$A:$A,$K282,D:D,"&gt;=0")=0,"",D282-SUMIFS(D:D,$B:$B,$B282,$A:$A,$K282)))</f>
        <v/>
      </c>
      <c r="M282" s="16">
        <f>IF(OR($K282="",E282=""),"",IF(COUNTIFS($B:$B,$B282,$A:$A,$K282,E:E,"&gt;=0")=0,"",E282-SUMIFS(E:E,$B:$B,$B282,$A:$A,$K282)))</f>
        <v/>
      </c>
      <c r="N282" s="16">
        <f>IF(OR($K282="",F282=""),"",IF(COUNTIFS($B:$B,$B282,$A:$A,$K282,F:F,"&gt;=0")=0,"",F282-SUMIFS(F:F,$B:$B,$B282,$A:$A,$K282)))</f>
        <v/>
      </c>
      <c r="O282" s="16">
        <f>IF(OR($K282="",G282=""),"",IF(COUNTIFS($B:$B,$B282,$A:$A,$K282,G:G,"&gt;=0")=0,"",G282-SUMIFS(G:G,$B:$B,$B282,$A:$A,$K282)))</f>
        <v/>
      </c>
    </row>
    <row r="283">
      <c r="A283" s="15" t="n">
        <v>46307</v>
      </c>
      <c r="B283" s="5" t="inlineStr">
        <is>
          <t>Intel Core i5-14400F</t>
        </is>
      </c>
      <c r="C283" s="5" t="inlineStr">
        <is>
          <t>CPU</t>
        </is>
      </c>
      <c r="D283" s="7" t="n">
        <v>164.49</v>
      </c>
      <c r="E283" s="7" t="n">
        <v>136.99</v>
      </c>
      <c r="F283" s="2" t="n"/>
      <c r="G283" s="8" t="n">
        <v>2520</v>
      </c>
      <c r="H283" s="9">
        <f>IFERROR(IF(INDEX(Dólar!$B:$B,MATCH(A283,Dólar!$A:$A,0))="","",INDEX(Dólar!$B:$B,MATCH(A283,Dólar!$A:$A,0))),"")</f>
        <v/>
      </c>
      <c r="I283" s="10">
        <f>IFERROR(INDEX(Dólar!$E:$E,MATCH(A283,Dólar!$A:$A,0)),"")</f>
        <v/>
      </c>
      <c r="J283" s="6" t="inlineStr">
        <is>
          <t>ver anuncio</t>
        </is>
      </c>
      <c r="K283" s="15" t="n">
        <v>46306</v>
      </c>
      <c r="L283" s="16">
        <f>IF(OR($K283="",D283=""),"",IF(COUNTIFS($B:$B,$B283,$A:$A,$K283,D:D,"&gt;=0")=0,"",D283-SUMIFS(D:D,$B:$B,$B283,$A:$A,$K283)))</f>
        <v/>
      </c>
      <c r="M283" s="16">
        <f>IF(OR($K283="",E283=""),"",IF(COUNTIFS($B:$B,$B283,$A:$A,$K283,E:E,"&gt;=0")=0,"",E283-SUMIFS(E:E,$B:$B,$B283,$A:$A,$K283)))</f>
        <v/>
      </c>
      <c r="N283" s="16">
        <f>IF(OR($K283="",F283=""),"",IF(COUNTIFS($B:$B,$B283,$A:$A,$K283,F:F,"&gt;=0")=0,"",F283-SUMIFS(F:F,$B:$B,$B283,$A:$A,$K283)))</f>
        <v/>
      </c>
      <c r="O283" s="16">
        <f>IF(OR($K283="",G283=""),"",IF(COUNTIFS($B:$B,$B283,$A:$A,$K283,G:G,"&gt;=0")=0,"",G283-SUMIFS(G:G,$B:$B,$B283,$A:$A,$K283)))</f>
        <v/>
      </c>
    </row>
    <row r="284">
      <c r="A284" s="15" t="n">
        <v>46307</v>
      </c>
      <c r="B284" s="5" t="inlineStr">
        <is>
          <t>Intel Core i5-13400</t>
        </is>
      </c>
      <c r="C284" s="5" t="inlineStr">
        <is>
          <t>CPU</t>
        </is>
      </c>
      <c r="D284" s="7" t="n">
        <v>259.78</v>
      </c>
      <c r="E284" s="7" t="n">
        <v>149.99</v>
      </c>
      <c r="F284" s="2" t="n"/>
      <c r="G284" s="2" t="n"/>
      <c r="H284" s="9">
        <f>IFERROR(IF(INDEX(Dólar!$B:$B,MATCH(A284,Dólar!$A:$A,0))="","",INDEX(Dólar!$B:$B,MATCH(A284,Dólar!$A:$A,0))),"")</f>
        <v/>
      </c>
      <c r="I284" s="10">
        <f>IFERROR(INDEX(Dólar!$E:$E,MATCH(A284,Dólar!$A:$A,0)),"")</f>
        <v/>
      </c>
      <c r="J284" s="6" t="inlineStr">
        <is>
          <t>ver anuncio</t>
        </is>
      </c>
      <c r="K284" s="15" t="n">
        <v>46306</v>
      </c>
      <c r="L284" s="16">
        <f>IF(OR($K284="",D284=""),"",IF(COUNTIFS($B:$B,$B284,$A:$A,$K284,D:D,"&gt;=0")=0,"",D284-SUMIFS(D:D,$B:$B,$B284,$A:$A,$K284)))</f>
        <v/>
      </c>
      <c r="M284" s="16">
        <f>IF(OR($K284="",E284=""),"",IF(COUNTIFS($B:$B,$B284,$A:$A,$K284,E:E,"&gt;=0")=0,"",E284-SUMIFS(E:E,$B:$B,$B284,$A:$A,$K284)))</f>
        <v/>
      </c>
      <c r="N284" s="16">
        <f>IF(OR($K284="",F284=""),"",IF(COUNTIFS($B:$B,$B284,$A:$A,$K284,F:F,"&gt;=0")=0,"",F284-SUMIFS(F:F,$B:$B,$B284,$A:$A,$K284)))</f>
        <v/>
      </c>
      <c r="O284" s="16">
        <f>IF(OR($K284="",G284=""),"",IF(COUNTIFS($B:$B,$B284,$A:$A,$K284,G:G,"&gt;=0")=0,"",G284-SUMIFS(G:G,$B:$B,$B284,$A:$A,$K284)))</f>
        <v/>
      </c>
    </row>
    <row r="285">
      <c r="A285" s="15" t="n">
        <v>46307</v>
      </c>
      <c r="B285" s="5" t="inlineStr">
        <is>
          <t>Intel Core i5-12400F</t>
        </is>
      </c>
      <c r="C285" s="5" t="inlineStr">
        <is>
          <t>CPU</t>
        </is>
      </c>
      <c r="D285" s="7" t="n">
        <v>150</v>
      </c>
      <c r="E285" s="7" t="n">
        <v>119.95</v>
      </c>
      <c r="F285" s="2" t="n"/>
      <c r="G285" s="8" t="n">
        <v>2460</v>
      </c>
      <c r="H285" s="9">
        <f>IFERROR(IF(INDEX(Dólar!$B:$B,MATCH(A285,Dólar!$A:$A,0))="","",INDEX(Dólar!$B:$B,MATCH(A285,Dólar!$A:$A,0))),"")</f>
        <v/>
      </c>
      <c r="I285" s="10">
        <f>IFERROR(INDEX(Dólar!$E:$E,MATCH(A285,Dólar!$A:$A,0)),"")</f>
        <v/>
      </c>
      <c r="J285" s="6" t="inlineStr">
        <is>
          <t>ver anuncio</t>
        </is>
      </c>
      <c r="K285" s="5" t="n"/>
      <c r="L285" s="16">
        <f>IF(OR($K285="",D285=""),"",IF(COUNTIFS($B:$B,$B285,$A:$A,$K285,D:D,"&gt;=0")=0,"",D285-SUMIFS(D:D,$B:$B,$B285,$A:$A,$K285)))</f>
        <v/>
      </c>
      <c r="M285" s="16">
        <f>IF(OR($K285="",E285=""),"",IF(COUNTIFS($B:$B,$B285,$A:$A,$K285,E:E,"&gt;=0")=0,"",E285-SUMIFS(E:E,$B:$B,$B285,$A:$A,$K285)))</f>
        <v/>
      </c>
      <c r="N285" s="16">
        <f>IF(OR($K285="",F285=""),"",IF(COUNTIFS($B:$B,$B285,$A:$A,$K285,F:F,"&gt;=0")=0,"",F285-SUMIFS(F:F,$B:$B,$B285,$A:$A,$K285)))</f>
        <v/>
      </c>
      <c r="O285" s="16">
        <f>IF(OR($K285="",G285=""),"",IF(COUNTIFS($B:$B,$B285,$A:$A,$K285,G:G,"&gt;=0")=0,"",G285-SUMIFS(G:G,$B:$B,$B285,$A:$A,$K285)))</f>
        <v/>
      </c>
    </row>
    <row r="286">
      <c r="A286" s="15" t="n">
        <v>46307</v>
      </c>
      <c r="B286" s="5" t="inlineStr">
        <is>
          <t>Intel Core Ultra 7 265K</t>
        </is>
      </c>
      <c r="C286" s="5" t="inlineStr">
        <is>
          <t>CPU</t>
        </is>
      </c>
      <c r="D286" s="7" t="n">
        <v>244.87</v>
      </c>
      <c r="E286" s="7" t="n">
        <v>209.99</v>
      </c>
      <c r="F286" s="2" t="n"/>
      <c r="G286" s="8" t="n">
        <v>4290</v>
      </c>
      <c r="H286" s="9">
        <f>IFERROR(IF(INDEX(Dólar!$B:$B,MATCH(A286,Dólar!$A:$A,0))="","",INDEX(Dólar!$B:$B,MATCH(A286,Dólar!$A:$A,0))),"")</f>
        <v/>
      </c>
      <c r="I286" s="10">
        <f>IFERROR(INDEX(Dólar!$E:$E,MATCH(A286,Dólar!$A:$A,0)),"")</f>
        <v/>
      </c>
      <c r="J286" s="6" t="inlineStr">
        <is>
          <t>ver anuncio</t>
        </is>
      </c>
      <c r="K286" s="15" t="n">
        <v>46306</v>
      </c>
      <c r="L286" s="16">
        <f>IF(OR($K286="",D286=""),"",IF(COUNTIFS($B:$B,$B286,$A:$A,$K286,D:D,"&gt;=0")=0,"",D286-SUMIFS(D:D,$B:$B,$B286,$A:$A,$K286)))</f>
        <v/>
      </c>
      <c r="M286" s="16">
        <f>IF(OR($K286="",E286=""),"",IF(COUNTIFS($B:$B,$B286,$A:$A,$K286,E:E,"&gt;=0")=0,"",E286-SUMIFS(E:E,$B:$B,$B286,$A:$A,$K286)))</f>
        <v/>
      </c>
      <c r="N286" s="16">
        <f>IF(OR($K286="",F286=""),"",IF(COUNTIFS($B:$B,$B286,$A:$A,$K286,F:F,"&gt;=0")=0,"",F286-SUMIFS(F:F,$B:$B,$B286,$A:$A,$K286)))</f>
        <v/>
      </c>
      <c r="O286" s="16">
        <f>IF(OR($K286="",G286=""),"",IF(COUNTIFS($B:$B,$B286,$A:$A,$K286,G:G,"&gt;=0")=0,"",G286-SUMIFS(G:G,$B:$B,$B286,$A:$A,$K286)))</f>
        <v/>
      </c>
    </row>
    <row r="287">
      <c r="A287" s="15" t="n">
        <v>46307</v>
      </c>
      <c r="B287" s="5" t="inlineStr">
        <is>
          <t>Corsair Vengeance RGB DDR5 32GB (2x16) 6000</t>
        </is>
      </c>
      <c r="C287" s="5" t="inlineStr">
        <is>
          <t>RAM</t>
        </is>
      </c>
      <c r="D287" s="7" t="n">
        <v>435.99</v>
      </c>
      <c r="E287" s="7" t="n">
        <v>399.9</v>
      </c>
      <c r="F287" s="2" t="n"/>
      <c r="G287" s="2" t="n"/>
      <c r="H287" s="9">
        <f>IFERROR(IF(INDEX(Dólar!$B:$B,MATCH(A287,Dólar!$A:$A,0))="","",INDEX(Dólar!$B:$B,MATCH(A287,Dólar!$A:$A,0))),"")</f>
        <v/>
      </c>
      <c r="I287" s="10">
        <f>IFERROR(INDEX(Dólar!$E:$E,MATCH(A287,Dólar!$A:$A,0)),"")</f>
        <v/>
      </c>
      <c r="J287" s="6" t="inlineStr">
        <is>
          <t>ver anuncio</t>
        </is>
      </c>
      <c r="K287" s="15" t="n">
        <v>46306</v>
      </c>
      <c r="L287" s="16">
        <f>IF(OR($K287="",D287=""),"",IF(COUNTIFS($B:$B,$B287,$A:$A,$K287,D:D,"&gt;=0")=0,"",D287-SUMIFS(D:D,$B:$B,$B287,$A:$A,$K287)))</f>
        <v/>
      </c>
      <c r="M287" s="16">
        <f>IF(OR($K287="",E287=""),"",IF(COUNTIFS($B:$B,$B287,$A:$A,$K287,E:E,"&gt;=0")=0,"",E287-SUMIFS(E:E,$B:$B,$B287,$A:$A,$K287)))</f>
        <v/>
      </c>
      <c r="N287" s="16">
        <f>IF(OR($K287="",F287=""),"",IF(COUNTIFS($B:$B,$B287,$A:$A,$K287,F:F,"&gt;=0")=0,"",F287-SUMIFS(F:F,$B:$B,$B287,$A:$A,$K287)))</f>
        <v/>
      </c>
      <c r="O287" s="16">
        <f>IF(OR($K287="",G287=""),"",IF(COUNTIFS($B:$B,$B287,$A:$A,$K287,G:G,"&gt;=0")=0,"",G287-SUMIFS(G:G,$B:$B,$B287,$A:$A,$K287)))</f>
        <v/>
      </c>
    </row>
    <row r="288">
      <c r="A288" s="15" t="n">
        <v>46307</v>
      </c>
      <c r="B288" s="5" t="inlineStr">
        <is>
          <t>Corsair Vengeance RGB DDR5 32GB (2x16) 5600</t>
        </is>
      </c>
      <c r="C288" s="5" t="inlineStr">
        <is>
          <t>RAM</t>
        </is>
      </c>
      <c r="D288" s="7" t="n">
        <v>493</v>
      </c>
      <c r="E288" s="7" t="n">
        <v>399.99</v>
      </c>
      <c r="F288" s="8" t="n">
        <v>4500</v>
      </c>
      <c r="G288" s="2" t="n"/>
      <c r="H288" s="9">
        <f>IFERROR(IF(INDEX(Dólar!$B:$B,MATCH(A288,Dólar!$A:$A,0))="","",INDEX(Dólar!$B:$B,MATCH(A288,Dólar!$A:$A,0))),"")</f>
        <v/>
      </c>
      <c r="I288" s="10">
        <f>IFERROR(INDEX(Dólar!$E:$E,MATCH(A288,Dólar!$A:$A,0)),"")</f>
        <v/>
      </c>
      <c r="J288" s="6" t="inlineStr">
        <is>
          <t>ver anuncio</t>
        </is>
      </c>
      <c r="K288" s="5" t="n"/>
      <c r="L288" s="16">
        <f>IF(OR($K288="",D288=""),"",IF(COUNTIFS($B:$B,$B288,$A:$A,$K288,D:D,"&gt;=0")=0,"",D288-SUMIFS(D:D,$B:$B,$B288,$A:$A,$K288)))</f>
        <v/>
      </c>
      <c r="M288" s="16">
        <f>IF(OR($K288="",E288=""),"",IF(COUNTIFS($B:$B,$B288,$A:$A,$K288,E:E,"&gt;=0")=0,"",E288-SUMIFS(E:E,$B:$B,$B288,$A:$A,$K288)))</f>
        <v/>
      </c>
      <c r="N288" s="16">
        <f>IF(OR($K288="",F288=""),"",IF(COUNTIFS($B:$B,$B288,$A:$A,$K288,F:F,"&gt;=0")=0,"",F288-SUMIFS(F:F,$B:$B,$B288,$A:$A,$K288)))</f>
        <v/>
      </c>
      <c r="O288" s="16">
        <f>IF(OR($K288="",G288=""),"",IF(COUNTIFS($B:$B,$B288,$A:$A,$K288,G:G,"&gt;=0")=0,"",G288-SUMIFS(G:G,$B:$B,$B288,$A:$A,$K288)))</f>
        <v/>
      </c>
    </row>
    <row r="289">
      <c r="A289" s="15" t="n">
        <v>46306</v>
      </c>
      <c r="B289" s="5" t="inlineStr">
        <is>
          <t>SSD NVMe 2TB</t>
        </is>
      </c>
      <c r="C289" s="5" t="inlineStr">
        <is>
          <t>SSD</t>
        </is>
      </c>
      <c r="D289" s="2" t="n"/>
      <c r="E289" s="2" t="n"/>
      <c r="F289" s="2" t="n"/>
      <c r="G289" s="2" t="n"/>
      <c r="H289" s="9">
        <f>IFERROR(IF(INDEX(Dólar!$B:$B,MATCH(A289,Dólar!$A:$A,0))="","",INDEX(Dólar!$B:$B,MATCH(A289,Dólar!$A:$A,0))),"")</f>
        <v/>
      </c>
      <c r="I289" s="10">
        <f>IFERROR(INDEX(Dólar!$E:$E,MATCH(A289,Dólar!$A:$A,0)),"")</f>
        <v/>
      </c>
      <c r="J289" s="2" t="n"/>
      <c r="K289" s="5" t="n"/>
      <c r="L289" s="16">
        <f>IF(OR($K289="",D289=""),"",IF(COUNTIFS($B:$B,$B289,$A:$A,$K289,D:D,"&gt;=0")=0,"",D289-SUMIFS(D:D,$B:$B,$B289,$A:$A,$K289)))</f>
        <v/>
      </c>
      <c r="M289" s="16">
        <f>IF(OR($K289="",E289=""),"",IF(COUNTIFS($B:$B,$B289,$A:$A,$K289,E:E,"&gt;=0")=0,"",E289-SUMIFS(E:E,$B:$B,$B289,$A:$A,$K289)))</f>
        <v/>
      </c>
      <c r="N289" s="16">
        <f>IF(OR($K289="",F289=""),"",IF(COUNTIFS($B:$B,$B289,$A:$A,$K289,F:F,"&gt;=0")=0,"",F289-SUMIFS(F:F,$B:$B,$B289,$A:$A,$K289)))</f>
        <v/>
      </c>
      <c r="O289" s="16">
        <f>IF(OR($K289="",G289=""),"",IF(COUNTIFS($B:$B,$B289,$A:$A,$K289,G:G,"&gt;=0")=0,"",G289-SUMIFS(G:G,$B:$B,$B289,$A:$A,$K289)))</f>
        <v/>
      </c>
    </row>
    <row r="290">
      <c r="A290" s="15" t="n">
        <v>46306</v>
      </c>
      <c r="B290" s="5" t="inlineStr">
        <is>
          <t>SSD NVMe 1TB</t>
        </is>
      </c>
      <c r="C290" s="5" t="inlineStr">
        <is>
          <t>SSD</t>
        </is>
      </c>
      <c r="D290" s="2" t="n"/>
      <c r="E290" s="2" t="n"/>
      <c r="F290" s="8" t="n">
        <v>1800</v>
      </c>
      <c r="G290" s="2" t="n"/>
      <c r="H290" s="9">
        <f>IFERROR(IF(INDEX(Dólar!$B:$B,MATCH(A290,Dólar!$A:$A,0))="","",INDEX(Dólar!$B:$B,MATCH(A290,Dólar!$A:$A,0))),"")</f>
        <v/>
      </c>
      <c r="I290" s="10">
        <f>IFERROR(INDEX(Dólar!$E:$E,MATCH(A290,Dólar!$A:$A,0)),"")</f>
        <v/>
      </c>
      <c r="J290" s="6" t="inlineStr">
        <is>
          <t>ver anuncio</t>
        </is>
      </c>
      <c r="K290" s="5" t="n"/>
      <c r="L290" s="16">
        <f>IF(OR($K290="",D290=""),"",IF(COUNTIFS($B:$B,$B290,$A:$A,$K290,D:D,"&gt;=0")=0,"",D290-SUMIFS(D:D,$B:$B,$B290,$A:$A,$K290)))</f>
        <v/>
      </c>
      <c r="M290" s="16">
        <f>IF(OR($K290="",E290=""),"",IF(COUNTIFS($B:$B,$B290,$A:$A,$K290,E:E,"&gt;=0")=0,"",E290-SUMIFS(E:E,$B:$B,$B290,$A:$A,$K290)))</f>
        <v/>
      </c>
      <c r="N290" s="16">
        <f>IF(OR($K290="",F290=""),"",IF(COUNTIFS($B:$B,$B290,$A:$A,$K290,F:F,"&gt;=0")=0,"",F290-SUMIFS(F:F,$B:$B,$B290,$A:$A,$K290)))</f>
        <v/>
      </c>
      <c r="O290" s="16">
        <f>IF(OR($K290="",G290=""),"",IF(COUNTIFS($B:$B,$B290,$A:$A,$K290,G:G,"&gt;=0")=0,"",G290-SUMIFS(G:G,$B:$B,$B290,$A:$A,$K290)))</f>
        <v/>
      </c>
    </row>
    <row r="291">
      <c r="A291" s="15" t="n">
        <v>46306</v>
      </c>
      <c r="B291" s="5" t="inlineStr">
        <is>
          <t>Ryzen 9 9950X</t>
        </is>
      </c>
      <c r="C291" s="5" t="inlineStr">
        <is>
          <t>CPU</t>
        </is>
      </c>
      <c r="D291" s="2" t="n"/>
      <c r="E291" s="2" t="n"/>
      <c r="F291" s="2" t="n"/>
      <c r="G291" s="8" t="n">
        <v>5580</v>
      </c>
      <c r="H291" s="9">
        <f>IFERROR(IF(INDEX(Dólar!$B:$B,MATCH(A291,Dólar!$A:$A,0))="","",INDEX(Dólar!$B:$B,MATCH(A291,Dólar!$A:$A,0))),"")</f>
        <v/>
      </c>
      <c r="I291" s="10">
        <f>IFERROR(INDEX(Dólar!$E:$E,MATCH(A291,Dólar!$A:$A,0)),"")</f>
        <v/>
      </c>
      <c r="J291" s="6" t="inlineStr">
        <is>
          <t>ver anuncio</t>
        </is>
      </c>
      <c r="K291" s="5" t="n"/>
      <c r="L291" s="16">
        <f>IF(OR($K291="",D291=""),"",IF(COUNTIFS($B:$B,$B291,$A:$A,$K291,D:D,"&gt;=0")=0,"",D291-SUMIFS(D:D,$B:$B,$B291,$A:$A,$K291)))</f>
        <v/>
      </c>
      <c r="M291" s="16">
        <f>IF(OR($K291="",E291=""),"",IF(COUNTIFS($B:$B,$B291,$A:$A,$K291,E:E,"&gt;=0")=0,"",E291-SUMIFS(E:E,$B:$B,$B291,$A:$A,$K291)))</f>
        <v/>
      </c>
      <c r="N291" s="16">
        <f>IF(OR($K291="",F291=""),"",IF(COUNTIFS($B:$B,$B291,$A:$A,$K291,F:F,"&gt;=0")=0,"",F291-SUMIFS(F:F,$B:$B,$B291,$A:$A,$K291)))</f>
        <v/>
      </c>
      <c r="O291" s="16">
        <f>IF(OR($K291="",G291=""),"",IF(COUNTIFS($B:$B,$B291,$A:$A,$K291,G:G,"&gt;=0")=0,"",G291-SUMIFS(G:G,$B:$B,$B291,$A:$A,$K291)))</f>
        <v/>
      </c>
    </row>
    <row r="292">
      <c r="A292" s="15" t="n">
        <v>46306</v>
      </c>
      <c r="B292" s="5" t="inlineStr">
        <is>
          <t>Ryzen 7 7800X3D</t>
        </is>
      </c>
      <c r="C292" s="5" t="inlineStr">
        <is>
          <t>CPU</t>
        </is>
      </c>
      <c r="D292" s="2" t="n"/>
      <c r="E292" s="2" t="n"/>
      <c r="F292" s="8" t="n">
        <v>4800</v>
      </c>
      <c r="G292" s="2" t="n"/>
      <c r="H292" s="9">
        <f>IFERROR(IF(INDEX(Dólar!$B:$B,MATCH(A292,Dólar!$A:$A,0))="","",INDEX(Dólar!$B:$B,MATCH(A292,Dólar!$A:$A,0))),"")</f>
        <v/>
      </c>
      <c r="I292" s="10">
        <f>IFERROR(INDEX(Dólar!$E:$E,MATCH(A292,Dólar!$A:$A,0)),"")</f>
        <v/>
      </c>
      <c r="J292" s="6" t="inlineStr">
        <is>
          <t>ver anuncio</t>
        </is>
      </c>
      <c r="K292" s="5" t="n"/>
      <c r="L292" s="16">
        <f>IF(OR($K292="",D292=""),"",IF(COUNTIFS($B:$B,$B292,$A:$A,$K292,D:D,"&gt;=0")=0,"",D292-SUMIFS(D:D,$B:$B,$B292,$A:$A,$K292)))</f>
        <v/>
      </c>
      <c r="M292" s="16">
        <f>IF(OR($K292="",E292=""),"",IF(COUNTIFS($B:$B,$B292,$A:$A,$K292,E:E,"&gt;=0")=0,"",E292-SUMIFS(E:E,$B:$B,$B292,$A:$A,$K292)))</f>
        <v/>
      </c>
      <c r="N292" s="16">
        <f>IF(OR($K292="",F292=""),"",IF(COUNTIFS($B:$B,$B292,$A:$A,$K292,F:F,"&gt;=0")=0,"",F292-SUMIFS(F:F,$B:$B,$B292,$A:$A,$K292)))</f>
        <v/>
      </c>
      <c r="O292" s="16">
        <f>IF(OR($K292="",G292=""),"",IF(COUNTIFS($B:$B,$B292,$A:$A,$K292,G:G,"&gt;=0")=0,"",G292-SUMIFS(G:G,$B:$B,$B292,$A:$A,$K292)))</f>
        <v/>
      </c>
    </row>
    <row r="293">
      <c r="A293" s="15" t="n">
        <v>46306</v>
      </c>
      <c r="B293" s="5" t="inlineStr">
        <is>
          <t>Ryzen 5 7600</t>
        </is>
      </c>
      <c r="C293" s="5" t="inlineStr">
        <is>
          <t>CPU</t>
        </is>
      </c>
      <c r="D293" s="2" t="n"/>
      <c r="E293" s="2" t="n"/>
      <c r="F293" s="2" t="n"/>
      <c r="G293" s="2" t="n"/>
      <c r="H293" s="9">
        <f>IFERROR(IF(INDEX(Dólar!$B:$B,MATCH(A293,Dólar!$A:$A,0))="","",INDEX(Dólar!$B:$B,MATCH(A293,Dólar!$A:$A,0))),"")</f>
        <v/>
      </c>
      <c r="I293" s="10">
        <f>IFERROR(INDEX(Dólar!$E:$E,MATCH(A293,Dólar!$A:$A,0)),"")</f>
        <v/>
      </c>
      <c r="J293" s="2" t="n"/>
      <c r="K293" s="5" t="n"/>
      <c r="L293" s="16">
        <f>IF(OR($K293="",D293=""),"",IF(COUNTIFS($B:$B,$B293,$A:$A,$K293,D:D,"&gt;=0")=0,"",D293-SUMIFS(D:D,$B:$B,$B293,$A:$A,$K293)))</f>
        <v/>
      </c>
      <c r="M293" s="16">
        <f>IF(OR($K293="",E293=""),"",IF(COUNTIFS($B:$B,$B293,$A:$A,$K293,E:E,"&gt;=0")=0,"",E293-SUMIFS(E:E,$B:$B,$B293,$A:$A,$K293)))</f>
        <v/>
      </c>
      <c r="N293" s="16">
        <f>IF(OR($K293="",F293=""),"",IF(COUNTIFS($B:$B,$B293,$A:$A,$K293,F:F,"&gt;=0")=0,"",F293-SUMIFS(F:F,$B:$B,$B293,$A:$A,$K293)))</f>
        <v/>
      </c>
      <c r="O293" s="16">
        <f>IF(OR($K293="",G293=""),"",IF(COUNTIFS($B:$B,$B293,$A:$A,$K293,G:G,"&gt;=0")=0,"",G293-SUMIFS(G:G,$B:$B,$B293,$A:$A,$K293)))</f>
        <v/>
      </c>
    </row>
    <row r="294">
      <c r="A294" s="15" t="n">
        <v>46306</v>
      </c>
      <c r="B294" s="5" t="inlineStr">
        <is>
          <t>RAM DDR4 16GB (2x8) 3200</t>
        </is>
      </c>
      <c r="C294" s="5" t="inlineStr">
        <is>
          <t>RAM</t>
        </is>
      </c>
      <c r="D294" s="2" t="n"/>
      <c r="E294" s="2" t="n"/>
      <c r="F294" s="8" t="n">
        <v>900</v>
      </c>
      <c r="G294" s="2" t="n"/>
      <c r="H294" s="9">
        <f>IFERROR(IF(INDEX(Dólar!$B:$B,MATCH(A294,Dólar!$A:$A,0))="","",INDEX(Dólar!$B:$B,MATCH(A294,Dólar!$A:$A,0))),"")</f>
        <v/>
      </c>
      <c r="I294" s="10">
        <f>IFERROR(INDEX(Dólar!$E:$E,MATCH(A294,Dólar!$A:$A,0)),"")</f>
        <v/>
      </c>
      <c r="J294" s="6" t="inlineStr">
        <is>
          <t>ver anuncio</t>
        </is>
      </c>
      <c r="K294" s="5" t="n"/>
      <c r="L294" s="16">
        <f>IF(OR($K294="",D294=""),"",IF(COUNTIFS($B:$B,$B294,$A:$A,$K294,D:D,"&gt;=0")=0,"",D294-SUMIFS(D:D,$B:$B,$B294,$A:$A,$K294)))</f>
        <v/>
      </c>
      <c r="M294" s="16">
        <f>IF(OR($K294="",E294=""),"",IF(COUNTIFS($B:$B,$B294,$A:$A,$K294,E:E,"&gt;=0")=0,"",E294-SUMIFS(E:E,$B:$B,$B294,$A:$A,$K294)))</f>
        <v/>
      </c>
      <c r="N294" s="16">
        <f>IF(OR($K294="",F294=""),"",IF(COUNTIFS($B:$B,$B294,$A:$A,$K294,F:F,"&gt;=0")=0,"",F294-SUMIFS(F:F,$B:$B,$B294,$A:$A,$K294)))</f>
        <v/>
      </c>
      <c r="O294" s="16">
        <f>IF(OR($K294="",G294=""),"",IF(COUNTIFS($B:$B,$B294,$A:$A,$K294,G:G,"&gt;=0")=0,"",G294-SUMIFS(G:G,$B:$B,$B294,$A:$A,$K294)))</f>
        <v/>
      </c>
    </row>
    <row r="295">
      <c r="A295" s="15" t="n">
        <v>46306</v>
      </c>
      <c r="B295" s="5" t="inlineStr">
        <is>
          <t>Intel Core i5-14400F</t>
        </is>
      </c>
      <c r="C295" s="5" t="inlineStr">
        <is>
          <t>CPU</t>
        </is>
      </c>
      <c r="D295" s="2" t="n"/>
      <c r="E295" s="2" t="n"/>
      <c r="F295" s="2" t="n"/>
      <c r="G295" s="2" t="n"/>
      <c r="H295" s="9">
        <f>IFERROR(IF(INDEX(Dólar!$B:$B,MATCH(A295,Dólar!$A:$A,0))="","",INDEX(Dólar!$B:$B,MATCH(A295,Dólar!$A:$A,0))),"")</f>
        <v/>
      </c>
      <c r="I295" s="10">
        <f>IFERROR(INDEX(Dólar!$E:$E,MATCH(A295,Dólar!$A:$A,0)),"")</f>
        <v/>
      </c>
      <c r="J295" s="2" t="n"/>
      <c r="K295" s="5" t="n"/>
      <c r="L295" s="16">
        <f>IF(OR($K295="",D295=""),"",IF(COUNTIFS($B:$B,$B295,$A:$A,$K295,D:D,"&gt;=0")=0,"",D295-SUMIFS(D:D,$B:$B,$B295,$A:$A,$K295)))</f>
        <v/>
      </c>
      <c r="M295" s="16">
        <f>IF(OR($K295="",E295=""),"",IF(COUNTIFS($B:$B,$B295,$A:$A,$K295,E:E,"&gt;=0")=0,"",E295-SUMIFS(E:E,$B:$B,$B295,$A:$A,$K295)))</f>
        <v/>
      </c>
      <c r="N295" s="16">
        <f>IF(OR($K295="",F295=""),"",IF(COUNTIFS($B:$B,$B295,$A:$A,$K295,F:F,"&gt;=0")=0,"",F295-SUMIFS(F:F,$B:$B,$B295,$A:$A,$K295)))</f>
        <v/>
      </c>
      <c r="O295" s="16">
        <f>IF(OR($K295="",G295=""),"",IF(COUNTIFS($B:$B,$B295,$A:$A,$K295,G:G,"&gt;=0")=0,"",G295-SUMIFS(G:G,$B:$B,$B295,$A:$A,$K295)))</f>
        <v/>
      </c>
    </row>
    <row r="296">
      <c r="A296" s="15" t="n">
        <v>46306</v>
      </c>
      <c r="B296" s="5" t="inlineStr">
        <is>
          <t>Intel Core i5-13400</t>
        </is>
      </c>
      <c r="C296" s="5" t="inlineStr">
        <is>
          <t>CPU</t>
        </is>
      </c>
      <c r="D296" s="2" t="n"/>
      <c r="E296" s="2" t="n"/>
      <c r="F296" s="2" t="n"/>
      <c r="G296" s="8" t="n">
        <v>2300</v>
      </c>
      <c r="H296" s="9">
        <f>IFERROR(IF(INDEX(Dólar!$B:$B,MATCH(A296,Dólar!$A:$A,0))="","",INDEX(Dólar!$B:$B,MATCH(A296,Dólar!$A:$A,0))),"")</f>
        <v/>
      </c>
      <c r="I296" s="10">
        <f>IFERROR(INDEX(Dólar!$E:$E,MATCH(A296,Dólar!$A:$A,0)),"")</f>
        <v/>
      </c>
      <c r="J296" s="6" t="inlineStr">
        <is>
          <t>ver anuncio</t>
        </is>
      </c>
      <c r="K296" s="5" t="n"/>
      <c r="L296" s="16">
        <f>IF(OR($K296="",D296=""),"",IF(COUNTIFS($B:$B,$B296,$A:$A,$K296,D:D,"&gt;=0")=0,"",D296-SUMIFS(D:D,$B:$B,$B296,$A:$A,$K296)))</f>
        <v/>
      </c>
      <c r="M296" s="16">
        <f>IF(OR($K296="",E296=""),"",IF(COUNTIFS($B:$B,$B296,$A:$A,$K296,E:E,"&gt;=0")=0,"",E296-SUMIFS(E:E,$B:$B,$B296,$A:$A,$K296)))</f>
        <v/>
      </c>
      <c r="N296" s="16">
        <f>IF(OR($K296="",F296=""),"",IF(COUNTIFS($B:$B,$B296,$A:$A,$K296,F:F,"&gt;=0")=0,"",F296-SUMIFS(F:F,$B:$B,$B296,$A:$A,$K296)))</f>
        <v/>
      </c>
      <c r="O296" s="16">
        <f>IF(OR($K296="",G296=""),"",IF(COUNTIFS($B:$B,$B296,$A:$A,$K296,G:G,"&gt;=0")=0,"",G296-SUMIFS(G:G,$B:$B,$B296,$A:$A,$K296)))</f>
        <v/>
      </c>
    </row>
    <row r="297">
      <c r="A297" s="15" t="n">
        <v>46306</v>
      </c>
      <c r="B297" s="5" t="inlineStr">
        <is>
          <t>Intel Core Ultra 7 265K</t>
        </is>
      </c>
      <c r="C297" s="5" t="inlineStr">
        <is>
          <t>CPU</t>
        </is>
      </c>
      <c r="D297" s="2" t="n"/>
      <c r="E297" s="2" t="n"/>
      <c r="F297" s="2" t="n"/>
      <c r="G297" s="8" t="n">
        <v>3950</v>
      </c>
      <c r="H297" s="9">
        <f>IFERROR(IF(INDEX(Dólar!$B:$B,MATCH(A297,Dólar!$A:$A,0))="","",INDEX(Dólar!$B:$B,MATCH(A297,Dólar!$A:$A,0))),"")</f>
        <v/>
      </c>
      <c r="I297" s="10">
        <f>IFERROR(INDEX(Dólar!$E:$E,MATCH(A297,Dólar!$A:$A,0)),"")</f>
        <v/>
      </c>
      <c r="J297" s="6" t="inlineStr">
        <is>
          <t>ver anuncio</t>
        </is>
      </c>
      <c r="K297" s="5" t="n"/>
      <c r="L297" s="16">
        <f>IF(OR($K297="",D297=""),"",IF(COUNTIFS($B:$B,$B297,$A:$A,$K297,D:D,"&gt;=0")=0,"",D297-SUMIFS(D:D,$B:$B,$B297,$A:$A,$K297)))</f>
        <v/>
      </c>
      <c r="M297" s="16">
        <f>IF(OR($K297="",E297=""),"",IF(COUNTIFS($B:$B,$B297,$A:$A,$K297,E:E,"&gt;=0")=0,"",E297-SUMIFS(E:E,$B:$B,$B297,$A:$A,$K297)))</f>
        <v/>
      </c>
      <c r="N297" s="16">
        <f>IF(OR($K297="",F297=""),"",IF(COUNTIFS($B:$B,$B297,$A:$A,$K297,F:F,"&gt;=0")=0,"",F297-SUMIFS(F:F,$B:$B,$B297,$A:$A,$K297)))</f>
        <v/>
      </c>
      <c r="O297" s="16">
        <f>IF(OR($K297="",G297=""),"",IF(COUNTIFS($B:$B,$B297,$A:$A,$K297,G:G,"&gt;=0")=0,"",G297-SUMIFS(G:G,$B:$B,$B297,$A:$A,$K297)))</f>
        <v/>
      </c>
    </row>
    <row r="298">
      <c r="A298" s="15" t="n">
        <v>46306</v>
      </c>
      <c r="B298" s="5" t="inlineStr">
        <is>
          <t>Corsair Vengeance RGB DDR5 32GB (2x16) 6000</t>
        </is>
      </c>
      <c r="C298" s="5" t="inlineStr">
        <is>
          <t>RAM</t>
        </is>
      </c>
      <c r="D298" s="2" t="n"/>
      <c r="E298" s="2" t="n"/>
      <c r="F298" s="8" t="n">
        <v>6200</v>
      </c>
      <c r="G298" s="2" t="n"/>
      <c r="H298" s="9">
        <f>IFERROR(IF(INDEX(Dólar!$B:$B,MATCH(A298,Dólar!$A:$A,0))="","",INDEX(Dólar!$B:$B,MATCH(A298,Dólar!$A:$A,0))),"")</f>
        <v/>
      </c>
      <c r="I298" s="10">
        <f>IFERROR(INDEX(Dólar!$E:$E,MATCH(A298,Dólar!$A:$A,0)),"")</f>
        <v/>
      </c>
      <c r="J298" s="6" t="inlineStr">
        <is>
          <t>ver anuncio</t>
        </is>
      </c>
      <c r="K298" s="5" t="n"/>
      <c r="L298" s="16">
        <f>IF(OR($K298="",D298=""),"",IF(COUNTIFS($B:$B,$B298,$A:$A,$K298,D:D,"&gt;=0")=0,"",D298-SUMIFS(D:D,$B:$B,$B298,$A:$A,$K298)))</f>
        <v/>
      </c>
      <c r="M298" s="16">
        <f>IF(OR($K298="",E298=""),"",IF(COUNTIFS($B:$B,$B298,$A:$A,$K298,E:E,"&gt;=0")=0,"",E298-SUMIFS(E:E,$B:$B,$B298,$A:$A,$K298)))</f>
        <v/>
      </c>
      <c r="N298" s="16">
        <f>IF(OR($K298="",F298=""),"",IF(COUNTIFS($B:$B,$B298,$A:$A,$K298,F:F,"&gt;=0")=0,"",F298-SUMIFS(F:F,$B:$B,$B298,$A:$A,$K298)))</f>
        <v/>
      </c>
      <c r="O298" s="16">
        <f>IF(OR($K298="",G298=""),"",IF(COUNTIFS($B:$B,$B298,$A:$A,$K298,G:G,"&gt;=0")=0,"",G298-SUMIFS(G:G,$B:$B,$B298,$A:$A,$K298)))</f>
        <v/>
      </c>
    </row>
  </sheetData>
  <conditionalFormatting sqref="L2:M298">
    <cfRule type="cellIs" priority="1" operator="greaterThan" dxfId="2">
      <formula>0</formula>
    </cfRule>
    <cfRule type="cellIs" priority="2" operator="lessThan" dxfId="0">
      <formula>0</formula>
    </cfRule>
  </conditionalFormatting>
  <conditionalFormatting sqref="N2:O298">
    <cfRule type="cellIs" priority="3" operator="greaterThan" dxfId="0">
      <formula>0</formula>
    </cfRule>
    <cfRule type="cellIs" priority="4" operator="lessThan" dxfId="2">
      <formula>0</formula>
    </cfRule>
  </conditionalFormatting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3" r:id="rId61"/>
    <hyperlink xmlns:r="http://schemas.openxmlformats.org/officeDocument/2006/relationships" ref="J64" r:id="rId62"/>
    <hyperlink xmlns:r="http://schemas.openxmlformats.org/officeDocument/2006/relationships" ref="J65" r:id="rId63"/>
    <hyperlink xmlns:r="http://schemas.openxmlformats.org/officeDocument/2006/relationships" ref="J66" r:id="rId64"/>
    <hyperlink xmlns:r="http://schemas.openxmlformats.org/officeDocument/2006/relationships" ref="J67" r:id="rId65"/>
    <hyperlink xmlns:r="http://schemas.openxmlformats.org/officeDocument/2006/relationships" ref="J68" r:id="rId66"/>
    <hyperlink xmlns:r="http://schemas.openxmlformats.org/officeDocument/2006/relationships" ref="J69" r:id="rId67"/>
    <hyperlink xmlns:r="http://schemas.openxmlformats.org/officeDocument/2006/relationships" ref="J70" r:id="rId68"/>
    <hyperlink xmlns:r="http://schemas.openxmlformats.org/officeDocument/2006/relationships" ref="J71" r:id="rId69"/>
    <hyperlink xmlns:r="http://schemas.openxmlformats.org/officeDocument/2006/relationships" ref="J72" r:id="rId70"/>
    <hyperlink xmlns:r="http://schemas.openxmlformats.org/officeDocument/2006/relationships" ref="J73" r:id="rId71"/>
    <hyperlink xmlns:r="http://schemas.openxmlformats.org/officeDocument/2006/relationships" ref="J74" r:id="rId72"/>
    <hyperlink xmlns:r="http://schemas.openxmlformats.org/officeDocument/2006/relationships" ref="J75" r:id="rId73"/>
    <hyperlink xmlns:r="http://schemas.openxmlformats.org/officeDocument/2006/relationships" ref="J76" r:id="rId74"/>
    <hyperlink xmlns:r="http://schemas.openxmlformats.org/officeDocument/2006/relationships" ref="J77" r:id="rId75"/>
    <hyperlink xmlns:r="http://schemas.openxmlformats.org/officeDocument/2006/relationships" ref="J78" r:id="rId76"/>
    <hyperlink xmlns:r="http://schemas.openxmlformats.org/officeDocument/2006/relationships" ref="J79" r:id="rId77"/>
    <hyperlink xmlns:r="http://schemas.openxmlformats.org/officeDocument/2006/relationships" ref="J80" r:id="rId78"/>
    <hyperlink xmlns:r="http://schemas.openxmlformats.org/officeDocument/2006/relationships" ref="J81" r:id="rId79"/>
    <hyperlink xmlns:r="http://schemas.openxmlformats.org/officeDocument/2006/relationships" ref="J82" r:id="rId80"/>
    <hyperlink xmlns:r="http://schemas.openxmlformats.org/officeDocument/2006/relationships" ref="J83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7" r:id="rId85"/>
    <hyperlink xmlns:r="http://schemas.openxmlformats.org/officeDocument/2006/relationships" ref="J88" r:id="rId86"/>
    <hyperlink xmlns:r="http://schemas.openxmlformats.org/officeDocument/2006/relationships" ref="J89" r:id="rId87"/>
    <hyperlink xmlns:r="http://schemas.openxmlformats.org/officeDocument/2006/relationships" ref="J90" r:id="rId88"/>
    <hyperlink xmlns:r="http://schemas.openxmlformats.org/officeDocument/2006/relationships" ref="J91" r:id="rId89"/>
    <hyperlink xmlns:r="http://schemas.openxmlformats.org/officeDocument/2006/relationships" ref="J92" r:id="rId90"/>
    <hyperlink xmlns:r="http://schemas.openxmlformats.org/officeDocument/2006/relationships" ref="J93" r:id="rId91"/>
    <hyperlink xmlns:r="http://schemas.openxmlformats.org/officeDocument/2006/relationships" ref="J94" r:id="rId92"/>
    <hyperlink xmlns:r="http://schemas.openxmlformats.org/officeDocument/2006/relationships" ref="J95" r:id="rId93"/>
    <hyperlink xmlns:r="http://schemas.openxmlformats.org/officeDocument/2006/relationships" ref="J96" r:id="rId94"/>
    <hyperlink xmlns:r="http://schemas.openxmlformats.org/officeDocument/2006/relationships" ref="J97" r:id="rId95"/>
    <hyperlink xmlns:r="http://schemas.openxmlformats.org/officeDocument/2006/relationships" ref="J98" r:id="rId96"/>
    <hyperlink xmlns:r="http://schemas.openxmlformats.org/officeDocument/2006/relationships" ref="J99" r:id="rId97"/>
    <hyperlink xmlns:r="http://schemas.openxmlformats.org/officeDocument/2006/relationships" ref="J100" r:id="rId98"/>
    <hyperlink xmlns:r="http://schemas.openxmlformats.org/officeDocument/2006/relationships" ref="J101" r:id="rId99"/>
    <hyperlink xmlns:r="http://schemas.openxmlformats.org/officeDocument/2006/relationships" ref="J102" r:id="rId100"/>
    <hyperlink xmlns:r="http://schemas.openxmlformats.org/officeDocument/2006/relationships" ref="J103" r:id="rId101"/>
    <hyperlink xmlns:r="http://schemas.openxmlformats.org/officeDocument/2006/relationships" ref="J104" r:id="rId102"/>
    <hyperlink xmlns:r="http://schemas.openxmlformats.org/officeDocument/2006/relationships" ref="J105" r:id="rId103"/>
    <hyperlink xmlns:r="http://schemas.openxmlformats.org/officeDocument/2006/relationships" ref="J106" r:id="rId104"/>
    <hyperlink xmlns:r="http://schemas.openxmlformats.org/officeDocument/2006/relationships" ref="J107" r:id="rId105"/>
    <hyperlink xmlns:r="http://schemas.openxmlformats.org/officeDocument/2006/relationships" ref="J108" r:id="rId106"/>
    <hyperlink xmlns:r="http://schemas.openxmlformats.org/officeDocument/2006/relationships" ref="J109" r:id="rId107"/>
    <hyperlink xmlns:r="http://schemas.openxmlformats.org/officeDocument/2006/relationships" ref="J110" r:id="rId108"/>
    <hyperlink xmlns:r="http://schemas.openxmlformats.org/officeDocument/2006/relationships" ref="J111" r:id="rId109"/>
    <hyperlink xmlns:r="http://schemas.openxmlformats.org/officeDocument/2006/relationships" ref="J112" r:id="rId110"/>
    <hyperlink xmlns:r="http://schemas.openxmlformats.org/officeDocument/2006/relationships" ref="J113" r:id="rId111"/>
    <hyperlink xmlns:r="http://schemas.openxmlformats.org/officeDocument/2006/relationships" ref="J114" r:id="rId112"/>
    <hyperlink xmlns:r="http://schemas.openxmlformats.org/officeDocument/2006/relationships" ref="J115" r:id="rId113"/>
    <hyperlink xmlns:r="http://schemas.openxmlformats.org/officeDocument/2006/relationships" ref="J116" r:id="rId114"/>
    <hyperlink xmlns:r="http://schemas.openxmlformats.org/officeDocument/2006/relationships" ref="J117" r:id="rId115"/>
    <hyperlink xmlns:r="http://schemas.openxmlformats.org/officeDocument/2006/relationships" ref="J118" r:id="rId116"/>
    <hyperlink xmlns:r="http://schemas.openxmlformats.org/officeDocument/2006/relationships" ref="J119" r:id="rId117"/>
    <hyperlink xmlns:r="http://schemas.openxmlformats.org/officeDocument/2006/relationships" ref="J120" r:id="rId118"/>
    <hyperlink xmlns:r="http://schemas.openxmlformats.org/officeDocument/2006/relationships" ref="J121" r:id="rId119"/>
    <hyperlink xmlns:r="http://schemas.openxmlformats.org/officeDocument/2006/relationships" ref="J122" r:id="rId120"/>
    <hyperlink xmlns:r="http://schemas.openxmlformats.org/officeDocument/2006/relationships" ref="J123" r:id="rId121"/>
    <hyperlink xmlns:r="http://schemas.openxmlformats.org/officeDocument/2006/relationships" ref="J124" r:id="rId122"/>
    <hyperlink xmlns:r="http://schemas.openxmlformats.org/officeDocument/2006/relationships" ref="J125" r:id="rId123"/>
    <hyperlink xmlns:r="http://schemas.openxmlformats.org/officeDocument/2006/relationships" ref="J126" r:id="rId124"/>
    <hyperlink xmlns:r="http://schemas.openxmlformats.org/officeDocument/2006/relationships" ref="J127" r:id="rId125"/>
    <hyperlink xmlns:r="http://schemas.openxmlformats.org/officeDocument/2006/relationships" ref="J128" r:id="rId126"/>
    <hyperlink xmlns:r="http://schemas.openxmlformats.org/officeDocument/2006/relationships" ref="J129" r:id="rId127"/>
    <hyperlink xmlns:r="http://schemas.openxmlformats.org/officeDocument/2006/relationships" ref="J130" r:id="rId128"/>
    <hyperlink xmlns:r="http://schemas.openxmlformats.org/officeDocument/2006/relationships" ref="J131" r:id="rId129"/>
    <hyperlink xmlns:r="http://schemas.openxmlformats.org/officeDocument/2006/relationships" ref="J132" r:id="rId130"/>
    <hyperlink xmlns:r="http://schemas.openxmlformats.org/officeDocument/2006/relationships" ref="J133" r:id="rId131"/>
    <hyperlink xmlns:r="http://schemas.openxmlformats.org/officeDocument/2006/relationships" ref="J134" r:id="rId132"/>
    <hyperlink xmlns:r="http://schemas.openxmlformats.org/officeDocument/2006/relationships" ref="J135" r:id="rId133"/>
    <hyperlink xmlns:r="http://schemas.openxmlformats.org/officeDocument/2006/relationships" ref="J136" r:id="rId134"/>
    <hyperlink xmlns:r="http://schemas.openxmlformats.org/officeDocument/2006/relationships" ref="J137" r:id="rId135"/>
    <hyperlink xmlns:r="http://schemas.openxmlformats.org/officeDocument/2006/relationships" ref="J138" r:id="rId136"/>
    <hyperlink xmlns:r="http://schemas.openxmlformats.org/officeDocument/2006/relationships" ref="J139" r:id="rId137"/>
    <hyperlink xmlns:r="http://schemas.openxmlformats.org/officeDocument/2006/relationships" ref="J140" r:id="rId138"/>
    <hyperlink xmlns:r="http://schemas.openxmlformats.org/officeDocument/2006/relationships" ref="J141" r:id="rId139"/>
    <hyperlink xmlns:r="http://schemas.openxmlformats.org/officeDocument/2006/relationships" ref="J142" r:id="rId140"/>
    <hyperlink xmlns:r="http://schemas.openxmlformats.org/officeDocument/2006/relationships" ref="J143" r:id="rId141"/>
    <hyperlink xmlns:r="http://schemas.openxmlformats.org/officeDocument/2006/relationships" ref="J144" r:id="rId142"/>
    <hyperlink xmlns:r="http://schemas.openxmlformats.org/officeDocument/2006/relationships" ref="J145" r:id="rId143"/>
    <hyperlink xmlns:r="http://schemas.openxmlformats.org/officeDocument/2006/relationships" ref="J146" r:id="rId144"/>
    <hyperlink xmlns:r="http://schemas.openxmlformats.org/officeDocument/2006/relationships" ref="J147" r:id="rId145"/>
    <hyperlink xmlns:r="http://schemas.openxmlformats.org/officeDocument/2006/relationships" ref="J148" r:id="rId146"/>
    <hyperlink xmlns:r="http://schemas.openxmlformats.org/officeDocument/2006/relationships" ref="J149" r:id="rId147"/>
    <hyperlink xmlns:r="http://schemas.openxmlformats.org/officeDocument/2006/relationships" ref="J150" r:id="rId148"/>
    <hyperlink xmlns:r="http://schemas.openxmlformats.org/officeDocument/2006/relationships" ref="J151" r:id="rId149"/>
    <hyperlink xmlns:r="http://schemas.openxmlformats.org/officeDocument/2006/relationships" ref="J152" r:id="rId150"/>
    <hyperlink xmlns:r="http://schemas.openxmlformats.org/officeDocument/2006/relationships" ref="J153" r:id="rId151"/>
    <hyperlink xmlns:r="http://schemas.openxmlformats.org/officeDocument/2006/relationships" ref="J154" r:id="rId152"/>
    <hyperlink xmlns:r="http://schemas.openxmlformats.org/officeDocument/2006/relationships" ref="J155" r:id="rId153"/>
    <hyperlink xmlns:r="http://schemas.openxmlformats.org/officeDocument/2006/relationships" ref="J156" r:id="rId154"/>
    <hyperlink xmlns:r="http://schemas.openxmlformats.org/officeDocument/2006/relationships" ref="J157" r:id="rId155"/>
    <hyperlink xmlns:r="http://schemas.openxmlformats.org/officeDocument/2006/relationships" ref="J158" r:id="rId156"/>
    <hyperlink xmlns:r="http://schemas.openxmlformats.org/officeDocument/2006/relationships" ref="J159" r:id="rId157"/>
    <hyperlink xmlns:r="http://schemas.openxmlformats.org/officeDocument/2006/relationships" ref="J160" r:id="rId158"/>
    <hyperlink xmlns:r="http://schemas.openxmlformats.org/officeDocument/2006/relationships" ref="J161" r:id="rId159"/>
    <hyperlink xmlns:r="http://schemas.openxmlformats.org/officeDocument/2006/relationships" ref="J162" r:id="rId160"/>
    <hyperlink xmlns:r="http://schemas.openxmlformats.org/officeDocument/2006/relationships" ref="J163" r:id="rId161"/>
    <hyperlink xmlns:r="http://schemas.openxmlformats.org/officeDocument/2006/relationships" ref="J164" r:id="rId162"/>
    <hyperlink xmlns:r="http://schemas.openxmlformats.org/officeDocument/2006/relationships" ref="J165" r:id="rId163"/>
    <hyperlink xmlns:r="http://schemas.openxmlformats.org/officeDocument/2006/relationships" ref="J166" r:id="rId164"/>
    <hyperlink xmlns:r="http://schemas.openxmlformats.org/officeDocument/2006/relationships" ref="J167" r:id="rId165"/>
    <hyperlink xmlns:r="http://schemas.openxmlformats.org/officeDocument/2006/relationships" ref="J168" r:id="rId166"/>
    <hyperlink xmlns:r="http://schemas.openxmlformats.org/officeDocument/2006/relationships" ref="J169" r:id="rId167"/>
    <hyperlink xmlns:r="http://schemas.openxmlformats.org/officeDocument/2006/relationships" ref="J170" r:id="rId168"/>
    <hyperlink xmlns:r="http://schemas.openxmlformats.org/officeDocument/2006/relationships" ref="J171" r:id="rId169"/>
    <hyperlink xmlns:r="http://schemas.openxmlformats.org/officeDocument/2006/relationships" ref="J172" r:id="rId170"/>
    <hyperlink xmlns:r="http://schemas.openxmlformats.org/officeDocument/2006/relationships" ref="J173" r:id="rId171"/>
    <hyperlink xmlns:r="http://schemas.openxmlformats.org/officeDocument/2006/relationships" ref="J174" r:id="rId172"/>
    <hyperlink xmlns:r="http://schemas.openxmlformats.org/officeDocument/2006/relationships" ref="J175" r:id="rId173"/>
    <hyperlink xmlns:r="http://schemas.openxmlformats.org/officeDocument/2006/relationships" ref="J176" r:id="rId174"/>
    <hyperlink xmlns:r="http://schemas.openxmlformats.org/officeDocument/2006/relationships" ref="J177" r:id="rId175"/>
    <hyperlink xmlns:r="http://schemas.openxmlformats.org/officeDocument/2006/relationships" ref="J178" r:id="rId176"/>
    <hyperlink xmlns:r="http://schemas.openxmlformats.org/officeDocument/2006/relationships" ref="J179" r:id="rId177"/>
    <hyperlink xmlns:r="http://schemas.openxmlformats.org/officeDocument/2006/relationships" ref="J180" r:id="rId178"/>
    <hyperlink xmlns:r="http://schemas.openxmlformats.org/officeDocument/2006/relationships" ref="J181" r:id="rId179"/>
    <hyperlink xmlns:r="http://schemas.openxmlformats.org/officeDocument/2006/relationships" ref="J182" r:id="rId180"/>
    <hyperlink xmlns:r="http://schemas.openxmlformats.org/officeDocument/2006/relationships" ref="J183" r:id="rId181"/>
    <hyperlink xmlns:r="http://schemas.openxmlformats.org/officeDocument/2006/relationships" ref="J184" r:id="rId182"/>
    <hyperlink xmlns:r="http://schemas.openxmlformats.org/officeDocument/2006/relationships" ref="J185" r:id="rId183"/>
    <hyperlink xmlns:r="http://schemas.openxmlformats.org/officeDocument/2006/relationships" ref="J186" r:id="rId184"/>
    <hyperlink xmlns:r="http://schemas.openxmlformats.org/officeDocument/2006/relationships" ref="J187" r:id="rId185"/>
    <hyperlink xmlns:r="http://schemas.openxmlformats.org/officeDocument/2006/relationships" ref="J188" r:id="rId186"/>
    <hyperlink xmlns:r="http://schemas.openxmlformats.org/officeDocument/2006/relationships" ref="J189" r:id="rId187"/>
    <hyperlink xmlns:r="http://schemas.openxmlformats.org/officeDocument/2006/relationships" ref="J190" r:id="rId188"/>
    <hyperlink xmlns:r="http://schemas.openxmlformats.org/officeDocument/2006/relationships" ref="J191" r:id="rId189"/>
    <hyperlink xmlns:r="http://schemas.openxmlformats.org/officeDocument/2006/relationships" ref="J192" r:id="rId190"/>
    <hyperlink xmlns:r="http://schemas.openxmlformats.org/officeDocument/2006/relationships" ref="J193" r:id="rId191"/>
    <hyperlink xmlns:r="http://schemas.openxmlformats.org/officeDocument/2006/relationships" ref="J194" r:id="rId192"/>
    <hyperlink xmlns:r="http://schemas.openxmlformats.org/officeDocument/2006/relationships" ref="J195" r:id="rId193"/>
    <hyperlink xmlns:r="http://schemas.openxmlformats.org/officeDocument/2006/relationships" ref="J196" r:id="rId194"/>
    <hyperlink xmlns:r="http://schemas.openxmlformats.org/officeDocument/2006/relationships" ref="J197" r:id="rId195"/>
    <hyperlink xmlns:r="http://schemas.openxmlformats.org/officeDocument/2006/relationships" ref="J198" r:id="rId196"/>
    <hyperlink xmlns:r="http://schemas.openxmlformats.org/officeDocument/2006/relationships" ref="J199" r:id="rId197"/>
    <hyperlink xmlns:r="http://schemas.openxmlformats.org/officeDocument/2006/relationships" ref="J200" r:id="rId198"/>
    <hyperlink xmlns:r="http://schemas.openxmlformats.org/officeDocument/2006/relationships" ref="J201" r:id="rId199"/>
    <hyperlink xmlns:r="http://schemas.openxmlformats.org/officeDocument/2006/relationships" ref="J202" r:id="rId200"/>
    <hyperlink xmlns:r="http://schemas.openxmlformats.org/officeDocument/2006/relationships" ref="J203" r:id="rId201"/>
    <hyperlink xmlns:r="http://schemas.openxmlformats.org/officeDocument/2006/relationships" ref="J204" r:id="rId202"/>
    <hyperlink xmlns:r="http://schemas.openxmlformats.org/officeDocument/2006/relationships" ref="J205" r:id="rId203"/>
    <hyperlink xmlns:r="http://schemas.openxmlformats.org/officeDocument/2006/relationships" ref="J206" r:id="rId204"/>
    <hyperlink xmlns:r="http://schemas.openxmlformats.org/officeDocument/2006/relationships" ref="J207" r:id="rId205"/>
    <hyperlink xmlns:r="http://schemas.openxmlformats.org/officeDocument/2006/relationships" ref="J208" r:id="rId206"/>
    <hyperlink xmlns:r="http://schemas.openxmlformats.org/officeDocument/2006/relationships" ref="J209" r:id="rId207"/>
    <hyperlink xmlns:r="http://schemas.openxmlformats.org/officeDocument/2006/relationships" ref="J210" r:id="rId208"/>
    <hyperlink xmlns:r="http://schemas.openxmlformats.org/officeDocument/2006/relationships" ref="J211" r:id="rId209"/>
    <hyperlink xmlns:r="http://schemas.openxmlformats.org/officeDocument/2006/relationships" ref="J212" r:id="rId210"/>
    <hyperlink xmlns:r="http://schemas.openxmlformats.org/officeDocument/2006/relationships" ref="J213" r:id="rId211"/>
    <hyperlink xmlns:r="http://schemas.openxmlformats.org/officeDocument/2006/relationships" ref="J214" r:id="rId212"/>
    <hyperlink xmlns:r="http://schemas.openxmlformats.org/officeDocument/2006/relationships" ref="J215" r:id="rId213"/>
    <hyperlink xmlns:r="http://schemas.openxmlformats.org/officeDocument/2006/relationships" ref="J216" r:id="rId214"/>
    <hyperlink xmlns:r="http://schemas.openxmlformats.org/officeDocument/2006/relationships" ref="J217" r:id="rId215"/>
    <hyperlink xmlns:r="http://schemas.openxmlformats.org/officeDocument/2006/relationships" ref="J218" r:id="rId216"/>
    <hyperlink xmlns:r="http://schemas.openxmlformats.org/officeDocument/2006/relationships" ref="J219" r:id="rId217"/>
    <hyperlink xmlns:r="http://schemas.openxmlformats.org/officeDocument/2006/relationships" ref="J220" r:id="rId218"/>
    <hyperlink xmlns:r="http://schemas.openxmlformats.org/officeDocument/2006/relationships" ref="J221" r:id="rId219"/>
    <hyperlink xmlns:r="http://schemas.openxmlformats.org/officeDocument/2006/relationships" ref="J222" r:id="rId220"/>
    <hyperlink xmlns:r="http://schemas.openxmlformats.org/officeDocument/2006/relationships" ref="J223" r:id="rId221"/>
    <hyperlink xmlns:r="http://schemas.openxmlformats.org/officeDocument/2006/relationships" ref="J224" r:id="rId222"/>
    <hyperlink xmlns:r="http://schemas.openxmlformats.org/officeDocument/2006/relationships" ref="J225" r:id="rId223"/>
    <hyperlink xmlns:r="http://schemas.openxmlformats.org/officeDocument/2006/relationships" ref="J226" r:id="rId224"/>
    <hyperlink xmlns:r="http://schemas.openxmlformats.org/officeDocument/2006/relationships" ref="J227" r:id="rId225"/>
    <hyperlink xmlns:r="http://schemas.openxmlformats.org/officeDocument/2006/relationships" ref="J228" r:id="rId226"/>
    <hyperlink xmlns:r="http://schemas.openxmlformats.org/officeDocument/2006/relationships" ref="J229" r:id="rId227"/>
    <hyperlink xmlns:r="http://schemas.openxmlformats.org/officeDocument/2006/relationships" ref="J230" r:id="rId228"/>
    <hyperlink xmlns:r="http://schemas.openxmlformats.org/officeDocument/2006/relationships" ref="J231" r:id="rId229"/>
    <hyperlink xmlns:r="http://schemas.openxmlformats.org/officeDocument/2006/relationships" ref="J232" r:id="rId230"/>
    <hyperlink xmlns:r="http://schemas.openxmlformats.org/officeDocument/2006/relationships" ref="J233" r:id="rId231"/>
    <hyperlink xmlns:r="http://schemas.openxmlformats.org/officeDocument/2006/relationships" ref="J234" r:id="rId232"/>
    <hyperlink xmlns:r="http://schemas.openxmlformats.org/officeDocument/2006/relationships" ref="J235" r:id="rId233"/>
    <hyperlink xmlns:r="http://schemas.openxmlformats.org/officeDocument/2006/relationships" ref="J237" r:id="rId234"/>
    <hyperlink xmlns:r="http://schemas.openxmlformats.org/officeDocument/2006/relationships" ref="J238" r:id="rId235"/>
    <hyperlink xmlns:r="http://schemas.openxmlformats.org/officeDocument/2006/relationships" ref="J239" r:id="rId236"/>
    <hyperlink xmlns:r="http://schemas.openxmlformats.org/officeDocument/2006/relationships" ref="J240" r:id="rId237"/>
    <hyperlink xmlns:r="http://schemas.openxmlformats.org/officeDocument/2006/relationships" ref="J241" r:id="rId238"/>
    <hyperlink xmlns:r="http://schemas.openxmlformats.org/officeDocument/2006/relationships" ref="J242" r:id="rId239"/>
    <hyperlink xmlns:r="http://schemas.openxmlformats.org/officeDocument/2006/relationships" ref="J243" r:id="rId240"/>
    <hyperlink xmlns:r="http://schemas.openxmlformats.org/officeDocument/2006/relationships" ref="J244" r:id="rId241"/>
    <hyperlink xmlns:r="http://schemas.openxmlformats.org/officeDocument/2006/relationships" ref="J245" r:id="rId242"/>
    <hyperlink xmlns:r="http://schemas.openxmlformats.org/officeDocument/2006/relationships" ref="J246" r:id="rId243"/>
    <hyperlink xmlns:r="http://schemas.openxmlformats.org/officeDocument/2006/relationships" ref="J247" r:id="rId244"/>
    <hyperlink xmlns:r="http://schemas.openxmlformats.org/officeDocument/2006/relationships" ref="J248" r:id="rId245"/>
    <hyperlink xmlns:r="http://schemas.openxmlformats.org/officeDocument/2006/relationships" ref="J249" r:id="rId246"/>
    <hyperlink xmlns:r="http://schemas.openxmlformats.org/officeDocument/2006/relationships" ref="J250" r:id="rId247"/>
    <hyperlink xmlns:r="http://schemas.openxmlformats.org/officeDocument/2006/relationships" ref="J251" r:id="rId248"/>
    <hyperlink xmlns:r="http://schemas.openxmlformats.org/officeDocument/2006/relationships" ref="J252" r:id="rId249"/>
    <hyperlink xmlns:r="http://schemas.openxmlformats.org/officeDocument/2006/relationships" ref="J253" r:id="rId250"/>
    <hyperlink xmlns:r="http://schemas.openxmlformats.org/officeDocument/2006/relationships" ref="J254" r:id="rId251"/>
    <hyperlink xmlns:r="http://schemas.openxmlformats.org/officeDocument/2006/relationships" ref="J255" r:id="rId252"/>
    <hyperlink xmlns:r="http://schemas.openxmlformats.org/officeDocument/2006/relationships" ref="J256" r:id="rId253"/>
    <hyperlink xmlns:r="http://schemas.openxmlformats.org/officeDocument/2006/relationships" ref="J257" r:id="rId254"/>
    <hyperlink xmlns:r="http://schemas.openxmlformats.org/officeDocument/2006/relationships" ref="J258" r:id="rId255"/>
    <hyperlink xmlns:r="http://schemas.openxmlformats.org/officeDocument/2006/relationships" ref="J259" r:id="rId256"/>
    <hyperlink xmlns:r="http://schemas.openxmlformats.org/officeDocument/2006/relationships" ref="J260" r:id="rId257"/>
    <hyperlink xmlns:r="http://schemas.openxmlformats.org/officeDocument/2006/relationships" ref="J261" r:id="rId258"/>
    <hyperlink xmlns:r="http://schemas.openxmlformats.org/officeDocument/2006/relationships" ref="J262" r:id="rId259"/>
    <hyperlink xmlns:r="http://schemas.openxmlformats.org/officeDocument/2006/relationships" ref="J263" r:id="rId260"/>
    <hyperlink xmlns:r="http://schemas.openxmlformats.org/officeDocument/2006/relationships" ref="J264" r:id="rId261"/>
    <hyperlink xmlns:r="http://schemas.openxmlformats.org/officeDocument/2006/relationships" ref="J265" r:id="rId262"/>
    <hyperlink xmlns:r="http://schemas.openxmlformats.org/officeDocument/2006/relationships" ref="J266" r:id="rId263"/>
    <hyperlink xmlns:r="http://schemas.openxmlformats.org/officeDocument/2006/relationships" ref="J267" r:id="rId264"/>
    <hyperlink xmlns:r="http://schemas.openxmlformats.org/officeDocument/2006/relationships" ref="J268" r:id="rId265"/>
    <hyperlink xmlns:r="http://schemas.openxmlformats.org/officeDocument/2006/relationships" ref="J269" r:id="rId266"/>
    <hyperlink xmlns:r="http://schemas.openxmlformats.org/officeDocument/2006/relationships" ref="J270" r:id="rId267"/>
    <hyperlink xmlns:r="http://schemas.openxmlformats.org/officeDocument/2006/relationships" ref="J271" r:id="rId268"/>
    <hyperlink xmlns:r="http://schemas.openxmlformats.org/officeDocument/2006/relationships" ref="J272" r:id="rId269"/>
    <hyperlink xmlns:r="http://schemas.openxmlformats.org/officeDocument/2006/relationships" ref="J273" r:id="rId270"/>
    <hyperlink xmlns:r="http://schemas.openxmlformats.org/officeDocument/2006/relationships" ref="J274" r:id="rId271"/>
    <hyperlink xmlns:r="http://schemas.openxmlformats.org/officeDocument/2006/relationships" ref="J275" r:id="rId272"/>
    <hyperlink xmlns:r="http://schemas.openxmlformats.org/officeDocument/2006/relationships" ref="J276" r:id="rId273"/>
    <hyperlink xmlns:r="http://schemas.openxmlformats.org/officeDocument/2006/relationships" ref="J277" r:id="rId274"/>
    <hyperlink xmlns:r="http://schemas.openxmlformats.org/officeDocument/2006/relationships" ref="J278" r:id="rId275"/>
    <hyperlink xmlns:r="http://schemas.openxmlformats.org/officeDocument/2006/relationships" ref="J279" r:id="rId276"/>
    <hyperlink xmlns:r="http://schemas.openxmlformats.org/officeDocument/2006/relationships" ref="J280" r:id="rId277"/>
    <hyperlink xmlns:r="http://schemas.openxmlformats.org/officeDocument/2006/relationships" ref="J281" r:id="rId278"/>
    <hyperlink xmlns:r="http://schemas.openxmlformats.org/officeDocument/2006/relationships" ref="J282" r:id="rId279"/>
    <hyperlink xmlns:r="http://schemas.openxmlformats.org/officeDocument/2006/relationships" ref="J283" r:id="rId280"/>
    <hyperlink xmlns:r="http://schemas.openxmlformats.org/officeDocument/2006/relationships" ref="J284" r:id="rId281"/>
    <hyperlink xmlns:r="http://schemas.openxmlformats.org/officeDocument/2006/relationships" ref="J285" r:id="rId282"/>
    <hyperlink xmlns:r="http://schemas.openxmlformats.org/officeDocument/2006/relationships" ref="J286" r:id="rId283"/>
    <hyperlink xmlns:r="http://schemas.openxmlformats.org/officeDocument/2006/relationships" ref="J287" r:id="rId284"/>
    <hyperlink xmlns:r="http://schemas.openxmlformats.org/officeDocument/2006/relationships" ref="J288" r:id="rId285"/>
    <hyperlink xmlns:r="http://schemas.openxmlformats.org/officeDocument/2006/relationships" ref="J290" r:id="rId286"/>
    <hyperlink xmlns:r="http://schemas.openxmlformats.org/officeDocument/2006/relationships" ref="J291" r:id="rId287"/>
    <hyperlink xmlns:r="http://schemas.openxmlformats.org/officeDocument/2006/relationships" ref="J292" r:id="rId288"/>
    <hyperlink xmlns:r="http://schemas.openxmlformats.org/officeDocument/2006/relationships" ref="J294" r:id="rId289"/>
    <hyperlink xmlns:r="http://schemas.openxmlformats.org/officeDocument/2006/relationships" ref="J296" r:id="rId290"/>
    <hyperlink xmlns:r="http://schemas.openxmlformats.org/officeDocument/2006/relationships" ref="J297" r:id="rId291"/>
    <hyperlink xmlns:r="http://schemas.openxmlformats.org/officeDocument/2006/relationships" ref="J298" r:id="rId292"/>
  </hyperlinks>
  <pageMargins left="0.75" right="0.75" top="1" bottom="1" header="0.5" footer="0.5"/>
  <tableParts count="1">
    <tablePart xmlns:r="http://schemas.openxmlformats.org/officeDocument/2006/relationships" r:id="rId29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7" t="inlineStr">
        <is>
          <t>Supuestos del cálculo (celdas azules: se pueden cambiar)</t>
        </is>
      </c>
      <c r="B1" s="2" t="n"/>
    </row>
    <row r="2">
      <c r="A2" s="2" t="n"/>
      <c r="B2" s="2" t="n"/>
    </row>
    <row r="3">
      <c r="A3" s="5" t="inlineStr">
        <is>
          <t>Unidades por pedido</t>
        </is>
      </c>
      <c r="B3" s="18" t="n">
        <v>2</v>
      </c>
    </row>
    <row r="4">
      <c r="A4" s="5" t="inlineStr">
        <is>
          <t>Courier B: USD por kg</t>
        </is>
      </c>
      <c r="B4" s="19" t="n">
        <v>28</v>
      </c>
    </row>
    <row r="5">
      <c r="A5" s="5" t="inlineStr">
        <is>
          <t>Courier B: mínimo kg</t>
        </is>
      </c>
      <c r="B5" s="20" t="n">
        <v>1</v>
      </c>
    </row>
    <row r="6">
      <c r="A6" s="5" t="inlineStr">
        <is>
          <t>Courier B: salto kg</t>
        </is>
      </c>
      <c r="B6" s="20" t="n">
        <v>0.5</v>
      </c>
    </row>
    <row r="7">
      <c r="A7" s="5" t="inlineStr">
        <is>
          <t>Caja exterior + relleno, g</t>
        </is>
      </c>
      <c r="B7" s="18" t="n">
        <v>300</v>
      </c>
    </row>
    <row r="8">
      <c r="A8" s="5" t="inlineStr">
        <is>
          <t>Courier A: USD por producto</t>
        </is>
      </c>
      <c r="B8" s="19" t="n">
        <v>10</v>
      </c>
    </row>
    <row r="9">
      <c r="A9" s="5" t="inlineStr">
        <is>
          <t>Courier A: sales tax</t>
        </is>
      </c>
      <c r="B9" s="21" t="n">
        <v>0.07000000000000001</v>
      </c>
    </row>
    <row r="10">
      <c r="A10" s="5" t="inlineStr">
        <is>
          <t>Aduana boliviana extra (incluida en los couriers)</t>
        </is>
      </c>
      <c r="B10" s="22" t="n">
        <v>0</v>
      </c>
    </row>
    <row r="11">
      <c r="A11" s="5" t="inlineStr">
        <is>
          <t>Dólar para cálculos, Bs/USD</t>
        </is>
      </c>
      <c r="B11" s="9">
        <f>INDEX(Dólar!$F:$F,MATCH(MAX(Dólar!$A:$A),Dólar!$A:$A,0))</f>
        <v/>
      </c>
    </row>
    <row r="12">
      <c r="A12" s="5" t="inlineStr">
        <is>
          <t>Umbral 'Conviene'</t>
        </is>
      </c>
      <c r="B12" s="23" t="n">
        <v>0.15</v>
      </c>
    </row>
    <row r="13">
      <c r="A13" s="5" t="inlineStr">
        <is>
          <t>Umbral 'Justo'</t>
        </is>
      </c>
      <c r="B13" s="23" t="n">
        <v>0.05</v>
      </c>
    </row>
    <row r="14">
      <c r="A14" s="2" t="n"/>
      <c r="B14" s="2" t="n"/>
    </row>
    <row r="15">
      <c r="A15" s="3" t="inlineStr">
        <is>
          <t>Fuente de los supuestos: CLAUDE.md (couriers del usuario). Dólar: hoja Dólar (BCB y paralelo P2P).</t>
        </is>
      </c>
      <c r="B15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6" customWidth="1" min="5" max="5"/>
    <col width="16" customWidth="1" min="6" max="6"/>
    <col width="80" customWidth="1" min="7" max="7"/>
  </cols>
  <sheetData>
    <row r="1" ht="30" customHeight="1">
      <c r="A1" s="4" t="inlineStr">
        <is>
          <t>Fecha</t>
        </is>
      </c>
      <c r="B1" s="4" t="inlineStr">
        <is>
          <t>Oficial BCB</t>
        </is>
      </c>
      <c r="C1" s="4" t="inlineStr">
        <is>
          <t>Paralelo compra</t>
        </is>
      </c>
      <c r="D1" s="4" t="inlineStr">
        <is>
          <t>Paralelo venta</t>
        </is>
      </c>
      <c r="E1" s="4" t="inlineStr">
        <is>
          <t>Paralelo promedio</t>
        </is>
      </c>
      <c r="F1" s="4" t="inlineStr">
        <is>
          <t>Usado en cálculos</t>
        </is>
      </c>
      <c r="G1" s="4" t="inlineStr">
        <is>
          <t>Fuente</t>
        </is>
      </c>
    </row>
    <row r="2">
      <c r="A2" s="24" t="n">
        <v>46305</v>
      </c>
      <c r="B2" s="19" t="n">
        <v>11.73</v>
      </c>
      <c r="C2" s="19" t="n">
        <v>11.86</v>
      </c>
      <c r="D2" s="19" t="n">
        <v>11.91</v>
      </c>
      <c r="E2" s="10">
        <f>IF(COUNT(C2:D2)=2,AVERAGE(C2:D2),"")</f>
        <v/>
      </c>
      <c r="F2" s="19" t="n">
        <v>11.9</v>
      </c>
      <c r="G2" s="5" t="inlineStr">
        <is>
          <t>referencia del usuario (CLAUDE.md)</t>
        </is>
      </c>
    </row>
    <row r="3">
      <c r="A3" s="24" t="n">
        <v>46306</v>
      </c>
      <c r="B3" s="2" t="n"/>
      <c r="C3" s="2" t="n"/>
      <c r="D3" s="2" t="n"/>
      <c r="E3" s="10">
        <f>IF(COUNT(C3:D3)=2,AVERAGE(C3:D3),"")</f>
        <v/>
      </c>
      <c r="F3" s="19" t="n">
        <v>11.9</v>
      </c>
      <c r="G3" s="5" t="inlineStr">
        <is>
          <t>sin cotización del día: se usó la referencia del 10/10 (estimado)</t>
        </is>
      </c>
    </row>
    <row r="4">
      <c r="A4" s="24" t="n">
        <v>46307</v>
      </c>
      <c r="B4" s="19" t="n">
        <v>11.73</v>
      </c>
      <c r="C4" s="19" t="n">
        <v>11.86</v>
      </c>
      <c r="D4" s="19" t="n">
        <v>11.83</v>
      </c>
      <c r="E4" s="10">
        <f>IF(COUNT(C4:D4)=2,AVERAGE(C4:D4),"")</f>
        <v/>
      </c>
      <c r="F4" s="19" t="n">
        <v>11.85</v>
      </c>
      <c r="G4" s="5" t="inlineStr">
        <is>
          <t>BCB oficial del 12/10 (Red Uno); paralelo dolarbolivia.net 12/10 08:50 (promedio de 8 plataformas P2P); usado = promedio del paralelo</t>
        </is>
      </c>
    </row>
    <row r="5">
      <c r="A5" s="24" t="n">
        <v>46308</v>
      </c>
      <c r="B5" s="19" t="n">
        <v>11.73</v>
      </c>
      <c r="C5" s="19" t="n">
        <v>11.85</v>
      </c>
      <c r="D5" s="19" t="n">
        <v>11.88</v>
      </c>
      <c r="E5" s="10">
        <f>IF(COUNT(C5:D5)=2,AVERAGE(C5:D5),"")</f>
        <v/>
      </c>
      <c r="F5" s="19" t="n">
        <v>11.87</v>
      </c>
      <c r="G5" s="5" t="inlineStr">
        <is>
          <t>BCB oficial 11.73; paralelo dolarbolivia.net 13/10 (compra 11.85 / venta 11.88); usado = promedio del paralelo</t>
        </is>
      </c>
    </row>
    <row r="6">
      <c r="A6" s="24" t="n">
        <v>46309</v>
      </c>
      <c r="B6" s="19" t="n">
        <v>11.7</v>
      </c>
      <c r="C6" s="19" t="n">
        <v>11.84</v>
      </c>
      <c r="D6" s="19" t="n">
        <v>11.88</v>
      </c>
      <c r="E6" s="10">
        <f>IF(COUNT(C6:D6)=2,AVERAGE(C6:D6),"")</f>
        <v/>
      </c>
      <c r="F6" s="19" t="n">
        <v>11.86</v>
      </c>
      <c r="G6" s="5" t="inlineStr">
        <is>
          <t>BCB oficial 11.70; paralelo dolarbolivia.net 14/10 (compra 11.84 / venta 11.88; la página es inconsistente entre compra y venta); usado = promedio del paralelo</t>
        </is>
      </c>
    </row>
    <row r="7">
      <c r="A7" s="24" t="n">
        <v>46310</v>
      </c>
      <c r="B7" s="19" t="n">
        <v>11.7</v>
      </c>
      <c r="C7" s="19" t="n">
        <v>11.86</v>
      </c>
      <c r="D7" s="19" t="n">
        <v>11.83</v>
      </c>
      <c r="E7" s="10">
        <f>IF(COUNT(C7:D7)=2,AVERAGE(C7:D7),"")</f>
        <v/>
      </c>
      <c r="F7" s="19" t="n">
        <v>11.85</v>
      </c>
      <c r="G7" s="5" t="inlineStr">
        <is>
          <t>BCB oficial 11.70; paralelo dolarbolivia.net 15/10 (compra 11.86 / venta 11.83; la página es inconsistente entre compra y venta); usado = promedio del paralelo</t>
        </is>
      </c>
    </row>
    <row r="8">
      <c r="A8" s="24" t="n">
        <v>46311</v>
      </c>
      <c r="B8" s="19" t="n">
        <v>11.68</v>
      </c>
      <c r="C8" s="19" t="n">
        <v>11.83</v>
      </c>
      <c r="D8" s="19" t="n">
        <v>11.79</v>
      </c>
      <c r="E8" s="10">
        <f>IF(COUNT(C8:D8)=2,AVERAGE(C8:D8),"")</f>
        <v/>
      </c>
      <c r="F8" s="19" t="n">
        <v>11.81</v>
      </c>
      <c r="G8" s="5" t="inlineStr">
        <is>
          <t>BCB oficial 11.68; paralelo dolarbolivia.net 16/10 (compra 11.83 / venta 11.79; la página es inconsistente entre compra y venta); usado = promedio del paralelo</t>
        </is>
      </c>
    </row>
    <row r="9">
      <c r="A9" s="24" t="n">
        <v>46312</v>
      </c>
      <c r="B9" s="19" t="n">
        <v>11.68</v>
      </c>
      <c r="C9" s="19" t="n">
        <v>11.83</v>
      </c>
      <c r="D9" s="19" t="n">
        <v>11.79</v>
      </c>
      <c r="E9" s="10">
        <f>IF(COUNT(C9:D9)=2,AVERAGE(C9:D9),"")</f>
        <v/>
      </c>
      <c r="F9" s="19" t="n">
        <v>11.81</v>
      </c>
      <c r="G9" s="5" t="inlineStr">
        <is>
          <t>BCB oficial 11.68; paralelo dolarbolivia.net 17/10 (compra 11.83 / venta 11.79; la página es inconsistente entre compra y venta); usado = promedio del paralelo</t>
        </is>
      </c>
    </row>
    <row r="10">
      <c r="A10" s="24" t="n">
        <v>46313</v>
      </c>
      <c r="B10" s="19" t="n">
        <v>11.69</v>
      </c>
      <c r="C10" s="19" t="n">
        <v>11.85</v>
      </c>
      <c r="D10" s="19" t="n">
        <v>11.81</v>
      </c>
      <c r="E10" s="10">
        <f>IF(COUNT(C10:D10)=2,AVERAGE(C10:D10),"")</f>
        <v/>
      </c>
      <c r="F10" s="19" t="n">
        <v>11.83</v>
      </c>
      <c r="G10" s="5" t="inlineStr">
        <is>
          <t>BCB oficial 11.69; paralelo dolarbolivia.net 18/10 (compra 11.85 / venta 11.81; la página es inconsistente entre compra y venta); usado = promedio del paralelo</t>
        </is>
      </c>
    </row>
    <row r="11">
      <c r="A11" s="24" t="n">
        <v>46314</v>
      </c>
      <c r="B11" s="19" t="n">
        <v>11.69</v>
      </c>
      <c r="C11" s="19" t="n">
        <v>11.83</v>
      </c>
      <c r="D11" s="19" t="n">
        <v>11.8</v>
      </c>
      <c r="E11" s="10">
        <f>IF(COUNT(C11:D11)=2,AVERAGE(C11:D11),"")</f>
        <v/>
      </c>
      <c r="F11" s="19" t="n">
        <v>11.82</v>
      </c>
      <c r="G11" s="5" t="inlineStr">
        <is>
          <t>BCB oficial 11.69; paralelo dolarbolivia.net 19/10 11:55 (compra 11.83 / venta 11.80); usado = promedio del paralelo</t>
        </is>
      </c>
    </row>
    <row r="12">
      <c r="A12" s="24" t="n">
        <v>46315</v>
      </c>
      <c r="B12" s="19" t="n">
        <v>11.7</v>
      </c>
      <c r="C12" s="19" t="n">
        <v>11.84</v>
      </c>
      <c r="D12" s="19" t="n">
        <v>11.82</v>
      </c>
      <c r="E12" s="10">
        <f>IF(COUNT(C12:D12)=2,AVERAGE(C12:D12),"")</f>
        <v/>
      </c>
      <c r="F12" s="19" t="n">
        <v>11.83</v>
      </c>
      <c r="G12" s="5" t="inlineStr">
        <is>
          <t>BCB oficial 11.70 (bcb.gob.bo); paralelo dolarbolivia.net 20/10 07:55 (compra 11.84 / venta 11.82); usado = promedio del paralelo</t>
        </is>
      </c>
    </row>
    <row r="13">
      <c r="A13" s="24" t="n">
        <v>46316</v>
      </c>
      <c r="B13" s="19" t="n">
        <v>11.7</v>
      </c>
      <c r="C13" s="19" t="n">
        <v>11.91</v>
      </c>
      <c r="D13" s="19" t="n">
        <v>11.9</v>
      </c>
      <c r="E13" s="10">
        <f>IF(COUNT(C13:D13)=2,AVERAGE(C13:D13),"")</f>
        <v/>
      </c>
      <c r="F13" s="19" t="n">
        <v>11.91</v>
      </c>
      <c r="G13" s="5" t="inlineStr">
        <is>
          <t>BCB oficial 11.70 (dolarbolivia.net 21/10 11:54); paralelo dolarbolivia.net 21/10 (compra 11.91 / venta 11.90); usado = promedio del paralelo</t>
        </is>
      </c>
    </row>
    <row r="14">
      <c r="A14" s="24" t="n">
        <v>46317</v>
      </c>
      <c r="B14" s="19" t="n">
        <v>11.73</v>
      </c>
      <c r="C14" s="19" t="n">
        <v>11.91</v>
      </c>
      <c r="D14" s="19" t="n">
        <v>11.88</v>
      </c>
      <c r="E14" s="10">
        <f>IF(COUNT(C14:D14)=2,AVERAGE(C14:D14),"")</f>
        <v/>
      </c>
      <c r="F14" s="19" t="n">
        <v>11.9</v>
      </c>
      <c r="G14" s="5" t="inlineStr">
        <is>
          <t>BCB oficial 11.73 (dolarbolivia.net 22/10 07:55); paralelo dolarbolivia.net 22/10 (compra 11.91 / venta 11.88); usado = promedio del paralelo</t>
        </is>
      </c>
    </row>
    <row r="15">
      <c r="A15" s="24" t="n">
        <v>46318</v>
      </c>
      <c r="B15" s="19" t="n">
        <v>11.75</v>
      </c>
      <c r="C15" s="19" t="n">
        <v>11.94</v>
      </c>
      <c r="D15" s="19" t="n">
        <v>11.92</v>
      </c>
      <c r="E15" s="10">
        <f>IF(COUNT(C15:D15)=2,AVERAGE(C15:D15),"")</f>
        <v/>
      </c>
      <c r="F15" s="19" t="n">
        <v>11.93</v>
      </c>
      <c r="G15" s="5" t="inlineStr">
        <is>
          <t>BCB oficial 11.75 (dolarbolivia.net 23/10 07:54); paralelo dolarbolivia.net 23/10 (compra 11.94 / venta 11.92); usado = promedio del paralelo</t>
        </is>
      </c>
    </row>
    <row r="16">
      <c r="A16" s="24" t="n">
        <v>46319</v>
      </c>
      <c r="B16" s="19" t="n">
        <v>11.84</v>
      </c>
      <c r="C16" s="19" t="n">
        <v>12</v>
      </c>
      <c r="D16" s="19" t="n">
        <v>11.97</v>
      </c>
      <c r="E16" s="10">
        <f>IF(COUNT(C16:D16)=2,AVERAGE(C16:D16),"")</f>
        <v/>
      </c>
      <c r="F16" s="19" t="n">
        <v>11.99</v>
      </c>
      <c r="G16" s="5" t="inlineStr">
        <is>
          <t>BCB oficial 11.84 (dolarbolivia.net 24/10 07:55); paralelo dolarbolivia.net 24/10 (compra 12.00 / venta 11.97); usado = promedio del paralelo</t>
        </is>
      </c>
    </row>
    <row r="17">
      <c r="A17" s="24" t="n">
        <v>46320</v>
      </c>
      <c r="B17" s="19" t="n">
        <v>11.88</v>
      </c>
      <c r="C17" s="19" t="n">
        <v>11.99</v>
      </c>
      <c r="D17" s="19" t="n">
        <v>11.96</v>
      </c>
      <c r="E17" s="10">
        <f>IF(COUNT(C17:D17)=2,AVERAGE(C17:D17),"")</f>
        <v/>
      </c>
      <c r="F17" s="19" t="n">
        <v>11.98</v>
      </c>
      <c r="G17" s="5" t="inlineStr">
        <is>
          <t>BCB oficial 11.88 (dolarbolivia.net 25/10 11:53 BOT); paralelo dolarbolivia.net 25/10 (compra 11.99 / venta 11.96); usado = promedio del paralelo</t>
        </is>
      </c>
    </row>
    <row r="18">
      <c r="A18" s="24" t="n">
        <v>46321</v>
      </c>
      <c r="B18" s="19" t="n">
        <v>11.88</v>
      </c>
      <c r="C18" s="19" t="n">
        <v>11.97</v>
      </c>
      <c r="D18" s="19" t="n">
        <v>11.96</v>
      </c>
      <c r="E18" s="10">
        <f>IF(COUNT(C18:D18)=2,AVERAGE(C18:D18),"")</f>
        <v/>
      </c>
      <c r="F18" s="19" t="n">
        <v>11.97</v>
      </c>
      <c r="G18" s="5" t="inlineStr">
        <is>
          <t>BCB oficial 11.88 (dolarbolivia.net 26/10 11:53 BOT, mismo dato que 25/10); paralelo dolarbolivia.net 26/10 (compra 11.97 / venta 11.96); usado = promedio del paralelo</t>
        </is>
      </c>
    </row>
    <row r="19">
      <c r="A19" s="24" t="n">
        <v>46322</v>
      </c>
      <c r="B19" s="19" t="n">
        <v>11.88</v>
      </c>
      <c r="C19" s="19" t="n">
        <v>12.05</v>
      </c>
      <c r="D19" s="19" t="n">
        <v>12.06</v>
      </c>
      <c r="E19" s="10">
        <f>IF(COUNT(C19:D19)=2,AVERAGE(C19:D19),"")</f>
        <v/>
      </c>
      <c r="F19" s="19" t="n">
        <v>12.06</v>
      </c>
      <c r="G19" s="5" t="inlineStr">
        <is>
          <t>BCB oficial 11.88 (dolarbolivia.net 27/10 07:56 BOT); paralelo dolarbolivia.net 27/10 (compra 12.05 / venta 12.06); usado = promedio del paralelo; Binance P2P USDT/BOB 27/10 12:04 BOT (mediana de los 20 primeros anuncios: compra 12.06 / venta 12.10; contraste, no cambia el usado; fuente 2 del paralelo, tarea 2026-10-26-5). Discrepancia dolarbolivia.net: compra &gt; venta 24, 25 y 26/10 (3 días seguidos); hoy compra 12.05 &lt; venta 12.06, sin inversión</t>
        </is>
      </c>
    </row>
    <row r="20">
      <c r="A20" s="24" t="n">
        <v>46323</v>
      </c>
      <c r="B20" s="19" t="n">
        <v>12.02</v>
      </c>
      <c r="C20" s="19" t="n">
        <v>12.16</v>
      </c>
      <c r="D20" s="19" t="n">
        <v>12.14</v>
      </c>
      <c r="E20" s="10">
        <f>IF(COUNT(C20:D20)=2,AVERAGE(C20:D20),"")</f>
        <v/>
      </c>
      <c r="F20" s="19" t="n">
        <v>12.15</v>
      </c>
      <c r="G20" s="5" t="inlineStr">
        <is>
          <t>BCB oficial 12.02 (dolarbolivia.net 28/10 07:57 BOT, subió desde 11.88); paralelo dolarbolivia.net 28/10 (compra 12.16 / venta 12.14); usado = promedio del paralelo; USDT CriptoYa (Binance P2P) 21:16 BOT (comprar 12.15 / vender 12.13), usado = USDT para comprar</t>
        </is>
      </c>
    </row>
    <row r="21">
      <c r="A21" s="24" t="n">
        <v>46324</v>
      </c>
      <c r="B21" s="19" t="n">
        <v>12.02</v>
      </c>
      <c r="C21" s="19" t="n">
        <v>12.16</v>
      </c>
      <c r="D21" s="19" t="n">
        <v>12.14</v>
      </c>
      <c r="E21" s="10">
        <f>IF(COUNT(C21:D21)=2,AVERAGE(C21:D21),"")</f>
        <v/>
      </c>
      <c r="F21" s="19" t="n">
        <v>12.2</v>
      </c>
      <c r="G21" s="5" t="inlineStr">
        <is>
          <t>Oficial y paralelo del 28/10 (dolarbolivia.net; no hallé el de hoy); USDT CriptoYa (Binance P2P) 29/10 07:56 BOT, usado = USDT para comprar; CriptoYa USDT, nube 29/10; USDT CriptoYa (Binance P2P) 07:57 BOT (comprar 12.2 / vender 12.16), usado = USDT para comprar</t>
        </is>
      </c>
    </row>
    <row r="22">
      <c r="A22" s="24" t="n">
        <v>46325</v>
      </c>
      <c r="B22" s="2" t="n"/>
      <c r="C22" s="2" t="n"/>
      <c r="D22" s="2" t="n"/>
      <c r="E22" s="10">
        <f>IF(COUNT(C22:D22)=2,AVERAGE(C22:D22),"")</f>
        <v/>
      </c>
      <c r="F22" s="19" t="n">
        <v>11.98</v>
      </c>
      <c r="G22" s="5" t="inlineStr">
        <is>
          <t>USDT CriptoYa (Binance P2P) 10:36 BOT (comprar 11.98 / vender 11.95), usado = USDT para comprar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36" customWidth="1" min="4" max="4"/>
    <col width="11" customWidth="1" min="5" max="5"/>
    <col width="8" customWidth="1" min="6" max="6"/>
    <col width="60" customWidth="1" min="7" max="7"/>
    <col width="14" customWidth="1" min="8" max="8"/>
  </cols>
  <sheetData>
    <row r="1" ht="30" customHeight="1">
      <c r="A1" s="4" t="inlineStr">
        <is>
          <t>Fecha</t>
        </is>
      </c>
      <c r="B1" s="4" t="inlineStr">
        <is>
          <t>Origen</t>
        </is>
      </c>
      <c r="C1" s="4" t="inlineStr">
        <is>
          <t>Producto</t>
        </is>
      </c>
      <c r="D1" s="4" t="inlineStr">
        <is>
          <t>Condición / vendedor</t>
        </is>
      </c>
      <c r="E1" s="4" t="inlineStr">
        <is>
          <t>Precio</t>
        </is>
      </c>
      <c r="F1" s="4" t="inlineStr">
        <is>
          <t>Moneda</t>
        </is>
      </c>
      <c r="G1" s="4" t="inlineStr">
        <is>
          <t>Detalle</t>
        </is>
      </c>
      <c r="H1" s="4" t="inlineStr">
        <is>
          <t>Link</t>
        </is>
      </c>
    </row>
    <row r="2">
      <c r="A2" s="15" t="n">
        <v>46307</v>
      </c>
      <c r="B2" s="5" t="inlineStr">
        <is>
          <t>eBay</t>
        </is>
      </c>
      <c r="C2" s="5" t="inlineStr">
        <is>
          <t>Ryzen 5 5600</t>
        </is>
      </c>
      <c r="D2" s="5" t="inlineStr">
        <is>
          <t>nuevo</t>
        </is>
      </c>
      <c r="E2" s="11" t="n">
        <v>159.99</v>
      </c>
      <c r="F2" s="5" t="inlineStr">
        <is>
          <t>USD</t>
        </is>
      </c>
      <c r="G2" s="5" t="inlineStr">
        <is>
          <t>eBay vía Chrome, vendedor en EE.UU. (PC de la casa); envío gratis</t>
        </is>
      </c>
      <c r="H2" s="6" t="inlineStr">
        <is>
          <t>ver</t>
        </is>
      </c>
    </row>
    <row r="3">
      <c r="A3" s="15" t="n">
        <v>46307</v>
      </c>
      <c r="B3" s="5" t="inlineStr">
        <is>
          <t>eBay</t>
        </is>
      </c>
      <c r="C3" s="5" t="inlineStr">
        <is>
          <t>Ryzen 5 5600</t>
        </is>
      </c>
      <c r="D3" s="5" t="inlineStr">
        <is>
          <t>usado</t>
        </is>
      </c>
      <c r="E3" s="11" t="n">
        <v>124.68</v>
      </c>
      <c r="F3" s="5" t="inlineStr">
        <is>
          <t>USD</t>
        </is>
      </c>
      <c r="G3" s="5" t="inlineStr">
        <is>
          <t>eBay vía Chrome, vendedor en EE.UU. (PC de la casa)</t>
        </is>
      </c>
      <c r="H3" s="6" t="inlineStr">
        <is>
          <t>ver</t>
        </is>
      </c>
    </row>
    <row r="4">
      <c r="A4" s="15" t="n">
        <v>46307</v>
      </c>
      <c r="B4" s="5" t="inlineStr">
        <is>
          <t>eBay</t>
        </is>
      </c>
      <c r="C4" s="5" t="inlineStr">
        <is>
          <t>Ryzen 7 5700X3D</t>
        </is>
      </c>
      <c r="D4" s="5" t="inlineStr">
        <is>
          <t>usado</t>
        </is>
      </c>
      <c r="E4" s="11" t="n">
        <v>305.79</v>
      </c>
      <c r="F4" s="5" t="inlineStr">
        <is>
          <t>USD</t>
        </is>
      </c>
      <c r="G4" s="5" t="inlineStr">
        <is>
          <t>eBay vía Chrome, vendedor en EE.UU. (PC de la casa); no hay nuevos de vendedores de EE.UU.</t>
        </is>
      </c>
      <c r="H4" s="6" t="inlineStr">
        <is>
          <t>ver</t>
        </is>
      </c>
    </row>
    <row r="5">
      <c r="A5" s="15" t="n">
        <v>46307</v>
      </c>
      <c r="B5" s="5" t="inlineStr">
        <is>
          <t>eBay</t>
        </is>
      </c>
      <c r="C5" s="5" t="inlineStr">
        <is>
          <t>Ryzen 5 7600</t>
        </is>
      </c>
      <c r="D5" s="5" t="inlineStr">
        <is>
          <t>nuevo</t>
        </is>
      </c>
      <c r="E5" s="11" t="n">
        <v>137.04</v>
      </c>
      <c r="F5" s="5" t="inlineStr">
        <is>
          <t>USD</t>
        </is>
      </c>
      <c r="G5" s="5" t="inlineStr">
        <is>
          <t>eBay vía Chrome, vendedor en EE.UU. (PC de la casa); tray/OEM; en caja USD 240,53</t>
        </is>
      </c>
      <c r="H5" s="6" t="inlineStr">
        <is>
          <t>ver</t>
        </is>
      </c>
    </row>
    <row r="6">
      <c r="A6" s="15" t="n">
        <v>46307</v>
      </c>
      <c r="B6" s="5" t="inlineStr">
        <is>
          <t>eBay</t>
        </is>
      </c>
      <c r="C6" s="5" t="inlineStr">
        <is>
          <t>Ryzen 5 7600</t>
        </is>
      </c>
      <c r="D6" s="5" t="inlineStr">
        <is>
          <t>usado</t>
        </is>
      </c>
      <c r="E6" s="11" t="n">
        <v>120.99</v>
      </c>
      <c r="F6" s="5" t="inlineStr">
        <is>
          <t>USD</t>
        </is>
      </c>
      <c r="G6" s="5" t="inlineStr">
        <is>
          <t>eBay vía Chrome, vendedor en EE.UU. (PC de la casa)</t>
        </is>
      </c>
      <c r="H6" s="6" t="inlineStr">
        <is>
          <t>ver</t>
        </is>
      </c>
    </row>
    <row r="7">
      <c r="A7" s="15" t="n">
        <v>46307</v>
      </c>
      <c r="B7" s="5" t="inlineStr">
        <is>
          <t>eBay</t>
        </is>
      </c>
      <c r="C7" s="5" t="inlineStr">
        <is>
          <t>Ryzen 7 7800X3D</t>
        </is>
      </c>
      <c r="D7" s="5" t="inlineStr">
        <is>
          <t>nuevo</t>
        </is>
      </c>
      <c r="E7" s="11" t="n">
        <v>320</v>
      </c>
      <c r="F7" s="5" t="inlineStr">
        <is>
          <t>USD</t>
        </is>
      </c>
      <c r="G7" s="5" t="inlineStr">
        <is>
          <t>eBay vía Chrome, vendedor en EE.UU. (PC de la casa); envío gratis</t>
        </is>
      </c>
      <c r="H7" s="6" t="inlineStr">
        <is>
          <t>ver</t>
        </is>
      </c>
    </row>
    <row r="8">
      <c r="A8" s="15" t="n">
        <v>46307</v>
      </c>
      <c r="B8" s="5" t="inlineStr">
        <is>
          <t>eBay</t>
        </is>
      </c>
      <c r="C8" s="5" t="inlineStr">
        <is>
          <t>Ryzen 7 7800X3D</t>
        </is>
      </c>
      <c r="D8" s="5" t="inlineStr">
        <is>
          <t>usado</t>
        </is>
      </c>
      <c r="E8" s="11" t="n">
        <v>282.52</v>
      </c>
      <c r="F8" s="5" t="inlineStr">
        <is>
          <t>USD</t>
        </is>
      </c>
      <c r="G8" s="5" t="inlineStr">
        <is>
          <t>eBay vía Chrome, vendedor en EE.UU. (PC de la casa)</t>
        </is>
      </c>
      <c r="H8" s="6" t="inlineStr">
        <is>
          <t>ver</t>
        </is>
      </c>
    </row>
    <row r="9">
      <c r="A9" s="15" t="n">
        <v>46307</v>
      </c>
      <c r="B9" s="5" t="inlineStr">
        <is>
          <t>eBay</t>
        </is>
      </c>
      <c r="C9" s="5" t="inlineStr">
        <is>
          <t>Ryzen 9 9950X</t>
        </is>
      </c>
      <c r="D9" s="5" t="inlineStr">
        <is>
          <t>nuevo</t>
        </is>
      </c>
      <c r="E9" s="11" t="n">
        <v>512.1</v>
      </c>
      <c r="F9" s="5" t="inlineStr">
        <is>
          <t>USD</t>
        </is>
      </c>
      <c r="G9" s="5" t="inlineStr">
        <is>
          <t>eBay vía Chrome, vendedor en EE.UU. (PC de la casa)</t>
        </is>
      </c>
      <c r="H9" s="6" t="inlineStr">
        <is>
          <t>ver</t>
        </is>
      </c>
    </row>
    <row r="10">
      <c r="A10" s="15" t="n">
        <v>46307</v>
      </c>
      <c r="B10" s="5" t="inlineStr">
        <is>
          <t>eBay</t>
        </is>
      </c>
      <c r="C10" s="5" t="inlineStr">
        <is>
          <t>Ryzen 9 9950X</t>
        </is>
      </c>
      <c r="D10" s="5" t="inlineStr">
        <is>
          <t>usado</t>
        </is>
      </c>
      <c r="E10" s="11" t="n">
        <v>410</v>
      </c>
      <c r="F10" s="5" t="inlineStr">
        <is>
          <t>USD</t>
        </is>
      </c>
      <c r="G10" s="5" t="inlineStr">
        <is>
          <t>eBay vía Chrome, vendedor en EE.UU. (PC de la casa)</t>
        </is>
      </c>
      <c r="H10" s="6" t="inlineStr">
        <is>
          <t>ver</t>
        </is>
      </c>
    </row>
    <row r="11">
      <c r="A11" s="15" t="n">
        <v>46307</v>
      </c>
      <c r="B11" s="5" t="inlineStr">
        <is>
          <t>eBay</t>
        </is>
      </c>
      <c r="C11" s="5" t="inlineStr">
        <is>
          <t>Intel Core i5-12400F</t>
        </is>
      </c>
      <c r="D11" s="5" t="inlineStr">
        <is>
          <t>nuevo</t>
        </is>
      </c>
      <c r="E11" s="11" t="n">
        <v>159.95</v>
      </c>
      <c r="F11" s="5" t="inlineStr">
        <is>
          <t>USD</t>
        </is>
      </c>
      <c r="G11" s="5" t="inlineStr">
        <is>
          <t>eBay vía Chrome, vendedor en EE.UU. (PC de la casa); en caja, envío gratis</t>
        </is>
      </c>
      <c r="H11" s="6" t="inlineStr">
        <is>
          <t>ver</t>
        </is>
      </c>
    </row>
    <row r="12">
      <c r="A12" s="15" t="n">
        <v>46307</v>
      </c>
      <c r="B12" s="5" t="inlineStr">
        <is>
          <t>eBay</t>
        </is>
      </c>
      <c r="C12" s="5" t="inlineStr">
        <is>
          <t>Intel Core i5-12400F</t>
        </is>
      </c>
      <c r="D12" s="5" t="inlineStr">
        <is>
          <t>usado</t>
        </is>
      </c>
      <c r="E12" s="11" t="n">
        <v>124.99</v>
      </c>
      <c r="F12" s="5" t="inlineStr">
        <is>
          <t>USD</t>
        </is>
      </c>
      <c r="G12" s="5" t="inlineStr">
        <is>
          <t>eBay vía Chrome, vendedor en EE.UU. (PC de la casa)</t>
        </is>
      </c>
      <c r="H12" s="6" t="inlineStr">
        <is>
          <t>ver</t>
        </is>
      </c>
    </row>
    <row r="13">
      <c r="A13" s="15" t="n">
        <v>46307</v>
      </c>
      <c r="B13" s="5" t="inlineStr">
        <is>
          <t>eBay</t>
        </is>
      </c>
      <c r="C13" s="5" t="inlineStr">
        <is>
          <t>Intel Core i5-13400</t>
        </is>
      </c>
      <c r="D13" s="5" t="inlineStr">
        <is>
          <t>nuevo</t>
        </is>
      </c>
      <c r="E13" s="11" t="n">
        <v>259.78</v>
      </c>
      <c r="F13" s="5" t="inlineStr">
        <is>
          <t>USD</t>
        </is>
      </c>
      <c r="G13" s="5" t="inlineStr">
        <is>
          <t>eBay vía Chrome, vendedor en EE.UU. (PC de la casa); tray/OEM; pocos anuncios</t>
        </is>
      </c>
      <c r="H13" s="6" t="inlineStr">
        <is>
          <t>ver</t>
        </is>
      </c>
    </row>
    <row r="14">
      <c r="A14" s="15" t="n">
        <v>46307</v>
      </c>
      <c r="B14" s="5" t="inlineStr">
        <is>
          <t>eBay</t>
        </is>
      </c>
      <c r="C14" s="5" t="inlineStr">
        <is>
          <t>Intel Core i5-13400</t>
        </is>
      </c>
      <c r="D14" s="5" t="inlineStr">
        <is>
          <t>usado</t>
        </is>
      </c>
      <c r="E14" s="11" t="n">
        <v>155.72</v>
      </c>
      <c r="F14" s="5" t="inlineStr">
        <is>
          <t>USD</t>
        </is>
      </c>
      <c r="G14" s="5" t="inlineStr">
        <is>
          <t>eBay vía Chrome, vendedor en EE.UU. (PC de la casa)</t>
        </is>
      </c>
      <c r="H14" s="6" t="inlineStr">
        <is>
          <t>ver</t>
        </is>
      </c>
    </row>
    <row r="15">
      <c r="A15" s="15" t="n">
        <v>46307</v>
      </c>
      <c r="B15" s="5" t="inlineStr">
        <is>
          <t>eBay</t>
        </is>
      </c>
      <c r="C15" s="5" t="inlineStr">
        <is>
          <t>Intel Core i5-14400F</t>
        </is>
      </c>
      <c r="D15" s="5" t="inlineStr">
        <is>
          <t>nuevo</t>
        </is>
      </c>
      <c r="E15" s="11" t="n">
        <v>164.49</v>
      </c>
      <c r="F15" s="5" t="inlineStr">
        <is>
          <t>USD</t>
        </is>
      </c>
      <c r="G15" s="5" t="inlineStr">
        <is>
          <t>eBay vía Chrome, vendedor en EE.UU. (PC de la casa); envío gratis</t>
        </is>
      </c>
      <c r="H15" s="6" t="inlineStr">
        <is>
          <t>ver</t>
        </is>
      </c>
    </row>
    <row r="16">
      <c r="A16" s="15" t="n">
        <v>46307</v>
      </c>
      <c r="B16" s="5" t="inlineStr">
        <is>
          <t>eBay</t>
        </is>
      </c>
      <c r="C16" s="5" t="inlineStr">
        <is>
          <t>Intel Core i5-14400F</t>
        </is>
      </c>
      <c r="D16" s="5" t="inlineStr">
        <is>
          <t>usado</t>
        </is>
      </c>
      <c r="E16" s="11" t="n">
        <v>139.99</v>
      </c>
      <c r="F16" s="5" t="inlineStr">
        <is>
          <t>USD</t>
        </is>
      </c>
      <c r="G16" s="5" t="inlineStr">
        <is>
          <t>eBay vía Chrome, vendedor en EE.UU. (PC de la casa)</t>
        </is>
      </c>
      <c r="H16" s="6" t="inlineStr">
        <is>
          <t>ver</t>
        </is>
      </c>
    </row>
    <row r="17">
      <c r="A17" s="15" t="n">
        <v>46307</v>
      </c>
      <c r="B17" s="5" t="inlineStr">
        <is>
          <t>eBay</t>
        </is>
      </c>
      <c r="C17" s="5" t="inlineStr">
        <is>
          <t>Intel Core Ultra 7 265K</t>
        </is>
      </c>
      <c r="D17" s="5" t="inlineStr">
        <is>
          <t>nuevo</t>
        </is>
      </c>
      <c r="E17" s="11" t="n">
        <v>244.88</v>
      </c>
      <c r="F17" s="5" t="inlineStr">
        <is>
          <t>USD</t>
        </is>
      </c>
      <c r="G17" s="5" t="inlineStr">
        <is>
          <t>eBay vía Chrome, vendedor en EE.UU. (PC de la casa); envío gratis</t>
        </is>
      </c>
      <c r="H17" s="6" t="inlineStr">
        <is>
          <t>ver</t>
        </is>
      </c>
    </row>
    <row r="18">
      <c r="A18" s="15" t="n">
        <v>46307</v>
      </c>
      <c r="B18" s="5" t="inlineStr">
        <is>
          <t>eBay</t>
        </is>
      </c>
      <c r="C18" s="5" t="inlineStr">
        <is>
          <t>Intel Core Ultra 7 265K</t>
        </is>
      </c>
      <c r="D18" s="5" t="inlineStr">
        <is>
          <t>usado</t>
        </is>
      </c>
      <c r="E18" s="11" t="n">
        <v>199.99</v>
      </c>
      <c r="F18" s="5" t="inlineStr">
        <is>
          <t>USD</t>
        </is>
      </c>
      <c r="G18" s="5" t="inlineStr">
        <is>
          <t>eBay vía Chrome, vendedor en EE.UU. (PC de la casa)</t>
        </is>
      </c>
      <c r="H18" s="6" t="inlineStr">
        <is>
          <t>ver</t>
        </is>
      </c>
    </row>
    <row r="19">
      <c r="A19" s="15" t="n">
        <v>46307</v>
      </c>
      <c r="B19" s="5" t="inlineStr">
        <is>
          <t>eBay</t>
        </is>
      </c>
      <c r="C19" s="5" t="inlineStr">
        <is>
          <t>Corsair Vengeance RGB DDR5 32GB (2x16) 5600</t>
        </is>
      </c>
      <c r="D19" s="5" t="inlineStr">
        <is>
          <t>nuevo</t>
        </is>
      </c>
      <c r="E19" s="11" t="n">
        <v>429</v>
      </c>
      <c r="F19" s="5" t="inlineStr">
        <is>
          <t>USD</t>
        </is>
      </c>
      <c r="G19" s="5" t="inlineStr">
        <is>
          <t>eBay vía Chrome, vendedor en EE.UU. (PC de la casa); OPEN BOX (no hay nuevo de vendedor de EE.UU.)</t>
        </is>
      </c>
      <c r="H19" s="6" t="inlineStr">
        <is>
          <t>ver</t>
        </is>
      </c>
    </row>
    <row r="20">
      <c r="A20" s="15" t="n">
        <v>46307</v>
      </c>
      <c r="B20" s="5" t="inlineStr">
        <is>
          <t>eBay</t>
        </is>
      </c>
      <c r="C20" s="5" t="inlineStr">
        <is>
          <t>Corsair Vengeance RGB DDR5 32GB (2x16) 5600</t>
        </is>
      </c>
      <c r="D20" s="5" t="inlineStr">
        <is>
          <t>usado</t>
        </is>
      </c>
      <c r="E20" s="11" t="n">
        <v>399.99</v>
      </c>
      <c r="F20" s="5" t="inlineStr">
        <is>
          <t>USD</t>
        </is>
      </c>
      <c r="G20" s="5" t="inlineStr">
        <is>
          <t>eBay vía Chrome, vendedor en EE.UU. (PC de la casa)</t>
        </is>
      </c>
      <c r="H20" s="6" t="inlineStr">
        <is>
          <t>ver</t>
        </is>
      </c>
    </row>
    <row r="21">
      <c r="A21" s="15" t="n">
        <v>46307</v>
      </c>
      <c r="B21" s="5" t="inlineStr">
        <is>
          <t>eBay</t>
        </is>
      </c>
      <c r="C21" s="5" t="inlineStr">
        <is>
          <t>Corsair Vengeance RGB DDR5 32GB (2x16) 6000</t>
        </is>
      </c>
      <c r="D21" s="5" t="inlineStr">
        <is>
          <t>nuevo</t>
        </is>
      </c>
      <c r="E21" s="11" t="n">
        <v>430.99</v>
      </c>
      <c r="F21" s="5" t="inlineStr">
        <is>
          <t>USD</t>
        </is>
      </c>
      <c r="G21" s="5" t="inlineStr">
        <is>
          <t>eBay vía Chrome, vendedor en EE.UU. (PC de la casa); Vengeance RGB RS</t>
        </is>
      </c>
      <c r="H21" s="6" t="inlineStr">
        <is>
          <t>ver</t>
        </is>
      </c>
    </row>
    <row r="22">
      <c r="A22" s="15" t="n">
        <v>46307</v>
      </c>
      <c r="B22" s="5" t="inlineStr">
        <is>
          <t>eBay</t>
        </is>
      </c>
      <c r="C22" s="5" t="inlineStr">
        <is>
          <t>Corsair Vengeance RGB DDR5 32GB (2x16) 6000</t>
        </is>
      </c>
      <c r="D22" s="5" t="inlineStr">
        <is>
          <t>usado</t>
        </is>
      </c>
      <c r="E22" s="11" t="n">
        <v>399.95</v>
      </c>
      <c r="F22" s="5" t="inlineStr">
        <is>
          <t>USD</t>
        </is>
      </c>
      <c r="G22" s="5" t="inlineStr">
        <is>
          <t>eBay vía Chrome, vendedor en EE.UU. (PC de la casa)</t>
        </is>
      </c>
      <c r="H22" s="6" t="inlineStr">
        <is>
          <t>ver</t>
        </is>
      </c>
    </row>
    <row r="23">
      <c r="A23" s="15" t="n">
        <v>46307</v>
      </c>
      <c r="B23" s="5" t="inlineStr">
        <is>
          <t>eBay</t>
        </is>
      </c>
      <c r="C23" s="5" t="inlineStr">
        <is>
          <t>RAM DDR4 16GB (2x8) 3200</t>
        </is>
      </c>
      <c r="D23" s="5" t="inlineStr">
        <is>
          <t>nuevo</t>
        </is>
      </c>
      <c r="E23" s="11" t="n">
        <v>97.48999999999999</v>
      </c>
      <c r="F23" s="5" t="inlineStr">
        <is>
          <t>USD</t>
        </is>
      </c>
      <c r="G23" s="5" t="inlineStr">
        <is>
          <t>eBay vía Chrome, vendedor en EE.UU. (PC de la casa); G.Skill Ripjaws V 2x8</t>
        </is>
      </c>
      <c r="H23" s="6" t="inlineStr">
        <is>
          <t>ver</t>
        </is>
      </c>
    </row>
    <row r="24">
      <c r="A24" s="15" t="n">
        <v>46307</v>
      </c>
      <c r="B24" s="5" t="inlineStr">
        <is>
          <t>eBay</t>
        </is>
      </c>
      <c r="C24" s="5" t="inlineStr">
        <is>
          <t>RAM DDR4 16GB (2x8) 3200</t>
        </is>
      </c>
      <c r="D24" s="5" t="inlineStr">
        <is>
          <t>usado</t>
        </is>
      </c>
      <c r="E24" s="11" t="n">
        <v>65.70999999999999</v>
      </c>
      <c r="F24" s="5" t="inlineStr">
        <is>
          <t>USD</t>
        </is>
      </c>
      <c r="G24" s="5" t="inlineStr">
        <is>
          <t>eBay vía Chrome, vendedor en EE.UU. (PC de la casa); Micron 2x8</t>
        </is>
      </c>
      <c r="H24" s="6" t="inlineStr">
        <is>
          <t>ver</t>
        </is>
      </c>
    </row>
    <row r="25">
      <c r="A25" s="15" t="n">
        <v>46307</v>
      </c>
      <c r="B25" s="5" t="inlineStr">
        <is>
          <t>eBay</t>
        </is>
      </c>
      <c r="C25" s="5" t="inlineStr">
        <is>
          <t>SSD NVMe 1TB</t>
        </is>
      </c>
      <c r="D25" s="5" t="inlineStr">
        <is>
          <t>nuevo</t>
        </is>
      </c>
      <c r="E25" s="11" t="n">
        <v>144.99</v>
      </c>
      <c r="F25" s="5" t="inlineStr">
        <is>
          <t>USD</t>
        </is>
      </c>
      <c r="G25" s="5" t="inlineStr">
        <is>
          <t>eBay vía Chrome, vendedor en EE.UU. (PC de la casa); Kingston NV3 1TB</t>
        </is>
      </c>
      <c r="H25" s="6" t="inlineStr">
        <is>
          <t>ver</t>
        </is>
      </c>
    </row>
    <row r="26">
      <c r="A26" s="15" t="n">
        <v>46307</v>
      </c>
      <c r="B26" s="5" t="inlineStr">
        <is>
          <t>eBay</t>
        </is>
      </c>
      <c r="C26" s="5" t="inlineStr">
        <is>
          <t>SSD NVMe 1TB</t>
        </is>
      </c>
      <c r="D26" s="5" t="inlineStr">
        <is>
          <t>usado</t>
        </is>
      </c>
      <c r="E26" s="11" t="n">
        <v>145.72</v>
      </c>
      <c r="F26" s="5" t="inlineStr">
        <is>
          <t>USD</t>
        </is>
      </c>
      <c r="G26" s="5" t="inlineStr">
        <is>
          <t>eBay vía Chrome, vendedor en EE.UU. (PC de la casa); Samsung 990 EVO Plus</t>
        </is>
      </c>
      <c r="H26" s="6" t="inlineStr">
        <is>
          <t>ver</t>
        </is>
      </c>
    </row>
    <row r="27">
      <c r="A27" s="15" t="n">
        <v>46307</v>
      </c>
      <c r="B27" s="5" t="inlineStr">
        <is>
          <t>eBay</t>
        </is>
      </c>
      <c r="C27" s="5" t="inlineStr">
        <is>
          <t>SSD NVMe 2TB</t>
        </is>
      </c>
      <c r="D27" s="5" t="inlineStr">
        <is>
          <t>nuevo</t>
        </is>
      </c>
      <c r="E27" s="11" t="n">
        <v>279.99</v>
      </c>
      <c r="F27" s="5" t="inlineStr">
        <is>
          <t>USD</t>
        </is>
      </c>
      <c r="G27" s="5" t="inlineStr">
        <is>
          <t>eBay vía Chrome, vendedor en EE.UU. (PC de la casa); Kingston NV3 2TB, envío gratis</t>
        </is>
      </c>
      <c r="H27" s="6" t="inlineStr">
        <is>
          <t>ver</t>
        </is>
      </c>
    </row>
    <row r="28">
      <c r="A28" s="15" t="n">
        <v>46307</v>
      </c>
      <c r="B28" s="5" t="inlineStr">
        <is>
          <t>eBay</t>
        </is>
      </c>
      <c r="C28" s="5" t="inlineStr">
        <is>
          <t>SSD NVMe 2TB</t>
        </is>
      </c>
      <c r="D28" s="5" t="inlineStr">
        <is>
          <t>usado</t>
        </is>
      </c>
      <c r="E28" s="11" t="n">
        <v>185.34</v>
      </c>
      <c r="F28" s="5" t="inlineStr">
        <is>
          <t>USD</t>
        </is>
      </c>
      <c r="G28" s="5" t="inlineStr">
        <is>
          <t>eBay vía Chrome, vendedor en EE.UU. (PC de la casa); Kingston NV3 2TB</t>
        </is>
      </c>
      <c r="H28" s="6" t="inlineStr">
        <is>
          <t>ver</t>
        </is>
      </c>
    </row>
    <row r="29">
      <c r="A29" s="15" t="n">
        <v>46307</v>
      </c>
      <c r="B29" s="5" t="inlineStr">
        <is>
          <t>eBay</t>
        </is>
      </c>
      <c r="C29" s="5" t="inlineStr">
        <is>
          <t>Ryzen 5 5600</t>
        </is>
      </c>
      <c r="D29" s="5" t="inlineStr">
        <is>
          <t>nuevo</t>
        </is>
      </c>
      <c r="E29" s="11" t="n">
        <v>138.9</v>
      </c>
      <c r="F29" s="5" t="inlineStr">
        <is>
          <t>USD</t>
        </is>
      </c>
      <c r="G29" s="5" t="inlineStr">
        <is>
          <t>eBay API; vendedor 3c_wholesaler 99.1%</t>
        </is>
      </c>
      <c r="H29" s="6" t="inlineStr">
        <is>
          <t>ver</t>
        </is>
      </c>
    </row>
    <row r="30">
      <c r="A30" s="15" t="n">
        <v>46307</v>
      </c>
      <c r="B30" s="5" t="inlineStr">
        <is>
          <t>eBay</t>
        </is>
      </c>
      <c r="C30" s="5" t="inlineStr">
        <is>
          <t>Ryzen 5 7600</t>
        </is>
      </c>
      <c r="D30" s="5" t="inlineStr">
        <is>
          <t>nuevo</t>
        </is>
      </c>
      <c r="E30" s="11" t="n">
        <v>144.25</v>
      </c>
      <c r="F30" s="5" t="inlineStr">
        <is>
          <t>USD</t>
        </is>
      </c>
      <c r="G30" s="5" t="inlineStr">
        <is>
          <t>eBay API; vendedor silaxon 99.6%</t>
        </is>
      </c>
      <c r="H30" s="6" t="inlineStr">
        <is>
          <t>ver</t>
        </is>
      </c>
    </row>
    <row r="31">
      <c r="A31" s="15" t="n">
        <v>46307</v>
      </c>
      <c r="B31" s="5" t="inlineStr">
        <is>
          <t>eBay</t>
        </is>
      </c>
      <c r="C31" s="5" t="inlineStr">
        <is>
          <t>Ryzen 7 7800X3D</t>
        </is>
      </c>
      <c r="D31" s="5" t="inlineStr">
        <is>
          <t>nuevo</t>
        </is>
      </c>
      <c r="E31" s="11" t="n">
        <v>329</v>
      </c>
      <c r="F31" s="5" t="inlineStr">
        <is>
          <t>USD</t>
        </is>
      </c>
      <c r="G31" s="5" t="inlineStr">
        <is>
          <t>eBay API; vendedor aaawavecom 99.8%; sin caja (tray)</t>
        </is>
      </c>
      <c r="H31" s="6" t="inlineStr">
        <is>
          <t>ver</t>
        </is>
      </c>
    </row>
    <row r="32">
      <c r="A32" s="15" t="n">
        <v>46307</v>
      </c>
      <c r="B32" s="5" t="inlineStr">
        <is>
          <t>eBay</t>
        </is>
      </c>
      <c r="C32" s="5" t="inlineStr">
        <is>
          <t>Ryzen 9 9950X</t>
        </is>
      </c>
      <c r="D32" s="5" t="inlineStr">
        <is>
          <t>nuevo</t>
        </is>
      </c>
      <c r="E32" s="11" t="n">
        <v>499.99</v>
      </c>
      <c r="F32" s="5" t="inlineStr">
        <is>
          <t>USD</t>
        </is>
      </c>
      <c r="G32" s="5" t="inlineStr">
        <is>
          <t>eBay API; vendedor saguarowholesalesupply 100.0%; sellado; envío no indicado</t>
        </is>
      </c>
      <c r="H32" s="6" t="inlineStr">
        <is>
          <t>ver</t>
        </is>
      </c>
    </row>
    <row r="33">
      <c r="A33" s="15" t="n">
        <v>46307</v>
      </c>
      <c r="B33" s="5" t="inlineStr">
        <is>
          <t>eBay</t>
        </is>
      </c>
      <c r="C33" s="5" t="inlineStr">
        <is>
          <t>Intel Core i5-12400F</t>
        </is>
      </c>
      <c r="D33" s="5" t="inlineStr">
        <is>
          <t>nuevo</t>
        </is>
      </c>
      <c r="E33" s="11" t="n">
        <v>150</v>
      </c>
      <c r="F33" s="5" t="inlineStr">
        <is>
          <t>USD</t>
        </is>
      </c>
      <c r="G33" s="5" t="inlineStr">
        <is>
          <t>eBay API; vendedor algonz1137 100.0%; envío no indicado</t>
        </is>
      </c>
      <c r="H33" s="6" t="inlineStr">
        <is>
          <t>ver</t>
        </is>
      </c>
    </row>
    <row r="34">
      <c r="A34" s="15" t="n">
        <v>46307</v>
      </c>
      <c r="B34" s="5" t="inlineStr">
        <is>
          <t>eBay</t>
        </is>
      </c>
      <c r="C34" s="5" t="inlineStr">
        <is>
          <t>Intel Core i5-14400F</t>
        </is>
      </c>
      <c r="D34" s="5" t="inlineStr">
        <is>
          <t>nuevo</t>
        </is>
      </c>
      <c r="E34" s="11" t="n">
        <v>164.49</v>
      </c>
      <c r="F34" s="5" t="inlineStr">
        <is>
          <t>USD</t>
        </is>
      </c>
      <c r="G34" s="5" t="inlineStr">
        <is>
          <t>eBay API; vendedor newegg 99.6%</t>
        </is>
      </c>
      <c r="H34" s="6" t="inlineStr">
        <is>
          <t>ver</t>
        </is>
      </c>
    </row>
    <row r="35">
      <c r="A35" s="15" t="n">
        <v>46307</v>
      </c>
      <c r="B35" s="5" t="inlineStr">
        <is>
          <t>eBay</t>
        </is>
      </c>
      <c r="C35" s="5" t="inlineStr">
        <is>
          <t>Intel Core Ultra 7 265K</t>
        </is>
      </c>
      <c r="D35" s="5" t="inlineStr">
        <is>
          <t>nuevo</t>
        </is>
      </c>
      <c r="E35" s="11" t="n">
        <v>244.87</v>
      </c>
      <c r="F35" s="5" t="inlineStr">
        <is>
          <t>USD</t>
        </is>
      </c>
      <c r="G35" s="5" t="inlineStr">
        <is>
          <t>eBay API; vendedor reverendreed779 100.0%</t>
        </is>
      </c>
      <c r="H35" s="6" t="inlineStr">
        <is>
          <t>ver</t>
        </is>
      </c>
    </row>
    <row r="36">
      <c r="A36" s="15" t="n">
        <v>46307</v>
      </c>
      <c r="B36" s="5" t="inlineStr">
        <is>
          <t>eBay</t>
        </is>
      </c>
      <c r="C36" s="5" t="inlineStr">
        <is>
          <t>Corsair Vengeance RGB DDR5 32GB (2x16) 5600</t>
        </is>
      </c>
      <c r="D36" s="5" t="inlineStr">
        <is>
          <t>nuevo</t>
        </is>
      </c>
      <c r="E36" s="11" t="n">
        <v>493</v>
      </c>
      <c r="F36" s="5" t="inlineStr">
        <is>
          <t>USD</t>
        </is>
      </c>
      <c r="G36" s="5" t="inlineStr">
        <is>
          <t>eBay API; vendedor blessshoppingshangrila 100.0%</t>
        </is>
      </c>
      <c r="H36" s="6" t="inlineStr">
        <is>
          <t>ver</t>
        </is>
      </c>
    </row>
    <row r="37">
      <c r="A37" s="15" t="n">
        <v>46307</v>
      </c>
      <c r="B37" s="5" t="inlineStr">
        <is>
          <t>eBay</t>
        </is>
      </c>
      <c r="C37" s="5" t="inlineStr">
        <is>
          <t>Corsair Vengeance RGB DDR5 32GB (2x16) 6000</t>
        </is>
      </c>
      <c r="D37" s="5" t="inlineStr">
        <is>
          <t>nuevo</t>
        </is>
      </c>
      <c r="E37" s="11" t="n">
        <v>435.99</v>
      </c>
      <c r="F37" s="5" t="inlineStr">
        <is>
          <t>USD</t>
        </is>
      </c>
      <c r="G37" s="5" t="inlineStr">
        <is>
          <t>eBay API; vendedor wojiapanpan_4 100.0%; Vengeance RGB RS</t>
        </is>
      </c>
      <c r="H37" s="6" t="inlineStr">
        <is>
          <t>ver</t>
        </is>
      </c>
    </row>
    <row r="38">
      <c r="A38" s="15" t="n">
        <v>46307</v>
      </c>
      <c r="B38" s="5" t="inlineStr">
        <is>
          <t>eBay</t>
        </is>
      </c>
      <c r="C38" s="5" t="inlineStr">
        <is>
          <t>RAM DDR4 16GB (2x8) 3200</t>
        </is>
      </c>
      <c r="D38" s="5" t="inlineStr">
        <is>
          <t>nuevo</t>
        </is>
      </c>
      <c r="E38" s="11" t="n">
        <v>75</v>
      </c>
      <c r="F38" s="5" t="inlineStr">
        <is>
          <t>USD</t>
        </is>
      </c>
      <c r="G38" s="5" t="inlineStr">
        <is>
          <t>eBay API; vendedor juniorarredondo 100.0%; Silicon Power 2x8</t>
        </is>
      </c>
      <c r="H38" s="6" t="inlineStr">
        <is>
          <t>ver</t>
        </is>
      </c>
    </row>
    <row r="39">
      <c r="A39" s="15" t="n">
        <v>46307</v>
      </c>
      <c r="B39" s="5" t="inlineStr">
        <is>
          <t>eBay</t>
        </is>
      </c>
      <c r="C39" s="5" t="inlineStr">
        <is>
          <t>SSD NVMe 1TB</t>
        </is>
      </c>
      <c r="D39" s="5" t="inlineStr">
        <is>
          <t>nuevo</t>
        </is>
      </c>
      <c r="E39" s="11" t="n">
        <v>114.99</v>
      </c>
      <c r="F39" s="5" t="inlineStr">
        <is>
          <t>USD</t>
        </is>
      </c>
      <c r="G39" s="5" t="inlineStr">
        <is>
          <t>eBay API; vendedor gadgetworld03 99.0%; Derlar DN-850Q, marca poco conocida</t>
        </is>
      </c>
      <c r="H39" s="6" t="inlineStr">
        <is>
          <t>ver</t>
        </is>
      </c>
    </row>
    <row r="40">
      <c r="A40" s="15" t="n">
        <v>46307</v>
      </c>
      <c r="B40" s="5" t="inlineStr">
        <is>
          <t>eBay</t>
        </is>
      </c>
      <c r="C40" s="5" t="inlineStr">
        <is>
          <t>SSD NVMe 2TB</t>
        </is>
      </c>
      <c r="D40" s="5" t="inlineStr">
        <is>
          <t>nuevo</t>
        </is>
      </c>
      <c r="E40" s="11" t="n">
        <v>209.99</v>
      </c>
      <c r="F40" s="5" t="inlineStr">
        <is>
          <t>USD</t>
        </is>
      </c>
      <c r="G40" s="5" t="inlineStr">
        <is>
          <t>eBay API; vendedor ram_technologies 100.0%; RAM Tech 2TB Gen4</t>
        </is>
      </c>
      <c r="H40" s="6" t="inlineStr">
        <is>
          <t>ver</t>
        </is>
      </c>
    </row>
    <row r="41">
      <c r="A41" s="15" t="n">
        <v>46307</v>
      </c>
      <c r="B41" s="5" t="inlineStr">
        <is>
          <t>eBay</t>
        </is>
      </c>
      <c r="C41" s="5" t="inlineStr">
        <is>
          <t>Ryzen 5 5600</t>
        </is>
      </c>
      <c r="D41" s="5" t="inlineStr">
        <is>
          <t>usado</t>
        </is>
      </c>
      <c r="E41" s="11" t="n">
        <v>135</v>
      </c>
      <c r="F41" s="5" t="inlineStr">
        <is>
          <t>USD</t>
        </is>
      </c>
      <c r="G41" s="5" t="inlineStr">
        <is>
          <t>eBay API; vendedor btlsln 100.0%; envío no indicado</t>
        </is>
      </c>
      <c r="H41" s="6" t="inlineStr">
        <is>
          <t>ver</t>
        </is>
      </c>
    </row>
    <row r="42">
      <c r="A42" s="15" t="n">
        <v>46307</v>
      </c>
      <c r="B42" s="5" t="inlineStr">
        <is>
          <t>eBay</t>
        </is>
      </c>
      <c r="C42" s="5" t="inlineStr">
        <is>
          <t>Ryzen 7 5700X3D</t>
        </is>
      </c>
      <c r="D42" s="5" t="inlineStr">
        <is>
          <t>usado</t>
        </is>
      </c>
      <c r="E42" s="11" t="n">
        <v>305</v>
      </c>
      <c r="F42" s="5" t="inlineStr">
        <is>
          <t>USD</t>
        </is>
      </c>
      <c r="G42" s="5" t="inlineStr">
        <is>
          <t>eBay API; vendedor wcaton 98.5%; envío no indicado</t>
        </is>
      </c>
      <c r="H42" s="6" t="inlineStr">
        <is>
          <t>ver</t>
        </is>
      </c>
    </row>
    <row r="43">
      <c r="A43" s="15" t="n">
        <v>46307</v>
      </c>
      <c r="B43" s="5" t="inlineStr">
        <is>
          <t>eBay</t>
        </is>
      </c>
      <c r="C43" s="5" t="inlineStr">
        <is>
          <t>Ryzen 5 7600</t>
        </is>
      </c>
      <c r="D43" s="5" t="inlineStr">
        <is>
          <t>usado</t>
        </is>
      </c>
      <c r="E43" s="11" t="n">
        <v>122.99</v>
      </c>
      <c r="F43" s="5" t="inlineStr">
        <is>
          <t>USD</t>
        </is>
      </c>
      <c r="G43" s="5" t="inlineStr">
        <is>
          <t>eBay API; vendedor paymore_cumberland 98.6%</t>
        </is>
      </c>
      <c r="H43" s="6" t="inlineStr">
        <is>
          <t>ver</t>
        </is>
      </c>
    </row>
    <row r="44">
      <c r="A44" s="15" t="n">
        <v>46307</v>
      </c>
      <c r="B44" s="5" t="inlineStr">
        <is>
          <t>eBay</t>
        </is>
      </c>
      <c r="C44" s="5" t="inlineStr">
        <is>
          <t>Ryzen 7 7800X3D</t>
        </is>
      </c>
      <c r="D44" s="5" t="inlineStr">
        <is>
          <t>usado</t>
        </is>
      </c>
      <c r="E44" s="11" t="n">
        <v>283.99</v>
      </c>
      <c r="F44" s="5" t="inlineStr">
        <is>
          <t>USD</t>
        </is>
      </c>
      <c r="G44" s="5" t="inlineStr">
        <is>
          <t>eBay API; vendedor paymore_pooler 99.6%</t>
        </is>
      </c>
      <c r="H44" s="6" t="inlineStr">
        <is>
          <t>ver</t>
        </is>
      </c>
    </row>
    <row r="45">
      <c r="A45" s="15" t="n">
        <v>46307</v>
      </c>
      <c r="B45" s="5" t="inlineStr">
        <is>
          <t>eBay</t>
        </is>
      </c>
      <c r="C45" s="5" t="inlineStr">
        <is>
          <t>Ryzen 9 9950X</t>
        </is>
      </c>
      <c r="D45" s="5" t="inlineStr">
        <is>
          <t>usado</t>
        </is>
      </c>
      <c r="E45" s="11" t="n">
        <v>454.99</v>
      </c>
      <c r="F45" s="5" t="inlineStr">
        <is>
          <t>USD</t>
        </is>
      </c>
      <c r="G45" s="5" t="inlineStr">
        <is>
          <t>eBay API; vendedor goodios_direct 99.6%</t>
        </is>
      </c>
      <c r="H45" s="6" t="inlineStr">
        <is>
          <t>ver</t>
        </is>
      </c>
    </row>
    <row r="46">
      <c r="A46" s="15" t="n">
        <v>46307</v>
      </c>
      <c r="B46" s="5" t="inlineStr">
        <is>
          <t>eBay</t>
        </is>
      </c>
      <c r="C46" s="5" t="inlineStr">
        <is>
          <t>Intel Core i5-12400F</t>
        </is>
      </c>
      <c r="D46" s="5" t="inlineStr">
        <is>
          <t>usado</t>
        </is>
      </c>
      <c r="E46" s="11" t="n">
        <v>119.95</v>
      </c>
      <c r="F46" s="5" t="inlineStr">
        <is>
          <t>USD</t>
        </is>
      </c>
      <c r="G46" s="5" t="inlineStr">
        <is>
          <t>eBay API; vendedor sg_design_and_goods 99.3%; envío no indicado</t>
        </is>
      </c>
      <c r="H46" s="6" t="inlineStr">
        <is>
          <t>ver</t>
        </is>
      </c>
    </row>
    <row r="47">
      <c r="A47" s="15" t="n">
        <v>46307</v>
      </c>
      <c r="B47" s="5" t="inlineStr">
        <is>
          <t>eBay</t>
        </is>
      </c>
      <c r="C47" s="5" t="inlineStr">
        <is>
          <t>Intel Core i5-13400</t>
        </is>
      </c>
      <c r="D47" s="5" t="inlineStr">
        <is>
          <t>usado</t>
        </is>
      </c>
      <c r="E47" s="11" t="n">
        <v>149.99</v>
      </c>
      <c r="F47" s="5" t="inlineStr">
        <is>
          <t>USD</t>
        </is>
      </c>
      <c r="G47" s="5" t="inlineStr">
        <is>
          <t>eBay API; vendedor techrec-recycling 99.6%</t>
        </is>
      </c>
      <c r="H47" s="6" t="inlineStr">
        <is>
          <t>ver</t>
        </is>
      </c>
    </row>
    <row r="48">
      <c r="A48" s="15" t="n">
        <v>46307</v>
      </c>
      <c r="B48" s="5" t="inlineStr">
        <is>
          <t>eBay</t>
        </is>
      </c>
      <c r="C48" s="5" t="inlineStr">
        <is>
          <t>Intel Core i5-14400F</t>
        </is>
      </c>
      <c r="D48" s="5" t="inlineStr">
        <is>
          <t>usado</t>
        </is>
      </c>
      <c r="E48" s="11" t="n">
        <v>136.99</v>
      </c>
      <c r="F48" s="5" t="inlineStr">
        <is>
          <t>USD</t>
        </is>
      </c>
      <c r="G48" s="5" t="inlineStr">
        <is>
          <t>eBay API; vendedor paymore_covington 99.8%</t>
        </is>
      </c>
      <c r="H48" s="6" t="inlineStr">
        <is>
          <t>ver</t>
        </is>
      </c>
    </row>
    <row r="49">
      <c r="A49" s="15" t="n">
        <v>46307</v>
      </c>
      <c r="B49" s="5" t="inlineStr">
        <is>
          <t>eBay</t>
        </is>
      </c>
      <c r="C49" s="5" t="inlineStr">
        <is>
          <t>Intel Core Ultra 7 265K</t>
        </is>
      </c>
      <c r="D49" s="5" t="inlineStr">
        <is>
          <t>usado</t>
        </is>
      </c>
      <c r="E49" s="11" t="n">
        <v>209.99</v>
      </c>
      <c r="F49" s="5" t="inlineStr">
        <is>
          <t>USD</t>
        </is>
      </c>
      <c r="G49" s="5" t="inlineStr">
        <is>
          <t>eBay API; vendedor paymore_bustleton 99.4%</t>
        </is>
      </c>
      <c r="H49" s="6" t="inlineStr">
        <is>
          <t>ver</t>
        </is>
      </c>
    </row>
    <row r="50">
      <c r="A50" s="15" t="n">
        <v>46307</v>
      </c>
      <c r="B50" s="5" t="inlineStr">
        <is>
          <t>eBay</t>
        </is>
      </c>
      <c r="C50" s="5" t="inlineStr">
        <is>
          <t>Corsair Vengeance RGB DDR5 32GB (2x16) 5600</t>
        </is>
      </c>
      <c r="D50" s="5" t="inlineStr">
        <is>
          <t>usado</t>
        </is>
      </c>
      <c r="E50" s="11" t="n">
        <v>399.99</v>
      </c>
      <c r="F50" s="5" t="inlineStr">
        <is>
          <t>USD</t>
        </is>
      </c>
      <c r="G50" s="5" t="inlineStr">
        <is>
          <t>eBay API; vendedor paymore_sugar_land 99.4%</t>
        </is>
      </c>
      <c r="H50" s="6" t="inlineStr">
        <is>
          <t>ver</t>
        </is>
      </c>
    </row>
    <row r="51">
      <c r="A51" s="15" t="n">
        <v>46307</v>
      </c>
      <c r="B51" s="5" t="inlineStr">
        <is>
          <t>eBay</t>
        </is>
      </c>
      <c r="C51" s="5" t="inlineStr">
        <is>
          <t>Corsair Vengeance RGB DDR5 32GB (2x16) 6000</t>
        </is>
      </c>
      <c r="D51" s="5" t="inlineStr">
        <is>
          <t>usado</t>
        </is>
      </c>
      <c r="E51" s="11" t="n">
        <v>399.9</v>
      </c>
      <c r="F51" s="5" t="inlineStr">
        <is>
          <t>USD</t>
        </is>
      </c>
      <c r="G51" s="5" t="inlineStr">
        <is>
          <t>eBay API; vendedor thaigamer 100.0%; envío no indicado</t>
        </is>
      </c>
      <c r="H51" s="6" t="inlineStr">
        <is>
          <t>ver</t>
        </is>
      </c>
    </row>
    <row r="52">
      <c r="A52" s="15" t="n">
        <v>46307</v>
      </c>
      <c r="B52" s="5" t="inlineStr">
        <is>
          <t>eBay</t>
        </is>
      </c>
      <c r="C52" s="5" t="inlineStr">
        <is>
          <t>RAM DDR4 16GB (2x8) 3200</t>
        </is>
      </c>
      <c r="D52" s="5" t="inlineStr">
        <is>
          <t>usado</t>
        </is>
      </c>
      <c r="E52" s="11" t="n">
        <v>59.99</v>
      </c>
      <c r="F52" s="5" t="inlineStr">
        <is>
          <t>USD</t>
        </is>
      </c>
      <c r="G52" s="5" t="inlineStr">
        <is>
          <t>eBay API; vendedor lowwvoltage 100.0%; Micron 2x8; envío no indicado</t>
        </is>
      </c>
      <c r="H52" s="6" t="inlineStr">
        <is>
          <t>ver</t>
        </is>
      </c>
    </row>
    <row r="53">
      <c r="A53" s="15" t="n">
        <v>46307</v>
      </c>
      <c r="B53" s="5" t="inlineStr">
        <is>
          <t>eBay</t>
        </is>
      </c>
      <c r="C53" s="5" t="inlineStr">
        <is>
          <t>SSD NVMe 1TB</t>
        </is>
      </c>
      <c r="D53" s="5" t="inlineStr">
        <is>
          <t>usado</t>
        </is>
      </c>
      <c r="E53" s="11" t="n">
        <v>99.98999999999999</v>
      </c>
      <c r="F53" s="5" t="inlineStr">
        <is>
          <t>USD</t>
        </is>
      </c>
      <c r="G53" s="5" t="inlineStr">
        <is>
          <t>eBay API; vendedor paymore_anaheim 99.5%; Intel 665P</t>
        </is>
      </c>
      <c r="H53" s="6" t="inlineStr">
        <is>
          <t>ver</t>
        </is>
      </c>
    </row>
    <row r="54">
      <c r="A54" s="15" t="n">
        <v>46307</v>
      </c>
      <c r="B54" s="5" t="inlineStr">
        <is>
          <t>eBay</t>
        </is>
      </c>
      <c r="C54" s="5" t="inlineStr">
        <is>
          <t>SSD NVMe 2TB</t>
        </is>
      </c>
      <c r="D54" s="5" t="inlineStr">
        <is>
          <t>usado</t>
        </is>
      </c>
      <c r="E54" s="11" t="n">
        <v>179.99</v>
      </c>
      <c r="F54" s="5" t="inlineStr">
        <is>
          <t>USD</t>
        </is>
      </c>
      <c r="G54" s="5" t="inlineStr">
        <is>
          <t>eBay API; vendedor oceanwaveshop 99.2%; ORICO e3500</t>
        </is>
      </c>
      <c r="H54" s="6" t="inlineStr">
        <is>
          <t>ver</t>
        </is>
      </c>
    </row>
    <row r="55">
      <c r="A55" s="15" t="n">
        <v>46308</v>
      </c>
      <c r="B55" s="5" t="inlineStr">
        <is>
          <t>eBay</t>
        </is>
      </c>
      <c r="C55" s="5" t="inlineStr">
        <is>
          <t>Ryzen 5 5600</t>
        </is>
      </c>
      <c r="D55" s="5" t="inlineStr">
        <is>
          <t>nuevo</t>
        </is>
      </c>
      <c r="E55" s="11" t="n">
        <v>138.9</v>
      </c>
      <c r="F55" s="5" t="inlineStr">
        <is>
          <t>USD</t>
        </is>
      </c>
      <c r="G55" s="5" t="inlineStr">
        <is>
          <t>eBay API; vendedor 3c_wholesaler 99.1%; (New) AMD Ryzen 5 5600 Vermeer Zen3 6-Core 12-Thread AM4 CPU</t>
        </is>
      </c>
      <c r="H55" s="6" t="inlineStr">
        <is>
          <t>ver</t>
        </is>
      </c>
    </row>
    <row r="56">
      <c r="A56" s="15" t="n">
        <v>46308</v>
      </c>
      <c r="B56" s="5" t="inlineStr">
        <is>
          <t>eBay</t>
        </is>
      </c>
      <c r="C56" s="5" t="inlineStr">
        <is>
          <t>Ryzen 5 7600</t>
        </is>
      </c>
      <c r="D56" s="5" t="inlineStr">
        <is>
          <t>nuevo</t>
        </is>
      </c>
      <c r="E56" s="11" t="n">
        <v>143.24</v>
      </c>
      <c r="F56" s="5" t="inlineStr">
        <is>
          <t>USD</t>
        </is>
      </c>
      <c r="G56" s="5" t="inlineStr">
        <is>
          <t>eBay API; vendedor silaxon 99.6%; AMD Ryzen 5 7600 3.80GHz 6 Core 12 Thread AM5 100-000001015</t>
        </is>
      </c>
      <c r="H56" s="6" t="inlineStr">
        <is>
          <t>ver</t>
        </is>
      </c>
    </row>
    <row r="57">
      <c r="A57" s="15" t="n">
        <v>46308</v>
      </c>
      <c r="B57" s="5" t="inlineStr">
        <is>
          <t>eBay</t>
        </is>
      </c>
      <c r="C57" s="5" t="inlineStr">
        <is>
          <t>Ryzen 7 7800X3D</t>
        </is>
      </c>
      <c r="D57" s="5" t="inlineStr">
        <is>
          <t>nuevo</t>
        </is>
      </c>
      <c r="E57" s="11" t="n">
        <v>329</v>
      </c>
      <c r="F57" s="5" t="inlineStr">
        <is>
          <t>USD</t>
        </is>
      </c>
      <c r="G57" s="5" t="inlineStr">
        <is>
          <t>eBay API; vendedor aaawavecom 99.8%; AMD Ryzen 7 7800X3D Processor Zen 4 8-Core 4.2GHz AM5 CPU (N</t>
        </is>
      </c>
      <c r="H57" s="6" t="inlineStr">
        <is>
          <t>ver</t>
        </is>
      </c>
    </row>
    <row r="58">
      <c r="A58" s="15" t="n">
        <v>46308</v>
      </c>
      <c r="B58" s="5" t="inlineStr">
        <is>
          <t>eBay</t>
        </is>
      </c>
      <c r="C58" s="5" t="inlineStr">
        <is>
          <t>Ryzen 9 9950X</t>
        </is>
      </c>
      <c r="D58" s="5" t="inlineStr">
        <is>
          <t>nuevo</t>
        </is>
      </c>
      <c r="E58" s="11" t="n">
        <v>499.99</v>
      </c>
      <c r="F58" s="5" t="inlineStr">
        <is>
          <t>USD</t>
        </is>
      </c>
      <c r="G58" s="5" t="inlineStr">
        <is>
          <t>eBay API; vendedor saguarowholesalesupply 100.0%; AMD Ryzen 9 9950X Desktop Processor AM5 New Sealed; envío no indicado</t>
        </is>
      </c>
      <c r="H58" s="6" t="inlineStr">
        <is>
          <t>ver</t>
        </is>
      </c>
    </row>
    <row r="59">
      <c r="A59" s="15" t="n">
        <v>46308</v>
      </c>
      <c r="B59" s="5" t="inlineStr">
        <is>
          <t>eBay</t>
        </is>
      </c>
      <c r="C59" s="5" t="inlineStr">
        <is>
          <t>Intel Core i5-12400F</t>
        </is>
      </c>
      <c r="D59" s="5" t="inlineStr">
        <is>
          <t>nuevo</t>
        </is>
      </c>
      <c r="E59" s="11" t="n">
        <v>150</v>
      </c>
      <c r="F59" s="5" t="inlineStr">
        <is>
          <t>USD</t>
        </is>
      </c>
      <c r="G59" s="5" t="inlineStr">
        <is>
          <t>eBay API; vendedor algonz1137 100.0%; INTEL CPU Core i5-12400F / 6/12 / 2.5GHz / 6xxChipset / BX80; envío no indicado</t>
        </is>
      </c>
      <c r="H59" s="6" t="inlineStr">
        <is>
          <t>ver</t>
        </is>
      </c>
    </row>
    <row r="60">
      <c r="A60" s="15" t="n">
        <v>46308</v>
      </c>
      <c r="B60" s="5" t="inlineStr">
        <is>
          <t>eBay</t>
        </is>
      </c>
      <c r="C60" s="5" t="inlineStr">
        <is>
          <t>Intel Core i5-14400F</t>
        </is>
      </c>
      <c r="D60" s="5" t="inlineStr">
        <is>
          <t>nuevo</t>
        </is>
      </c>
      <c r="E60" s="11" t="n">
        <v>164.49</v>
      </c>
      <c r="F60" s="5" t="inlineStr">
        <is>
          <t>USD</t>
        </is>
      </c>
      <c r="G60" s="5" t="inlineStr">
        <is>
          <t xml:space="preserve">eBay API; vendedor newegg 99.6%; Intel Core i5-14400F - Core i5 14th Gen Raptor Lake 10-Core </t>
        </is>
      </c>
      <c r="H60" s="6" t="inlineStr">
        <is>
          <t>ver</t>
        </is>
      </c>
    </row>
    <row r="61">
      <c r="A61" s="15" t="n">
        <v>46308</v>
      </c>
      <c r="B61" s="5" t="inlineStr">
        <is>
          <t>eBay</t>
        </is>
      </c>
      <c r="C61" s="5" t="inlineStr">
        <is>
          <t>Intel Core Ultra 7 265K</t>
        </is>
      </c>
      <c r="D61" s="5" t="inlineStr">
        <is>
          <t>nuevo</t>
        </is>
      </c>
      <c r="E61" s="11" t="n">
        <v>234.99</v>
      </c>
      <c r="F61" s="5" t="inlineStr">
        <is>
          <t>USD</t>
        </is>
      </c>
      <c r="G61" s="5" t="inlineStr">
        <is>
          <t>eBay API; vendedor good_neighbor_mercantile 99.4%; Intel Core Ultra 7 265K CPU Desktop Processor LGA 1851 20-Co</t>
        </is>
      </c>
      <c r="H61" s="6" t="inlineStr">
        <is>
          <t>ver</t>
        </is>
      </c>
    </row>
    <row r="62">
      <c r="A62" s="15" t="n">
        <v>46308</v>
      </c>
      <c r="B62" s="5" t="inlineStr">
        <is>
          <t>eBay</t>
        </is>
      </c>
      <c r="C62" s="5" t="inlineStr">
        <is>
          <t>Corsair Vengeance RGB DDR5 32GB (2x16) 5600</t>
        </is>
      </c>
      <c r="D62" s="5" t="inlineStr">
        <is>
          <t>nuevo</t>
        </is>
      </c>
      <c r="E62" s="11" t="n">
        <v>493</v>
      </c>
      <c r="F62" s="5" t="inlineStr">
        <is>
          <t>USD</t>
        </is>
      </c>
      <c r="G62" s="5" t="inlineStr">
        <is>
          <t xml:space="preserve">eBay API; vendedor blessshoppingshangrila 100.0%; New Corsair VENGEANCE 32GB (2x16GB) Memory DDR5-5600MHz RAM </t>
        </is>
      </c>
      <c r="H62" s="6" t="inlineStr">
        <is>
          <t>ver</t>
        </is>
      </c>
    </row>
    <row r="63">
      <c r="A63" s="15" t="n">
        <v>46308</v>
      </c>
      <c r="B63" s="5" t="inlineStr">
        <is>
          <t>eBay</t>
        </is>
      </c>
      <c r="C63" s="5" t="inlineStr">
        <is>
          <t>Corsair Vengeance RGB DDR5 32GB (2x16) 6000</t>
        </is>
      </c>
      <c r="D63" s="5" t="inlineStr">
        <is>
          <t>nuevo</t>
        </is>
      </c>
      <c r="E63" s="11" t="n">
        <v>435.99</v>
      </c>
      <c r="F63" s="5" t="inlineStr">
        <is>
          <t>USD</t>
        </is>
      </c>
      <c r="G63" s="5" t="inlineStr">
        <is>
          <t>eBay API; vendedor wojiapanpan_4 100.0%; Corsair Vengeance RGB RS 32GB 2x16GB DDR5 6000 CL38 AMD EXPO</t>
        </is>
      </c>
      <c r="H63" s="6" t="inlineStr">
        <is>
          <t>ver</t>
        </is>
      </c>
    </row>
    <row r="64">
      <c r="A64" s="15" t="n">
        <v>46308</v>
      </c>
      <c r="B64" s="5" t="inlineStr">
        <is>
          <t>eBay</t>
        </is>
      </c>
      <c r="C64" s="5" t="inlineStr">
        <is>
          <t>RAM DDR4 16GB (2x8) 3200</t>
        </is>
      </c>
      <c r="D64" s="5" t="inlineStr">
        <is>
          <t>nuevo</t>
        </is>
      </c>
      <c r="E64" s="11" t="n">
        <v>92.98999999999999</v>
      </c>
      <c r="F64" s="5" t="inlineStr">
        <is>
          <t>USD</t>
        </is>
      </c>
      <c r="G64" s="5" t="inlineStr">
        <is>
          <t>eBay API; vendedor klolot3 100.0%; TeamGroup Vulcan Z 16GB (2x8GB) DDR4 3200 Desktop Gaming RAM; envío no indicado</t>
        </is>
      </c>
      <c r="H64" s="6" t="inlineStr">
        <is>
          <t>ver</t>
        </is>
      </c>
    </row>
    <row r="65">
      <c r="A65" s="15" t="n">
        <v>46308</v>
      </c>
      <c r="B65" s="5" t="inlineStr">
        <is>
          <t>eBay</t>
        </is>
      </c>
      <c r="C65" s="5" t="inlineStr">
        <is>
          <t>SSD NVMe 1TB</t>
        </is>
      </c>
      <c r="D65" s="5" t="inlineStr">
        <is>
          <t>nuevo</t>
        </is>
      </c>
      <c r="E65" s="11" t="n">
        <v>114.99</v>
      </c>
      <c r="F65" s="5" t="inlineStr">
        <is>
          <t>USD</t>
        </is>
      </c>
      <c r="G65" s="5" t="inlineStr">
        <is>
          <t>eBay API; vendedor gadgetworld03 99.0%; Derlar DN-850Q 1TB M.2 NVME PCIe 4.0 SSD - New</t>
        </is>
      </c>
      <c r="H65" s="6" t="inlineStr">
        <is>
          <t>ver</t>
        </is>
      </c>
    </row>
    <row r="66">
      <c r="A66" s="15" t="n">
        <v>46308</v>
      </c>
      <c r="B66" s="5" t="inlineStr">
        <is>
          <t>eBay</t>
        </is>
      </c>
      <c r="C66" s="5" t="inlineStr">
        <is>
          <t>SSD NVMe 2TB</t>
        </is>
      </c>
      <c r="D66" s="5" t="inlineStr">
        <is>
          <t>nuevo</t>
        </is>
      </c>
      <c r="E66" s="11" t="n">
        <v>209.99</v>
      </c>
      <c r="F66" s="5" t="inlineStr">
        <is>
          <t>USD</t>
        </is>
      </c>
      <c r="G66" s="5" t="inlineStr">
        <is>
          <t>eBay API; vendedor ram_technologies 100.0%; RAM Tech 2TB NVMe SSD Gen4 M.2 2280 | 5000MB/s Read 4500MB/s</t>
        </is>
      </c>
      <c r="H66" s="6" t="inlineStr">
        <is>
          <t>ver</t>
        </is>
      </c>
    </row>
    <row r="67">
      <c r="A67" s="15" t="n">
        <v>46308</v>
      </c>
      <c r="B67" s="5" t="inlineStr">
        <is>
          <t>eBay</t>
        </is>
      </c>
      <c r="C67" s="5" t="inlineStr">
        <is>
          <t>Ryzen 5 5600</t>
        </is>
      </c>
      <c r="D67" s="5" t="inlineStr">
        <is>
          <t>usado</t>
        </is>
      </c>
      <c r="E67" s="11" t="n">
        <v>135</v>
      </c>
      <c r="F67" s="5" t="inlineStr">
        <is>
          <t>USD</t>
        </is>
      </c>
      <c r="G67" s="5" t="inlineStr">
        <is>
          <t>eBay API; vendedor btlsln 100.0%; AMD Ryzen 5 5600 Desktop Processor (6 Cores, Socket AM4); envío no indicado</t>
        </is>
      </c>
      <c r="H67" s="6" t="inlineStr">
        <is>
          <t>ver</t>
        </is>
      </c>
    </row>
    <row r="68">
      <c r="A68" s="15" t="n">
        <v>46308</v>
      </c>
      <c r="B68" s="5" t="inlineStr">
        <is>
          <t>eBay</t>
        </is>
      </c>
      <c r="C68" s="5" t="inlineStr">
        <is>
          <t>Ryzen 7 5700X3D</t>
        </is>
      </c>
      <c r="D68" s="5" t="inlineStr">
        <is>
          <t>usado</t>
        </is>
      </c>
      <c r="E68" s="11" t="n">
        <v>299.99</v>
      </c>
      <c r="F68" s="5" t="inlineStr">
        <is>
          <t>USD</t>
        </is>
      </c>
      <c r="G68" s="5" t="inlineStr">
        <is>
          <t>eBay API; vendedor paymore_fontana 99.3%; AMD Ryzen 7 5700X3D 3.00GHz 8 Core 100-000001503 16 Thread A</t>
        </is>
      </c>
      <c r="H68" s="6" t="inlineStr">
        <is>
          <t>ver</t>
        </is>
      </c>
    </row>
    <row r="69">
      <c r="A69" s="15" t="n">
        <v>46308</v>
      </c>
      <c r="B69" s="5" t="inlineStr">
        <is>
          <t>eBay</t>
        </is>
      </c>
      <c r="C69" s="5" t="inlineStr">
        <is>
          <t>Ryzen 5 7600</t>
        </is>
      </c>
      <c r="D69" s="5" t="inlineStr">
        <is>
          <t>usado</t>
        </is>
      </c>
      <c r="E69" s="11" t="n">
        <v>122.99</v>
      </c>
      <c r="F69" s="5" t="inlineStr">
        <is>
          <t>USD</t>
        </is>
      </c>
      <c r="G69" s="5" t="inlineStr">
        <is>
          <t>eBay API; vendedor paymore_cumberland 98.6%; AMD Ryzen 5 7600 3.80GHz 6 Core 100-000001015 12 Thread AM5</t>
        </is>
      </c>
      <c r="H69" s="6" t="inlineStr">
        <is>
          <t>ver</t>
        </is>
      </c>
    </row>
    <row r="70">
      <c r="A70" s="15" t="n">
        <v>46308</v>
      </c>
      <c r="B70" s="5" t="inlineStr">
        <is>
          <t>eBay</t>
        </is>
      </c>
      <c r="C70" s="5" t="inlineStr">
        <is>
          <t>Ryzen 7 7800X3D</t>
        </is>
      </c>
      <c r="D70" s="5" t="inlineStr">
        <is>
          <t>usado</t>
        </is>
      </c>
      <c r="E70" s="11" t="n">
        <v>283.99</v>
      </c>
      <c r="F70" s="5" t="inlineStr">
        <is>
          <t>USD</t>
        </is>
      </c>
      <c r="G70" s="5" t="inlineStr">
        <is>
          <t>eBay API; vendedor paymore_pooler 99.7%; AMD Ryzen 7 7800X3D 4.20GHz 8 Core 100-000000910 16 Thread A</t>
        </is>
      </c>
      <c r="H70" s="6" t="inlineStr">
        <is>
          <t>ver</t>
        </is>
      </c>
    </row>
    <row r="71">
      <c r="A71" s="15" t="n">
        <v>46308</v>
      </c>
      <c r="B71" s="5" t="inlineStr">
        <is>
          <t>eBay</t>
        </is>
      </c>
      <c r="C71" s="5" t="inlineStr">
        <is>
          <t>Ryzen 9 9950X</t>
        </is>
      </c>
      <c r="D71" s="5" t="inlineStr">
        <is>
          <t>usado</t>
        </is>
      </c>
      <c r="E71" s="11" t="n">
        <v>454.99</v>
      </c>
      <c r="F71" s="5" t="inlineStr">
        <is>
          <t>USD</t>
        </is>
      </c>
      <c r="G71" s="5" t="inlineStr">
        <is>
          <t>eBay API; vendedor goodios_direct 99.6%; **  AMD Ryzen 9 9950X Processor - USED  **</t>
        </is>
      </c>
      <c r="H71" s="6" t="inlineStr">
        <is>
          <t>ver</t>
        </is>
      </c>
    </row>
    <row r="72">
      <c r="A72" s="15" t="n">
        <v>46308</v>
      </c>
      <c r="B72" s="5" t="inlineStr">
        <is>
          <t>eBay</t>
        </is>
      </c>
      <c r="C72" s="5" t="inlineStr">
        <is>
          <t>Intel Core i5-12400F</t>
        </is>
      </c>
      <c r="D72" s="5" t="inlineStr">
        <is>
          <t>usado</t>
        </is>
      </c>
      <c r="E72" s="11" t="n">
        <v>99</v>
      </c>
      <c r="F72" s="5" t="inlineStr">
        <is>
          <t>USD</t>
        </is>
      </c>
      <c r="G72" s="5" t="inlineStr">
        <is>
          <t>eBay API; vendedor sale_of_the_day 100.0%; Intel Core i5-12400F; envío no indicado</t>
        </is>
      </c>
      <c r="H72" s="6" t="inlineStr">
        <is>
          <t>ver</t>
        </is>
      </c>
    </row>
    <row r="73">
      <c r="A73" s="15" t="n">
        <v>46308</v>
      </c>
      <c r="B73" s="5" t="inlineStr">
        <is>
          <t>eBay</t>
        </is>
      </c>
      <c r="C73" s="5" t="inlineStr">
        <is>
          <t>Intel Core i5-13400</t>
        </is>
      </c>
      <c r="D73" s="5" t="inlineStr">
        <is>
          <t>usado</t>
        </is>
      </c>
      <c r="E73" s="11" t="n">
        <v>149.99</v>
      </c>
      <c r="F73" s="5" t="inlineStr">
        <is>
          <t>USD</t>
        </is>
      </c>
      <c r="G73" s="5" t="inlineStr">
        <is>
          <t>eBay API; vendedor techrec-recycling 99.6%; Intel Core i5-13400 2.50GHz 10-Core LGA1700 20MB Desktop Pro</t>
        </is>
      </c>
      <c r="H73" s="6" t="inlineStr">
        <is>
          <t>ver</t>
        </is>
      </c>
    </row>
    <row r="74">
      <c r="A74" s="15" t="n">
        <v>46308</v>
      </c>
      <c r="B74" s="5" t="inlineStr">
        <is>
          <t>eBay</t>
        </is>
      </c>
      <c r="C74" s="5" t="inlineStr">
        <is>
          <t>Intel Core i5-14400F</t>
        </is>
      </c>
      <c r="D74" s="5" t="inlineStr">
        <is>
          <t>usado</t>
        </is>
      </c>
      <c r="E74" s="11" t="n">
        <v>134</v>
      </c>
      <c r="F74" s="5" t="inlineStr">
        <is>
          <t>USD</t>
        </is>
      </c>
      <c r="G74" s="5" t="inlineStr">
        <is>
          <t>eBay API; vendedor htam86 99.7%; Intel Core i5-14400F 10-Core 16-Thread 4.7GHz LGA 1700 CPU S</t>
        </is>
      </c>
      <c r="H74" s="6" t="inlineStr">
        <is>
          <t>ver</t>
        </is>
      </c>
    </row>
    <row r="75">
      <c r="A75" s="15" t="n">
        <v>46308</v>
      </c>
      <c r="B75" s="5" t="inlineStr">
        <is>
          <t>eBay</t>
        </is>
      </c>
      <c r="C75" s="5" t="inlineStr">
        <is>
          <t>Intel Core Ultra 7 265K</t>
        </is>
      </c>
      <c r="D75" s="5" t="inlineStr">
        <is>
          <t>usado</t>
        </is>
      </c>
      <c r="E75" s="11" t="n">
        <v>209.99</v>
      </c>
      <c r="F75" s="5" t="inlineStr">
        <is>
          <t>USD</t>
        </is>
      </c>
      <c r="G75" s="5" t="inlineStr">
        <is>
          <t xml:space="preserve">eBay API; vendedor paymore_bustleton 99.4%; Intel Core Ultra 7 265K 3.90GHz 20 Core SRQCW 20 Thread LGA </t>
        </is>
      </c>
      <c r="H75" s="6" t="inlineStr">
        <is>
          <t>ver</t>
        </is>
      </c>
    </row>
    <row r="76">
      <c r="A76" s="15" t="n">
        <v>46308</v>
      </c>
      <c r="B76" s="5" t="inlineStr">
        <is>
          <t>eBay</t>
        </is>
      </c>
      <c r="C76" s="5" t="inlineStr">
        <is>
          <t>Corsair Vengeance RGB DDR5 32GB (2x16) 5600</t>
        </is>
      </c>
      <c r="D76" s="5" t="inlineStr">
        <is>
          <t>usado</t>
        </is>
      </c>
      <c r="E76" s="11" t="n">
        <v>383.99</v>
      </c>
      <c r="F76" s="5" t="inlineStr">
        <is>
          <t>USD</t>
        </is>
      </c>
      <c r="G76" s="5" t="inlineStr">
        <is>
          <t>eBay API; vendedor sly-systems 99.7%; Corsair Vengeance RGB Pro 32GB (2x16GB) RAM DDR5 5600MHz</t>
        </is>
      </c>
      <c r="H76" s="6" t="inlineStr">
        <is>
          <t>ver</t>
        </is>
      </c>
    </row>
    <row r="77">
      <c r="A77" s="15" t="n">
        <v>46308</v>
      </c>
      <c r="B77" s="5" t="inlineStr">
        <is>
          <t>eBay</t>
        </is>
      </c>
      <c r="C77" s="5" t="inlineStr">
        <is>
          <t>Corsair Vengeance RGB DDR5 32GB (2x16) 6000</t>
        </is>
      </c>
      <c r="D77" s="5" t="inlineStr">
        <is>
          <t>usado</t>
        </is>
      </c>
      <c r="E77" s="11" t="n">
        <v>399.9</v>
      </c>
      <c r="F77" s="5" t="inlineStr">
        <is>
          <t>USD</t>
        </is>
      </c>
      <c r="G77" s="5" t="inlineStr">
        <is>
          <t>eBay API; vendedor thaigamer 100.0%; Corsair Vengeance RGB DDR5 32GB (2x16GB) 6000MHz DIMM RGB CM; envío no indicado</t>
        </is>
      </c>
      <c r="H77" s="6" t="inlineStr">
        <is>
          <t>ver</t>
        </is>
      </c>
    </row>
    <row r="78">
      <c r="A78" s="15" t="n">
        <v>46308</v>
      </c>
      <c r="B78" s="5" t="inlineStr">
        <is>
          <t>eBay</t>
        </is>
      </c>
      <c r="C78" s="5" t="inlineStr">
        <is>
          <t>RAM DDR4 16GB (2x8) 3200</t>
        </is>
      </c>
      <c r="D78" s="5" t="inlineStr">
        <is>
          <t>usado</t>
        </is>
      </c>
      <c r="E78" s="11" t="n">
        <v>64.98999999999999</v>
      </c>
      <c r="F78" s="5" t="inlineStr">
        <is>
          <t>USD</t>
        </is>
      </c>
      <c r="G78" s="5" t="inlineStr">
        <is>
          <t>eBay API; vendedor corefoundry 100.0%; ADATA XPG Spectrix D41 16GB (2x8GB) DDR4 3200MHz CL16 Deskto; envío no indicado</t>
        </is>
      </c>
      <c r="H78" s="6" t="inlineStr">
        <is>
          <t>ver</t>
        </is>
      </c>
    </row>
    <row r="79">
      <c r="A79" s="15" t="n">
        <v>46308</v>
      </c>
      <c r="B79" s="5" t="inlineStr">
        <is>
          <t>eBay</t>
        </is>
      </c>
      <c r="C79" s="5" t="inlineStr">
        <is>
          <t>SSD NVMe 1TB</t>
        </is>
      </c>
      <c r="D79" s="5" t="inlineStr">
        <is>
          <t>usado</t>
        </is>
      </c>
      <c r="E79" s="11" t="n">
        <v>99.98999999999999</v>
      </c>
      <c r="F79" s="5" t="inlineStr">
        <is>
          <t>USD</t>
        </is>
      </c>
      <c r="G79" s="5" t="inlineStr">
        <is>
          <t>eBay API; vendedor anotherdudestreasures 98.9%; SK hynix PC611 1TB NVMe PCIe Gen3 x4 M.2 2280 Internal SSD H</t>
        </is>
      </c>
      <c r="H79" s="6" t="inlineStr">
        <is>
          <t>ver</t>
        </is>
      </c>
    </row>
    <row r="80">
      <c r="A80" s="15" t="n">
        <v>46308</v>
      </c>
      <c r="B80" s="5" t="inlineStr">
        <is>
          <t>eBay</t>
        </is>
      </c>
      <c r="C80" s="5" t="inlineStr">
        <is>
          <t>SSD NVMe 2TB</t>
        </is>
      </c>
      <c r="D80" s="5" t="inlineStr">
        <is>
          <t>usado</t>
        </is>
      </c>
      <c r="E80" s="11" t="n">
        <v>170</v>
      </c>
      <c r="F80" s="5" t="inlineStr">
        <is>
          <t>USD</t>
        </is>
      </c>
      <c r="G80" s="5" t="inlineStr">
        <is>
          <t>eBay API; vendedor bunyip1992 100.0%; Inland 2TB Gen 3 NVME SSD Used Good</t>
        </is>
      </c>
      <c r="H80" s="6" t="inlineStr">
        <is>
          <t>ver</t>
        </is>
      </c>
    </row>
    <row r="81">
      <c r="A81" s="15" t="n">
        <v>46309</v>
      </c>
      <c r="B81" s="5" t="inlineStr">
        <is>
          <t>eBay</t>
        </is>
      </c>
      <c r="C81" s="5" t="inlineStr">
        <is>
          <t>Ryzen 5 5600</t>
        </is>
      </c>
      <c r="D81" s="5" t="inlineStr">
        <is>
          <t>nuevo</t>
        </is>
      </c>
      <c r="E81" s="11" t="n">
        <v>138.9</v>
      </c>
      <c r="F81" s="5" t="inlineStr">
        <is>
          <t>USD</t>
        </is>
      </c>
      <c r="G81" s="5" t="inlineStr">
        <is>
          <t>eBay API; vendedor 3c_wholesaler 99.1%; (New) AMD Ryzen 5 5600 Vermeer Zen3 6-Core 12-Thread AM4 CPU</t>
        </is>
      </c>
      <c r="H81" s="6" t="inlineStr">
        <is>
          <t>ver</t>
        </is>
      </c>
    </row>
    <row r="82">
      <c r="A82" s="15" t="n">
        <v>46309</v>
      </c>
      <c r="B82" s="5" t="inlineStr">
        <is>
          <t>eBay</t>
        </is>
      </c>
      <c r="C82" s="5" t="inlineStr">
        <is>
          <t>Ryzen 5 7600</t>
        </is>
      </c>
      <c r="D82" s="5" t="inlineStr">
        <is>
          <t>nuevo</t>
        </is>
      </c>
      <c r="E82" s="11" t="n">
        <v>142.24</v>
      </c>
      <c r="F82" s="5" t="inlineStr">
        <is>
          <t>USD</t>
        </is>
      </c>
      <c r="G82" s="5" t="inlineStr">
        <is>
          <t>eBay API; vendedor silaxon 99.6%; AMD Ryzen 5 7600 3.80GHz 6 Core 12 Thread AM5 100-000001015</t>
        </is>
      </c>
      <c r="H82" s="6" t="inlineStr">
        <is>
          <t>ver</t>
        </is>
      </c>
    </row>
    <row r="83">
      <c r="A83" s="15" t="n">
        <v>46309</v>
      </c>
      <c r="B83" s="5" t="inlineStr">
        <is>
          <t>eBay</t>
        </is>
      </c>
      <c r="C83" s="5" t="inlineStr">
        <is>
          <t>Ryzen 7 7800X3D</t>
        </is>
      </c>
      <c r="D83" s="5" t="inlineStr">
        <is>
          <t>nuevo</t>
        </is>
      </c>
      <c r="E83" s="11" t="n">
        <v>329</v>
      </c>
      <c r="F83" s="5" t="inlineStr">
        <is>
          <t>USD</t>
        </is>
      </c>
      <c r="G83" s="5" t="inlineStr">
        <is>
          <t>eBay API; vendedor 3c_wholesaler 99.1%; AMD Ryzen 7 7800X3D 100-00000910 - Ryzen 7 7000 Series Proce</t>
        </is>
      </c>
      <c r="H83" s="6" t="inlineStr">
        <is>
          <t>ver</t>
        </is>
      </c>
    </row>
    <row r="84">
      <c r="A84" s="15" t="n">
        <v>46309</v>
      </c>
      <c r="B84" s="5" t="inlineStr">
        <is>
          <t>eBay</t>
        </is>
      </c>
      <c r="C84" s="5" t="inlineStr">
        <is>
          <t>Ryzen 9 9950X</t>
        </is>
      </c>
      <c r="D84" s="5" t="inlineStr">
        <is>
          <t>nuevo</t>
        </is>
      </c>
      <c r="E84" s="11" t="n">
        <v>499.99</v>
      </c>
      <c r="F84" s="5" t="inlineStr">
        <is>
          <t>USD</t>
        </is>
      </c>
      <c r="G84" s="5" t="inlineStr">
        <is>
          <t>eBay API; vendedor saguarowholesalesupply 100.0%; AMD Ryzen 9 9950X Desktop Processor AM5 New Sealed; envío no indicado</t>
        </is>
      </c>
      <c r="H84" s="6" t="inlineStr">
        <is>
          <t>ver</t>
        </is>
      </c>
    </row>
    <row r="85">
      <c r="A85" s="15" t="n">
        <v>46309</v>
      </c>
      <c r="B85" s="5" t="inlineStr">
        <is>
          <t>eBay</t>
        </is>
      </c>
      <c r="C85" s="5" t="inlineStr">
        <is>
          <t>Intel Core i5-12400F</t>
        </is>
      </c>
      <c r="D85" s="5" t="inlineStr">
        <is>
          <t>nuevo</t>
        </is>
      </c>
      <c r="E85" s="11" t="n">
        <v>150</v>
      </c>
      <c r="F85" s="5" t="inlineStr">
        <is>
          <t>USD</t>
        </is>
      </c>
      <c r="G85" s="5" t="inlineStr">
        <is>
          <t>eBay API; vendedor algonz1137 100.0%; INTEL CPU Core i5-12400F / 6/12 / 2.5GHz / 6xxChipset / BX80; envío no indicado</t>
        </is>
      </c>
      <c r="H85" s="6" t="inlineStr">
        <is>
          <t>ver</t>
        </is>
      </c>
    </row>
    <row r="86">
      <c r="A86" s="15" t="n">
        <v>46309</v>
      </c>
      <c r="B86" s="5" t="inlineStr">
        <is>
          <t>eBay</t>
        </is>
      </c>
      <c r="C86" s="5" t="inlineStr">
        <is>
          <t>Intel Core i5-14400F</t>
        </is>
      </c>
      <c r="D86" s="5" t="inlineStr">
        <is>
          <t>nuevo</t>
        </is>
      </c>
      <c r="E86" s="11" t="n">
        <v>164.49</v>
      </c>
      <c r="F86" s="5" t="inlineStr">
        <is>
          <t>USD</t>
        </is>
      </c>
      <c r="G86" s="5" t="inlineStr">
        <is>
          <t xml:space="preserve">eBay API; vendedor newegg 99.6%; Intel Core i5-14400F - Core i5 14th Gen Raptor Lake 10-Core </t>
        </is>
      </c>
      <c r="H86" s="6" t="inlineStr">
        <is>
          <t>ver</t>
        </is>
      </c>
    </row>
    <row r="87">
      <c r="A87" s="15" t="n">
        <v>46309</v>
      </c>
      <c r="B87" s="5" t="inlineStr">
        <is>
          <t>eBay</t>
        </is>
      </c>
      <c r="C87" s="5" t="inlineStr">
        <is>
          <t>Intel Core Ultra 7 265K</t>
        </is>
      </c>
      <c r="D87" s="5" t="inlineStr">
        <is>
          <t>nuevo</t>
        </is>
      </c>
      <c r="E87" s="11" t="n">
        <v>234.99</v>
      </c>
      <c r="F87" s="5" t="inlineStr">
        <is>
          <t>USD</t>
        </is>
      </c>
      <c r="G87" s="5" t="inlineStr">
        <is>
          <t>eBay API; vendedor good_neighbor_mercantile 99.4%; Intel Core Ultra 7 265K CPU Desktop Processor LGA 1851 20-Co</t>
        </is>
      </c>
      <c r="H87" s="6" t="inlineStr">
        <is>
          <t>ver</t>
        </is>
      </c>
    </row>
    <row r="88">
      <c r="A88" s="15" t="n">
        <v>46309</v>
      </c>
      <c r="B88" s="5" t="inlineStr">
        <is>
          <t>eBay</t>
        </is>
      </c>
      <c r="C88" s="5" t="inlineStr">
        <is>
          <t>Corsair Vengeance RGB DDR5 32GB (2x16) 5600</t>
        </is>
      </c>
      <c r="D88" s="5" t="inlineStr">
        <is>
          <t>nuevo</t>
        </is>
      </c>
      <c r="E88" s="11" t="n">
        <v>429.97</v>
      </c>
      <c r="F88" s="5" t="inlineStr">
        <is>
          <t>USD</t>
        </is>
      </c>
      <c r="G88" s="5" t="inlineStr">
        <is>
          <t>eBay API; vendedor uventure 99.7%; NEW 32GB (2x16GB) Corsair Vengeance DDR5 PC5-5600 Desktop RA</t>
        </is>
      </c>
      <c r="H88" s="6" t="inlineStr">
        <is>
          <t>ver</t>
        </is>
      </c>
    </row>
    <row r="89">
      <c r="A89" s="15" t="n">
        <v>46309</v>
      </c>
      <c r="B89" s="5" t="inlineStr">
        <is>
          <t>eBay</t>
        </is>
      </c>
      <c r="C89" s="5" t="inlineStr">
        <is>
          <t>Corsair Vengeance RGB DDR5 32GB (2x16) 6000</t>
        </is>
      </c>
      <c r="D89" s="5" t="inlineStr">
        <is>
          <t>nuevo</t>
        </is>
      </c>
      <c r="E89" s="11" t="n">
        <v>435.99</v>
      </c>
      <c r="F89" s="5" t="inlineStr">
        <is>
          <t>USD</t>
        </is>
      </c>
      <c r="G89" s="5" t="inlineStr">
        <is>
          <t>eBay API; vendedor wojiapanpan_4 100.0%; Corsair Vengeance RGB RS 32GB 2x16GB DDR5 6000 CL38 AMD EXPO</t>
        </is>
      </c>
      <c r="H89" s="6" t="inlineStr">
        <is>
          <t>ver</t>
        </is>
      </c>
    </row>
    <row r="90">
      <c r="A90" s="15" t="n">
        <v>46309</v>
      </c>
      <c r="B90" s="5" t="inlineStr">
        <is>
          <t>eBay</t>
        </is>
      </c>
      <c r="C90" s="5" t="inlineStr">
        <is>
          <t>RAM DDR4 16GB (2x8) 3200</t>
        </is>
      </c>
      <c r="D90" s="5" t="inlineStr">
        <is>
          <t>nuevo</t>
        </is>
      </c>
      <c r="E90" s="11" t="n">
        <v>72.98999999999999</v>
      </c>
      <c r="F90" s="5" t="inlineStr">
        <is>
          <t>USD</t>
        </is>
      </c>
      <c r="G90" s="5" t="inlineStr">
        <is>
          <t>eBay API; vendedor californiadrapes 99.9%; Timetec Pinnacle Konduit 16GB (2x8GB) DDR4 3200MHz CL16 Desk</t>
        </is>
      </c>
      <c r="H90" s="6" t="inlineStr">
        <is>
          <t>ver</t>
        </is>
      </c>
    </row>
    <row r="91">
      <c r="A91" s="15" t="n">
        <v>46309</v>
      </c>
      <c r="B91" s="5" t="inlineStr">
        <is>
          <t>eBay</t>
        </is>
      </c>
      <c r="C91" s="5" t="inlineStr">
        <is>
          <t>SSD NVMe 1TB</t>
        </is>
      </c>
      <c r="D91" s="5" t="inlineStr">
        <is>
          <t>nuevo</t>
        </is>
      </c>
      <c r="E91" s="11" t="n">
        <v>117.99</v>
      </c>
      <c r="F91" s="5" t="inlineStr">
        <is>
          <t>USD</t>
        </is>
      </c>
      <c r="G91" s="5" t="inlineStr">
        <is>
          <t>eBay API; vendedor netac-official-it 99.5%; Netac 1TB Internal SSD Solid State Drive M.2 2280 PCIe3.0 NV</t>
        </is>
      </c>
      <c r="H91" s="6" t="inlineStr">
        <is>
          <t>ver</t>
        </is>
      </c>
    </row>
    <row r="92">
      <c r="A92" s="15" t="n">
        <v>46309</v>
      </c>
      <c r="B92" s="5" t="inlineStr">
        <is>
          <t>eBay</t>
        </is>
      </c>
      <c r="C92" s="5" t="inlineStr">
        <is>
          <t>SSD NVMe 2TB</t>
        </is>
      </c>
      <c r="D92" s="5" t="inlineStr">
        <is>
          <t>nuevo</t>
        </is>
      </c>
      <c r="E92" s="11" t="n">
        <v>209.99</v>
      </c>
      <c r="F92" s="5" t="inlineStr">
        <is>
          <t>USD</t>
        </is>
      </c>
      <c r="G92" s="5" t="inlineStr">
        <is>
          <t>eBay API; vendedor ram_technologies 100.0%; RAM Tech 2TB NVMe SSD Gen4 M.2 2280 | 5000MB/s Read 4500MB/s</t>
        </is>
      </c>
      <c r="H92" s="6" t="inlineStr">
        <is>
          <t>ver</t>
        </is>
      </c>
    </row>
    <row r="93">
      <c r="A93" s="15" t="n">
        <v>46309</v>
      </c>
      <c r="B93" s="5" t="inlineStr">
        <is>
          <t>eBay</t>
        </is>
      </c>
      <c r="C93" s="5" t="inlineStr">
        <is>
          <t>Ryzen 5 5600</t>
        </is>
      </c>
      <c r="D93" s="5" t="inlineStr">
        <is>
          <t>usado</t>
        </is>
      </c>
      <c r="E93" s="11" t="n">
        <v>129.99</v>
      </c>
      <c r="F93" s="5" t="inlineStr">
        <is>
          <t>USD</t>
        </is>
      </c>
      <c r="G93" s="5" t="inlineStr">
        <is>
          <t>eBay API; vendedor paymore_castleton 99.7%; AMD Ryzen 5 5600 3.50GHz 6 Core 100-000000927 12 Thread AM4</t>
        </is>
      </c>
      <c r="H93" s="6" t="inlineStr">
        <is>
          <t>ver</t>
        </is>
      </c>
    </row>
    <row r="94">
      <c r="A94" s="15" t="n">
        <v>46309</v>
      </c>
      <c r="B94" s="5" t="inlineStr">
        <is>
          <t>eBay</t>
        </is>
      </c>
      <c r="C94" s="5" t="inlineStr">
        <is>
          <t>Ryzen 7 5700X3D</t>
        </is>
      </c>
      <c r="D94" s="5" t="inlineStr">
        <is>
          <t>usado</t>
        </is>
      </c>
      <c r="E94" s="11" t="n">
        <v>295</v>
      </c>
      <c r="F94" s="5" t="inlineStr">
        <is>
          <t>USD</t>
        </is>
      </c>
      <c r="G94" s="5" t="inlineStr">
        <is>
          <t>eBay API; vendedor antonidelacru-7 98.0%; AMD Ryzen 7 5700X3D 8-Core Socket AM4 3.0GHz CPU 96MB L3 Cac; envío no indicado</t>
        </is>
      </c>
      <c r="H94" s="6" t="inlineStr">
        <is>
          <t>ver</t>
        </is>
      </c>
    </row>
    <row r="95">
      <c r="A95" s="15" t="n">
        <v>46309</v>
      </c>
      <c r="B95" s="5" t="inlineStr">
        <is>
          <t>eBay</t>
        </is>
      </c>
      <c r="C95" s="5" t="inlineStr">
        <is>
          <t>Ryzen 5 7600</t>
        </is>
      </c>
      <c r="D95" s="5" t="inlineStr">
        <is>
          <t>usado</t>
        </is>
      </c>
      <c r="E95" s="11" t="n">
        <v>121.99</v>
      </c>
      <c r="F95" s="5" t="inlineStr">
        <is>
          <t>USD</t>
        </is>
      </c>
      <c r="G95" s="5" t="inlineStr">
        <is>
          <t>eBay API; vendedor paymore_university_square 98.6%; AMD Ryzen 5 7600 3.80GHz 6 Core 100-000001015 12 Thread AM5</t>
        </is>
      </c>
      <c r="H95" s="6" t="inlineStr">
        <is>
          <t>ver</t>
        </is>
      </c>
    </row>
    <row r="96">
      <c r="A96" s="15" t="n">
        <v>46309</v>
      </c>
      <c r="B96" s="5" t="inlineStr">
        <is>
          <t>eBay</t>
        </is>
      </c>
      <c r="C96" s="5" t="inlineStr">
        <is>
          <t>Ryzen 7 7800X3D</t>
        </is>
      </c>
      <c r="D96" s="5" t="inlineStr">
        <is>
          <t>usado</t>
        </is>
      </c>
      <c r="E96" s="11" t="n">
        <v>275.99</v>
      </c>
      <c r="F96" s="5" t="inlineStr">
        <is>
          <t>USD</t>
        </is>
      </c>
      <c r="G96" s="5" t="inlineStr">
        <is>
          <t>eBay API; vendedor paymore_university_square 98.6%; AMD Ryzen 7 7800X3D 4.20GHz 8 Core 100-000000910 16 Thread A</t>
        </is>
      </c>
      <c r="H96" s="6" t="inlineStr">
        <is>
          <t>ver</t>
        </is>
      </c>
    </row>
    <row r="97">
      <c r="A97" s="15" t="n">
        <v>46309</v>
      </c>
      <c r="B97" s="5" t="inlineStr">
        <is>
          <t>eBay</t>
        </is>
      </c>
      <c r="C97" s="5" t="inlineStr">
        <is>
          <t>Ryzen 9 9950X</t>
        </is>
      </c>
      <c r="D97" s="5" t="inlineStr">
        <is>
          <t>usado</t>
        </is>
      </c>
      <c r="E97" s="11" t="n">
        <v>454.99</v>
      </c>
      <c r="F97" s="5" t="inlineStr">
        <is>
          <t>USD</t>
        </is>
      </c>
      <c r="G97" s="5" t="inlineStr">
        <is>
          <t>eBay API; vendedor goodios_direct 99.6%; **  AMD Ryzen 9 9950X Processor - USED  **</t>
        </is>
      </c>
      <c r="H97" s="6" t="inlineStr">
        <is>
          <t>ver</t>
        </is>
      </c>
    </row>
    <row r="98">
      <c r="A98" s="15" t="n">
        <v>46309</v>
      </c>
      <c r="B98" s="5" t="inlineStr">
        <is>
          <t>eBay</t>
        </is>
      </c>
      <c r="C98" s="5" t="inlineStr">
        <is>
          <t>Intel Core i5-12400F</t>
        </is>
      </c>
      <c r="D98" s="5" t="inlineStr">
        <is>
          <t>usado</t>
        </is>
      </c>
      <c r="E98" s="11" t="n">
        <v>120.99</v>
      </c>
      <c r="F98" s="5" t="inlineStr">
        <is>
          <t>USD</t>
        </is>
      </c>
      <c r="G98" s="5" t="inlineStr">
        <is>
          <t>eBay API; vendedor vendingollc_1 100.0%; Intel Core i5-12400F 6-Core 2.5GHz SRL4W 65W LGA1700 Desktop</t>
        </is>
      </c>
      <c r="H98" s="6" t="inlineStr">
        <is>
          <t>ver</t>
        </is>
      </c>
    </row>
    <row r="99">
      <c r="A99" s="15" t="n">
        <v>46309</v>
      </c>
      <c r="B99" s="5" t="inlineStr">
        <is>
          <t>eBay</t>
        </is>
      </c>
      <c r="C99" s="5" t="inlineStr">
        <is>
          <t>Intel Core i5-13400</t>
        </is>
      </c>
      <c r="D99" s="5" t="inlineStr">
        <is>
          <t>usado</t>
        </is>
      </c>
      <c r="E99" s="11" t="n">
        <v>149.99</v>
      </c>
      <c r="F99" s="5" t="inlineStr">
        <is>
          <t>USD</t>
        </is>
      </c>
      <c r="G99" s="5" t="inlineStr">
        <is>
          <t>eBay API; vendedor techrec-recycling 99.6%; Intel Core i5-13400 2.50GHz 10-Core LGA1700 20MB Desktop Pro</t>
        </is>
      </c>
      <c r="H99" s="6" t="inlineStr">
        <is>
          <t>ver</t>
        </is>
      </c>
    </row>
    <row r="100">
      <c r="A100" s="15" t="n">
        <v>46309</v>
      </c>
      <c r="B100" s="5" t="inlineStr">
        <is>
          <t>eBay</t>
        </is>
      </c>
      <c r="C100" s="5" t="inlineStr">
        <is>
          <t>Intel Core i5-14400F</t>
        </is>
      </c>
      <c r="D100" s="5" t="inlineStr">
        <is>
          <t>usado</t>
        </is>
      </c>
      <c r="E100" s="11" t="n">
        <v>134</v>
      </c>
      <c r="F100" s="5" t="inlineStr">
        <is>
          <t>USD</t>
        </is>
      </c>
      <c r="G100" s="5" t="inlineStr">
        <is>
          <t>eBay API; vendedor htam86 99.7%; Intel Core i5-14400F 10-Core 16-Thread 4.7GHz LGA 1700 CPU S</t>
        </is>
      </c>
      <c r="H100" s="6" t="inlineStr">
        <is>
          <t>ver</t>
        </is>
      </c>
    </row>
    <row r="101">
      <c r="A101" s="15" t="n">
        <v>46309</v>
      </c>
      <c r="B101" s="5" t="inlineStr">
        <is>
          <t>eBay</t>
        </is>
      </c>
      <c r="C101" s="5" t="inlineStr">
        <is>
          <t>Intel Core Ultra 7 265K</t>
        </is>
      </c>
      <c r="D101" s="5" t="inlineStr">
        <is>
          <t>usado</t>
        </is>
      </c>
      <c r="E101" s="11" t="n">
        <v>229</v>
      </c>
      <c r="F101" s="5" t="inlineStr">
        <is>
          <t>USD</t>
        </is>
      </c>
      <c r="G101" s="5" t="inlineStr">
        <is>
          <t>eBay API; vendedor archyinva 99.7%; Intel Core Ultra 7 265K 3.90GHz 20 Core Processor LGA 1851 S</t>
        </is>
      </c>
      <c r="H101" s="6" t="inlineStr">
        <is>
          <t>ver</t>
        </is>
      </c>
    </row>
    <row r="102">
      <c r="A102" s="15" t="n">
        <v>46309</v>
      </c>
      <c r="B102" s="5" t="inlineStr">
        <is>
          <t>eBay</t>
        </is>
      </c>
      <c r="C102" s="5" t="inlineStr">
        <is>
          <t>Corsair Vengeance RGB DDR5 32GB (2x16) 5600</t>
        </is>
      </c>
      <c r="D102" s="5" t="inlineStr">
        <is>
          <t>usado</t>
        </is>
      </c>
      <c r="E102" s="11" t="n">
        <v>379.99</v>
      </c>
      <c r="F102" s="5" t="inlineStr">
        <is>
          <t>USD</t>
        </is>
      </c>
      <c r="G102" s="5" t="inlineStr">
        <is>
          <t>eBay API; vendedor nn-red 100.0%; Corsair Vengeance RGB Pro 32GB (2x16GB) RAM DDR5 5600MHz CMH; envío no indicado</t>
        </is>
      </c>
      <c r="H102" s="6" t="inlineStr">
        <is>
          <t>ver</t>
        </is>
      </c>
    </row>
    <row r="103">
      <c r="A103" s="15" t="n">
        <v>46309</v>
      </c>
      <c r="B103" s="5" t="inlineStr">
        <is>
          <t>eBay</t>
        </is>
      </c>
      <c r="C103" s="5" t="inlineStr">
        <is>
          <t>Corsair Vengeance RGB DDR5 32GB (2x16) 6000</t>
        </is>
      </c>
      <c r="D103" s="5" t="inlineStr">
        <is>
          <t>usado</t>
        </is>
      </c>
      <c r="E103" s="11" t="n">
        <v>399.9</v>
      </c>
      <c r="F103" s="5" t="inlineStr">
        <is>
          <t>USD</t>
        </is>
      </c>
      <c r="G103" s="5" t="inlineStr">
        <is>
          <t>eBay API; vendedor thaigamer 100.0%; Corsair Vengeance RGB DDR5 32GB (2x16GB) 6000MHz DIMM RGB CM; envío no indicado</t>
        </is>
      </c>
      <c r="H103" s="6" t="inlineStr">
        <is>
          <t>ver</t>
        </is>
      </c>
    </row>
    <row r="104">
      <c r="A104" s="15" t="n">
        <v>46309</v>
      </c>
      <c r="B104" s="5" t="inlineStr">
        <is>
          <t>eBay</t>
        </is>
      </c>
      <c r="C104" s="5" t="inlineStr">
        <is>
          <t>RAM DDR4 16GB (2x8) 3200</t>
        </is>
      </c>
      <c r="D104" s="5" t="inlineStr">
        <is>
          <t>usado</t>
        </is>
      </c>
      <c r="E104" s="11" t="n">
        <v>65</v>
      </c>
      <c r="F104" s="5" t="inlineStr">
        <is>
          <t>USD</t>
        </is>
      </c>
      <c r="G104" s="5" t="inlineStr">
        <is>
          <t>eBay API; vendedor wasatch_pilot 100.0%; Crucial Ballistix 16GB (2x8GB) DDR4-3200 CL16 Red Desktop RA; envío no indicado</t>
        </is>
      </c>
      <c r="H104" s="6" t="inlineStr">
        <is>
          <t>ver</t>
        </is>
      </c>
    </row>
    <row r="105">
      <c r="A105" s="15" t="n">
        <v>46309</v>
      </c>
      <c r="B105" s="5" t="inlineStr">
        <is>
          <t>eBay</t>
        </is>
      </c>
      <c r="C105" s="5" t="inlineStr">
        <is>
          <t>SSD NVMe 1TB</t>
        </is>
      </c>
      <c r="D105" s="5" t="inlineStr">
        <is>
          <t>usado</t>
        </is>
      </c>
      <c r="E105" s="11" t="n">
        <v>92.98999999999999</v>
      </c>
      <c r="F105" s="5" t="inlineStr">
        <is>
          <t>USD</t>
        </is>
      </c>
      <c r="G105" s="5" t="inlineStr">
        <is>
          <t>eBay API; vendedor mmm-electronics 100.0%; Solidigm P41 Plus 1TB NVMe M.2 2280 PCIe 4.0 SSD SSDPFKNU010; envío no indicado</t>
        </is>
      </c>
      <c r="H105" s="6" t="inlineStr">
        <is>
          <t>ver</t>
        </is>
      </c>
    </row>
    <row r="106">
      <c r="A106" s="15" t="n">
        <v>46309</v>
      </c>
      <c r="B106" s="5" t="inlineStr">
        <is>
          <t>eBay</t>
        </is>
      </c>
      <c r="C106" s="5" t="inlineStr">
        <is>
          <t>SSD NVMe 2TB</t>
        </is>
      </c>
      <c r="D106" s="5" t="inlineStr">
        <is>
          <t>usado</t>
        </is>
      </c>
      <c r="E106" s="11" t="n">
        <v>164.99</v>
      </c>
      <c r="F106" s="5" t="inlineStr">
        <is>
          <t>USD</t>
        </is>
      </c>
      <c r="G106" s="5" t="inlineStr">
        <is>
          <t>eBay API; vendedor nixs-surplus 100.0%; WD Black SN750 2TB NVMe PCIe3.0 M.2 2280 Internal SSD WDBRPG</t>
        </is>
      </c>
      <c r="H106" s="6" t="inlineStr">
        <is>
          <t>ver</t>
        </is>
      </c>
    </row>
    <row r="107">
      <c r="A107" s="15" t="n">
        <v>46310</v>
      </c>
      <c r="B107" s="5" t="inlineStr">
        <is>
          <t>eBay</t>
        </is>
      </c>
      <c r="C107" s="5" t="inlineStr">
        <is>
          <t>Ryzen 5 5600</t>
        </is>
      </c>
      <c r="D107" s="5" t="inlineStr">
        <is>
          <t>nuevo</t>
        </is>
      </c>
      <c r="E107" s="11" t="n">
        <v>138.9</v>
      </c>
      <c r="F107" s="5" t="inlineStr">
        <is>
          <t>USD</t>
        </is>
      </c>
      <c r="G107" s="5" t="inlineStr">
        <is>
          <t>eBay API; vendedor 3c_wholesaler 99.1%; (New) AMD Ryzen 5 5600 Vermeer Zen3 6-Core 12-Thread AM4 CPU</t>
        </is>
      </c>
      <c r="H107" s="6" t="inlineStr">
        <is>
          <t>ver</t>
        </is>
      </c>
    </row>
    <row r="108">
      <c r="A108" s="15" t="n">
        <v>46310</v>
      </c>
      <c r="B108" s="5" t="inlineStr">
        <is>
          <t>eBay</t>
        </is>
      </c>
      <c r="C108" s="5" t="inlineStr">
        <is>
          <t>Ryzen 5 7600</t>
        </is>
      </c>
      <c r="D108" s="5" t="inlineStr">
        <is>
          <t>nuevo</t>
        </is>
      </c>
      <c r="E108" s="11" t="n">
        <v>142.24</v>
      </c>
      <c r="F108" s="5" t="inlineStr">
        <is>
          <t>USD</t>
        </is>
      </c>
      <c r="G108" s="5" t="inlineStr">
        <is>
          <t>eBay API; vendedor silaxon 99.6%; AMD Ryzen 5 7600 3.80GHz 6 Core 12 Thread AM5 100-000001015</t>
        </is>
      </c>
      <c r="H108" s="6" t="inlineStr">
        <is>
          <t>ver</t>
        </is>
      </c>
    </row>
    <row r="109">
      <c r="A109" s="15" t="n">
        <v>46310</v>
      </c>
      <c r="B109" s="5" t="inlineStr">
        <is>
          <t>eBay</t>
        </is>
      </c>
      <c r="C109" s="5" t="inlineStr">
        <is>
          <t>Ryzen 7 7800X3D</t>
        </is>
      </c>
      <c r="D109" s="5" t="inlineStr">
        <is>
          <t>nuevo</t>
        </is>
      </c>
      <c r="E109" s="11" t="n">
        <v>320</v>
      </c>
      <c r="F109" s="5" t="inlineStr">
        <is>
          <t>USD</t>
        </is>
      </c>
      <c r="G109" s="5" t="inlineStr">
        <is>
          <t>eBay API; vendedor am-834577 100.0%; AMD Ryzen 7 7800X3D 8-Core, 16-Thread Desktop Processor, Bra</t>
        </is>
      </c>
      <c r="H109" s="6" t="inlineStr">
        <is>
          <t>ver</t>
        </is>
      </c>
    </row>
    <row r="110">
      <c r="A110" s="15" t="n">
        <v>46310</v>
      </c>
      <c r="B110" s="5" t="inlineStr">
        <is>
          <t>eBay</t>
        </is>
      </c>
      <c r="C110" s="5" t="inlineStr">
        <is>
          <t>Ryzen 9 9950X</t>
        </is>
      </c>
      <c r="D110" s="5" t="inlineStr">
        <is>
          <t>nuevo</t>
        </is>
      </c>
      <c r="E110" s="11" t="n">
        <v>689.34</v>
      </c>
      <c r="F110" s="5" t="inlineStr">
        <is>
          <t>USD</t>
        </is>
      </c>
      <c r="G110" s="5" t="inlineStr">
        <is>
          <t>eBay API; vendedor tech-r-us-store 99.9%; AMD 100-100001277WOF Ryzen 9 9950X CPU 16 Cores 32 Threads u; envío no indicado</t>
        </is>
      </c>
      <c r="H110" s="6" t="inlineStr">
        <is>
          <t>ver</t>
        </is>
      </c>
    </row>
    <row r="111">
      <c r="A111" s="15" t="n">
        <v>46310</v>
      </c>
      <c r="B111" s="5" t="inlineStr">
        <is>
          <t>eBay</t>
        </is>
      </c>
      <c r="C111" s="5" t="inlineStr">
        <is>
          <t>Intel Core i5-12400F</t>
        </is>
      </c>
      <c r="D111" s="5" t="inlineStr">
        <is>
          <t>nuevo</t>
        </is>
      </c>
      <c r="E111" s="11" t="n">
        <v>150</v>
      </c>
      <c r="F111" s="5" t="inlineStr">
        <is>
          <t>USD</t>
        </is>
      </c>
      <c r="G111" s="5" t="inlineStr">
        <is>
          <t>eBay API; vendedor algonz1137 100.0%; INTEL CPU Core i5-12400F / 6/12 / 2.5GHz / 6xxChipset / BX80; envío no indicado</t>
        </is>
      </c>
      <c r="H111" s="6" t="inlineStr">
        <is>
          <t>ver</t>
        </is>
      </c>
    </row>
    <row r="112">
      <c r="A112" s="15" t="n">
        <v>46310</v>
      </c>
      <c r="B112" s="5" t="inlineStr">
        <is>
          <t>eBay</t>
        </is>
      </c>
      <c r="C112" s="5" t="inlineStr">
        <is>
          <t>Intel Core i5-14400F</t>
        </is>
      </c>
      <c r="D112" s="5" t="inlineStr">
        <is>
          <t>nuevo</t>
        </is>
      </c>
      <c r="E112" s="11" t="n">
        <v>164.49</v>
      </c>
      <c r="F112" s="5" t="inlineStr">
        <is>
          <t>USD</t>
        </is>
      </c>
      <c r="G112" s="5" t="inlineStr">
        <is>
          <t xml:space="preserve">eBay API; vendedor newegg 99.6%; Intel Core i5-14400F - Core i5 14th Gen Raptor Lake 10-Core </t>
        </is>
      </c>
      <c r="H112" s="6" t="inlineStr">
        <is>
          <t>ver</t>
        </is>
      </c>
    </row>
    <row r="113">
      <c r="A113" s="15" t="n">
        <v>46310</v>
      </c>
      <c r="B113" s="5" t="inlineStr">
        <is>
          <t>eBay</t>
        </is>
      </c>
      <c r="C113" s="5" t="inlineStr">
        <is>
          <t>Intel Core Ultra 7 265K</t>
        </is>
      </c>
      <c r="D113" s="5" t="inlineStr">
        <is>
          <t>nuevo</t>
        </is>
      </c>
      <c r="E113" s="11" t="n">
        <v>234.99</v>
      </c>
      <c r="F113" s="5" t="inlineStr">
        <is>
          <t>USD</t>
        </is>
      </c>
      <c r="G113" s="5" t="inlineStr">
        <is>
          <t>eBay API; vendedor good_neighbor_mercantile 99.4%; Intel Core Ultra 7 265K CPU Desktop Processor LGA 1851 20-Co</t>
        </is>
      </c>
      <c r="H113" s="6" t="inlineStr">
        <is>
          <t>ver</t>
        </is>
      </c>
    </row>
    <row r="114">
      <c r="A114" s="15" t="n">
        <v>46310</v>
      </c>
      <c r="B114" s="5" t="inlineStr">
        <is>
          <t>eBay</t>
        </is>
      </c>
      <c r="C114" s="5" t="inlineStr">
        <is>
          <t>Corsair Vengeance RGB DDR5 32GB (2x16) 5600</t>
        </is>
      </c>
      <c r="D114" s="5" t="inlineStr">
        <is>
          <t>nuevo</t>
        </is>
      </c>
      <c r="E114" s="11" t="n">
        <v>429.97</v>
      </c>
      <c r="F114" s="5" t="inlineStr">
        <is>
          <t>USD</t>
        </is>
      </c>
      <c r="G114" s="5" t="inlineStr">
        <is>
          <t>eBay API; vendedor uventure 99.7%; NEW 32GB (2x16GB) Corsair Vengeance DDR5 PC5-5600 Desktop RA</t>
        </is>
      </c>
      <c r="H114" s="6" t="inlineStr">
        <is>
          <t>ver</t>
        </is>
      </c>
    </row>
    <row r="115">
      <c r="A115" s="15" t="n">
        <v>46310</v>
      </c>
      <c r="B115" s="5" t="inlineStr">
        <is>
          <t>eBay</t>
        </is>
      </c>
      <c r="C115" s="5" t="inlineStr">
        <is>
          <t>Corsair Vengeance RGB DDR5 32GB (2x16) 6000</t>
        </is>
      </c>
      <c r="D115" s="5" t="inlineStr">
        <is>
          <t>nuevo</t>
        </is>
      </c>
      <c r="E115" s="11" t="n">
        <v>435.99</v>
      </c>
      <c r="F115" s="5" t="inlineStr">
        <is>
          <t>USD</t>
        </is>
      </c>
      <c r="G115" s="5" t="inlineStr">
        <is>
          <t>eBay API; vendedor wojiapanpan_4 100.0%; Corsair Vengeance RGB RS 32GB 2x16GB DDR5 6000 CL38 AMD EXPO</t>
        </is>
      </c>
      <c r="H115" s="6" t="inlineStr">
        <is>
          <t>ver</t>
        </is>
      </c>
    </row>
    <row r="116">
      <c r="A116" s="15" t="n">
        <v>46310</v>
      </c>
      <c r="B116" s="5" t="inlineStr">
        <is>
          <t>eBay</t>
        </is>
      </c>
      <c r="C116" s="5" t="inlineStr">
        <is>
          <t>RAM DDR4 16GB (2x8) 3200</t>
        </is>
      </c>
      <c r="D116" s="5" t="inlineStr">
        <is>
          <t>nuevo</t>
        </is>
      </c>
      <c r="E116" s="11" t="n">
        <v>75</v>
      </c>
      <c r="F116" s="5" t="inlineStr">
        <is>
          <t>USD</t>
        </is>
      </c>
      <c r="G116" s="5" t="inlineStr">
        <is>
          <t>eBay API; vendedor juniorarredondo 100.0%; Silicon Power Gaming Turbine 16GB (2x8GB) DDR4-3200 PC4-2560</t>
        </is>
      </c>
      <c r="H116" s="6" t="inlineStr">
        <is>
          <t>ver</t>
        </is>
      </c>
    </row>
    <row r="117">
      <c r="A117" s="15" t="n">
        <v>46310</v>
      </c>
      <c r="B117" s="5" t="inlineStr">
        <is>
          <t>eBay</t>
        </is>
      </c>
      <c r="C117" s="5" t="inlineStr">
        <is>
          <t>SSD NVMe 1TB</t>
        </is>
      </c>
      <c r="D117" s="5" t="inlineStr">
        <is>
          <t>nuevo</t>
        </is>
      </c>
      <c r="E117" s="11" t="n">
        <v>128.99</v>
      </c>
      <c r="F117" s="5" t="inlineStr">
        <is>
          <t>USD</t>
        </is>
      </c>
      <c r="G117" s="5" t="inlineStr">
        <is>
          <t>eBay API; vendedor netac-official-store 99.9%; Netac M.2 2280 1TB PCIe3.0 NVMe 1.4 3D NAND Internal Solid S</t>
        </is>
      </c>
      <c r="H117" s="6" t="inlineStr">
        <is>
          <t>ver</t>
        </is>
      </c>
    </row>
    <row r="118">
      <c r="A118" s="15" t="n">
        <v>46310</v>
      </c>
      <c r="B118" s="5" t="inlineStr">
        <is>
          <t>eBay</t>
        </is>
      </c>
      <c r="C118" s="5" t="inlineStr">
        <is>
          <t>SSD NVMe 2TB</t>
        </is>
      </c>
      <c r="D118" s="5" t="inlineStr">
        <is>
          <t>nuevo</t>
        </is>
      </c>
      <c r="E118" s="11" t="n">
        <v>209.99</v>
      </c>
      <c r="F118" s="5" t="inlineStr">
        <is>
          <t>USD</t>
        </is>
      </c>
      <c r="G118" s="5" t="inlineStr">
        <is>
          <t>eBay API; vendedor ram_technologies 100.0%; RAM Tech 2TB NVMe SSD Gen4 M.2 2280 | 5000MB/s Read 4500MB/s</t>
        </is>
      </c>
      <c r="H118" s="6" t="inlineStr">
        <is>
          <t>ver</t>
        </is>
      </c>
    </row>
    <row r="119">
      <c r="A119" s="15" t="n">
        <v>46310</v>
      </c>
      <c r="B119" s="5" t="inlineStr">
        <is>
          <t>eBay</t>
        </is>
      </c>
      <c r="C119" s="5" t="inlineStr">
        <is>
          <t>Ryzen 5 5600</t>
        </is>
      </c>
      <c r="D119" s="5" t="inlineStr">
        <is>
          <t>usado</t>
        </is>
      </c>
      <c r="E119" s="11" t="n">
        <v>135</v>
      </c>
      <c r="F119" s="5" t="inlineStr">
        <is>
          <t>USD</t>
        </is>
      </c>
      <c r="G119" s="5" t="inlineStr">
        <is>
          <t>eBay API; vendedor btlsln 100.0%; AMD Ryzen 5 5600 Desktop Processor (6 Cores, Socket AM4); envío no indicado</t>
        </is>
      </c>
      <c r="H119" s="6" t="inlineStr">
        <is>
          <t>ver</t>
        </is>
      </c>
    </row>
    <row r="120">
      <c r="A120" s="15" t="n">
        <v>46310</v>
      </c>
      <c r="B120" s="5" t="inlineStr">
        <is>
          <t>eBay</t>
        </is>
      </c>
      <c r="C120" s="5" t="inlineStr">
        <is>
          <t>Ryzen 7 5700X3D</t>
        </is>
      </c>
      <c r="D120" s="5" t="inlineStr">
        <is>
          <t>usado</t>
        </is>
      </c>
      <c r="E120" s="11" t="n">
        <v>295</v>
      </c>
      <c r="F120" s="5" t="inlineStr">
        <is>
          <t>USD</t>
        </is>
      </c>
      <c r="G120" s="5" t="inlineStr">
        <is>
          <t>eBay API; vendedor antonidelacru-7 98.0%; AMD Ryzen 7 5700X3D 8-Core Socket AM4 3.0GHz CPU 96MB L3 Cac; envío no indicado</t>
        </is>
      </c>
      <c r="H120" s="6" t="inlineStr">
        <is>
          <t>ver</t>
        </is>
      </c>
    </row>
    <row r="121">
      <c r="A121" s="15" t="n">
        <v>46310</v>
      </c>
      <c r="B121" s="5" t="inlineStr">
        <is>
          <t>eBay</t>
        </is>
      </c>
      <c r="C121" s="5" t="inlineStr">
        <is>
          <t>Ryzen 5 7600</t>
        </is>
      </c>
      <c r="D121" s="5" t="inlineStr">
        <is>
          <t>usado</t>
        </is>
      </c>
      <c r="E121" s="11" t="n">
        <v>120</v>
      </c>
      <c r="F121" s="5" t="inlineStr">
        <is>
          <t>USD</t>
        </is>
      </c>
      <c r="G121" s="5" t="inlineStr">
        <is>
          <t>eBay API; vendedor shenidss9ckq 99.0%; AMD Ryzen 5 7600 3.80GHz 6 Core 100-000001015 12 Thread AM5</t>
        </is>
      </c>
      <c r="H121" s="6" t="inlineStr">
        <is>
          <t>ver</t>
        </is>
      </c>
    </row>
    <row r="122">
      <c r="A122" s="15" t="n">
        <v>46310</v>
      </c>
      <c r="B122" s="5" t="inlineStr">
        <is>
          <t>eBay</t>
        </is>
      </c>
      <c r="C122" s="5" t="inlineStr">
        <is>
          <t>Ryzen 7 7800X3D</t>
        </is>
      </c>
      <c r="D122" s="5" t="inlineStr">
        <is>
          <t>usado</t>
        </is>
      </c>
      <c r="E122" s="11" t="n">
        <v>279.99</v>
      </c>
      <c r="F122" s="5" t="inlineStr">
        <is>
          <t>USD</t>
        </is>
      </c>
      <c r="G122" s="5" t="inlineStr">
        <is>
          <t>eBay API; vendedor paymore_summerlin 99.2%; AMD Ryzen 7 7800X3D 4.20GHz 8 Core 100-000000910 16 Thread A</t>
        </is>
      </c>
      <c r="H122" s="6" t="inlineStr">
        <is>
          <t>ver</t>
        </is>
      </c>
    </row>
    <row r="123">
      <c r="A123" s="15" t="n">
        <v>46310</v>
      </c>
      <c r="B123" s="5" t="inlineStr">
        <is>
          <t>eBay</t>
        </is>
      </c>
      <c r="C123" s="5" t="inlineStr">
        <is>
          <t>Ryzen 9 9950X</t>
        </is>
      </c>
      <c r="D123" s="5" t="inlineStr">
        <is>
          <t>usado</t>
        </is>
      </c>
      <c r="E123" s="11" t="n">
        <v>375</v>
      </c>
      <c r="F123" s="5" t="inlineStr">
        <is>
          <t>USD</t>
        </is>
      </c>
      <c r="G123" s="5" t="inlineStr">
        <is>
          <t>eBay API; vendedor jbfum_346 100.0%; AMD Ryzen 9 9950X - Granite Ridge (Zen 5) 16-Core 4.3 GHz AM; envío no indicado</t>
        </is>
      </c>
      <c r="H123" s="6" t="inlineStr">
        <is>
          <t>ver</t>
        </is>
      </c>
    </row>
    <row r="124">
      <c r="A124" s="15" t="n">
        <v>46310</v>
      </c>
      <c r="B124" s="5" t="inlineStr">
        <is>
          <t>eBay</t>
        </is>
      </c>
      <c r="C124" s="5" t="inlineStr">
        <is>
          <t>Intel Core i5-12400F</t>
        </is>
      </c>
      <c r="D124" s="5" t="inlineStr">
        <is>
          <t>usado</t>
        </is>
      </c>
      <c r="E124" s="11" t="n">
        <v>114.99</v>
      </c>
      <c r="F124" s="5" t="inlineStr">
        <is>
          <t>USD</t>
        </is>
      </c>
      <c r="G124" s="5" t="inlineStr">
        <is>
          <t>eBay API; vendedor cc_us_jfuaoe 100.0%; Intel Core i5-12400F 12th Gen CPU LGA 1700 2.50GHz 10-Core 1; envío no indicado</t>
        </is>
      </c>
      <c r="H124" s="6" t="inlineStr">
        <is>
          <t>ver</t>
        </is>
      </c>
    </row>
    <row r="125">
      <c r="A125" s="15" t="n">
        <v>46310</v>
      </c>
      <c r="B125" s="5" t="inlineStr">
        <is>
          <t>eBay</t>
        </is>
      </c>
      <c r="C125" s="5" t="inlineStr">
        <is>
          <t>Intel Core i5-13400</t>
        </is>
      </c>
      <c r="D125" s="5" t="inlineStr">
        <is>
          <t>usado</t>
        </is>
      </c>
      <c r="E125" s="11" t="n">
        <v>149.99</v>
      </c>
      <c r="F125" s="5" t="inlineStr">
        <is>
          <t>USD</t>
        </is>
      </c>
      <c r="G125" s="5" t="inlineStr">
        <is>
          <t>eBay API; vendedor techrec-recycling 99.6%; Intel Core i5-13400 2.50GHz 10-Core LGA1700 20MB Desktop Pro</t>
        </is>
      </c>
      <c r="H125" s="6" t="inlineStr">
        <is>
          <t>ver</t>
        </is>
      </c>
    </row>
    <row r="126">
      <c r="A126" s="15" t="n">
        <v>46310</v>
      </c>
      <c r="B126" s="5" t="inlineStr">
        <is>
          <t>eBay</t>
        </is>
      </c>
      <c r="C126" s="5" t="inlineStr">
        <is>
          <t>Intel Core i5-14400F</t>
        </is>
      </c>
      <c r="D126" s="5" t="inlineStr">
        <is>
          <t>usado</t>
        </is>
      </c>
      <c r="E126" s="11" t="n">
        <v>134.99</v>
      </c>
      <c r="F126" s="5" t="inlineStr">
        <is>
          <t>USD</t>
        </is>
      </c>
      <c r="G126" s="5" t="inlineStr">
        <is>
          <t>eBay API; vendedor wiifixitllc 99.0%; Intel Core i5-14400F 2.50GHz 10 Core  16 Thread LGA 1700</t>
        </is>
      </c>
      <c r="H126" s="6" t="inlineStr">
        <is>
          <t>ver</t>
        </is>
      </c>
    </row>
    <row r="127">
      <c r="A127" s="15" t="n">
        <v>46310</v>
      </c>
      <c r="B127" s="5" t="inlineStr">
        <is>
          <t>eBay</t>
        </is>
      </c>
      <c r="C127" s="5" t="inlineStr">
        <is>
          <t>Intel Core Ultra 7 265K</t>
        </is>
      </c>
      <c r="D127" s="5" t="inlineStr">
        <is>
          <t>usado</t>
        </is>
      </c>
      <c r="E127" s="11" t="n">
        <v>229</v>
      </c>
      <c r="F127" s="5" t="inlineStr">
        <is>
          <t>USD</t>
        </is>
      </c>
      <c r="G127" s="5" t="inlineStr">
        <is>
          <t>eBay API; vendedor archyinva 99.7%; Intel Core Ultra 7 265K 3.90GHz 20 Core Processor LGA 1851 S</t>
        </is>
      </c>
      <c r="H127" s="6" t="inlineStr">
        <is>
          <t>ver</t>
        </is>
      </c>
    </row>
    <row r="128">
      <c r="A128" s="15" t="n">
        <v>46310</v>
      </c>
      <c r="B128" s="5" t="inlineStr">
        <is>
          <t>eBay</t>
        </is>
      </c>
      <c r="C128" s="5" t="inlineStr">
        <is>
          <t>Corsair Vengeance RGB DDR5 32GB (2x16) 5600</t>
        </is>
      </c>
      <c r="D128" s="5" t="inlineStr">
        <is>
          <t>usado</t>
        </is>
      </c>
      <c r="E128" s="11" t="n">
        <v>375</v>
      </c>
      <c r="F128" s="5" t="inlineStr">
        <is>
          <t>USD</t>
        </is>
      </c>
      <c r="G128" s="5" t="inlineStr">
        <is>
          <t>eBay API; vendedor rmbsr26 100.0%; CORSAIR - VENGEANCE 32GB (2x16GB) DDR5 5600MHz [CMK32GX5M2B5</t>
        </is>
      </c>
      <c r="H128" s="6" t="inlineStr">
        <is>
          <t>ver</t>
        </is>
      </c>
    </row>
    <row r="129">
      <c r="A129" s="15" t="n">
        <v>46310</v>
      </c>
      <c r="B129" s="5" t="inlineStr">
        <is>
          <t>eBay</t>
        </is>
      </c>
      <c r="C129" s="5" t="inlineStr">
        <is>
          <t>Corsair Vengeance RGB DDR5 32GB (2x16) 6000</t>
        </is>
      </c>
      <c r="D129" s="5" t="inlineStr">
        <is>
          <t>usado</t>
        </is>
      </c>
      <c r="E129" s="11" t="n">
        <v>394.99</v>
      </c>
      <c r="F129" s="5" t="inlineStr">
        <is>
          <t>USD</t>
        </is>
      </c>
      <c r="G129" s="5" t="inlineStr">
        <is>
          <t>eBay API; vendedor briansdirectdeals 100.0%; Corsair Vengeance RGB DDR5 32GB (2x16GB) RAM 6000MHz CMH32GX; envío no indicado</t>
        </is>
      </c>
      <c r="H129" s="6" t="inlineStr">
        <is>
          <t>ver</t>
        </is>
      </c>
    </row>
    <row r="130">
      <c r="A130" s="15" t="n">
        <v>46310</v>
      </c>
      <c r="B130" s="5" t="inlineStr">
        <is>
          <t>eBay</t>
        </is>
      </c>
      <c r="C130" s="5" t="inlineStr">
        <is>
          <t>RAM DDR4 16GB (2x8) 3200</t>
        </is>
      </c>
      <c r="D130" s="5" t="inlineStr">
        <is>
          <t>usado</t>
        </is>
      </c>
      <c r="E130" s="11" t="n">
        <v>73.95</v>
      </c>
      <c r="F130" s="5" t="inlineStr">
        <is>
          <t>USD</t>
        </is>
      </c>
      <c r="G130" s="5" t="inlineStr">
        <is>
          <t>eBay API; vendedor lmunaco91 98.5%; G.SKILL RipJaws V DDR4-3200 16GB (2x8GB) DIMM Desktop RAM; envío no indicado</t>
        </is>
      </c>
      <c r="H130" s="6" t="inlineStr">
        <is>
          <t>ver</t>
        </is>
      </c>
    </row>
    <row r="131">
      <c r="A131" s="15" t="n">
        <v>46310</v>
      </c>
      <c r="B131" s="5" t="inlineStr">
        <is>
          <t>eBay</t>
        </is>
      </c>
      <c r="C131" s="5" t="inlineStr">
        <is>
          <t>SSD NVMe 1TB</t>
        </is>
      </c>
      <c r="D131" s="5" t="inlineStr">
        <is>
          <t>usado</t>
        </is>
      </c>
      <c r="E131" s="11" t="n">
        <v>80</v>
      </c>
      <c r="F131" s="5" t="inlineStr">
        <is>
          <t>USD</t>
        </is>
      </c>
      <c r="G131" s="5" t="inlineStr">
        <is>
          <t>eBay API; vendedor oldmacguy 100.0%; Samsung MZ-VL21T0A 1TB M.2 2280 PCIe NVMe SSD (MZVL21T0HCLR-; envío no indicado</t>
        </is>
      </c>
      <c r="H131" s="6" t="inlineStr">
        <is>
          <t>ver</t>
        </is>
      </c>
    </row>
    <row r="132">
      <c r="A132" s="15" t="n">
        <v>46310</v>
      </c>
      <c r="B132" s="5" t="inlineStr">
        <is>
          <t>eBay</t>
        </is>
      </c>
      <c r="C132" s="5" t="inlineStr">
        <is>
          <t>SSD NVMe 2TB</t>
        </is>
      </c>
      <c r="D132" s="5" t="inlineStr">
        <is>
          <t>usado</t>
        </is>
      </c>
      <c r="E132" s="11" t="n">
        <v>175</v>
      </c>
      <c r="F132" s="5" t="inlineStr">
        <is>
          <t>USD</t>
        </is>
      </c>
      <c r="G132" s="5" t="inlineStr">
        <is>
          <t>eBay API; vendedor papasmurfjr 100.0%; Western Digital SN530 2TB NVMe   screen shots for Disk Healt; envío no indicado</t>
        </is>
      </c>
      <c r="H132" s="6" t="inlineStr">
        <is>
          <t>ver</t>
        </is>
      </c>
    </row>
    <row r="133">
      <c r="A133" s="15" t="n">
        <v>46311</v>
      </c>
      <c r="B133" s="5" t="inlineStr">
        <is>
          <t>eBay</t>
        </is>
      </c>
      <c r="C133" s="5" t="inlineStr">
        <is>
          <t>Ryzen 5 5600</t>
        </is>
      </c>
      <c r="D133" s="5" t="inlineStr">
        <is>
          <t>nuevo</t>
        </is>
      </c>
      <c r="E133" s="11" t="n">
        <v>138.9</v>
      </c>
      <c r="F133" s="5" t="inlineStr">
        <is>
          <t>USD</t>
        </is>
      </c>
      <c r="G133" s="5" t="inlineStr">
        <is>
          <t>eBay API; vendedor 3c_wholesaler 99.1%; (New) AMD Ryzen 5 5600 Vermeer Zen3 6-Core 12-Thread AM4 CPU</t>
        </is>
      </c>
      <c r="H133" s="6" t="inlineStr">
        <is>
          <t>ver</t>
        </is>
      </c>
    </row>
    <row r="134">
      <c r="A134" s="15" t="n">
        <v>46311</v>
      </c>
      <c r="B134" s="5" t="inlineStr">
        <is>
          <t>eBay</t>
        </is>
      </c>
      <c r="C134" s="5" t="inlineStr">
        <is>
          <t>Ryzen 5 7600</t>
        </is>
      </c>
      <c r="D134" s="5" t="inlineStr">
        <is>
          <t>nuevo</t>
        </is>
      </c>
      <c r="E134" s="11" t="n">
        <v>141.24</v>
      </c>
      <c r="F134" s="5" t="inlineStr">
        <is>
          <t>USD</t>
        </is>
      </c>
      <c r="G134" s="5" t="inlineStr">
        <is>
          <t>eBay API; vendedor silaxon 99.6%; AMD Ryzen 5 7600 3.80GHz 6 Core 12 Thread AM5 100-000001015</t>
        </is>
      </c>
      <c r="H134" s="6" t="inlineStr">
        <is>
          <t>ver</t>
        </is>
      </c>
    </row>
    <row r="135">
      <c r="A135" s="15" t="n">
        <v>46311</v>
      </c>
      <c r="B135" s="5" t="inlineStr">
        <is>
          <t>eBay</t>
        </is>
      </c>
      <c r="C135" s="5" t="inlineStr">
        <is>
          <t>Ryzen 7 7800X3D</t>
        </is>
      </c>
      <c r="D135" s="5" t="inlineStr">
        <is>
          <t>nuevo</t>
        </is>
      </c>
      <c r="E135" s="11" t="n">
        <v>320</v>
      </c>
      <c r="F135" s="5" t="inlineStr">
        <is>
          <t>USD</t>
        </is>
      </c>
      <c r="G135" s="5" t="inlineStr">
        <is>
          <t>eBay API; vendedor am-834577 100.0%; AMD Ryzen 7 7800X3D 8-Core, 16-Thread Desktop Processor, Bra</t>
        </is>
      </c>
      <c r="H135" s="6" t="inlineStr">
        <is>
          <t>ver</t>
        </is>
      </c>
    </row>
    <row r="136">
      <c r="A136" s="15" t="n">
        <v>46311</v>
      </c>
      <c r="B136" s="5" t="inlineStr">
        <is>
          <t>eBay</t>
        </is>
      </c>
      <c r="C136" s="5" t="inlineStr">
        <is>
          <t>Ryzen 9 9950X</t>
        </is>
      </c>
      <c r="D136" s="5" t="inlineStr">
        <is>
          <t>nuevo</t>
        </is>
      </c>
      <c r="E136" s="11" t="n">
        <v>549.99</v>
      </c>
      <c r="F136" s="5" t="inlineStr">
        <is>
          <t>USD</t>
        </is>
      </c>
      <c r="G136" s="5" t="inlineStr">
        <is>
          <t>eBay API; vendedor newegg 99.6%; AMD Ryzen 9 9950X - Ryzen 9 9000 Series Granite Ridge (Zen 5</t>
        </is>
      </c>
      <c r="H136" s="6" t="inlineStr">
        <is>
          <t>ver</t>
        </is>
      </c>
    </row>
    <row r="137">
      <c r="A137" s="15" t="n">
        <v>46311</v>
      </c>
      <c r="B137" s="5" t="inlineStr">
        <is>
          <t>eBay</t>
        </is>
      </c>
      <c r="C137" s="5" t="inlineStr">
        <is>
          <t>Intel Core i5-12400F</t>
        </is>
      </c>
      <c r="D137" s="5" t="inlineStr">
        <is>
          <t>nuevo</t>
        </is>
      </c>
      <c r="E137" s="11" t="n">
        <v>150</v>
      </c>
      <c r="F137" s="5" t="inlineStr">
        <is>
          <t>USD</t>
        </is>
      </c>
      <c r="G137" s="5" t="inlineStr">
        <is>
          <t>eBay API; vendedor algonz1137 100.0%; INTEL CPU Core i5-12400F / 6/12 / 2.5GHz / 6xxChipset / BX80; envío no indicado</t>
        </is>
      </c>
      <c r="H137" s="6" t="inlineStr">
        <is>
          <t>ver</t>
        </is>
      </c>
    </row>
    <row r="138">
      <c r="A138" s="15" t="n">
        <v>46311</v>
      </c>
      <c r="B138" s="5" t="inlineStr">
        <is>
          <t>eBay</t>
        </is>
      </c>
      <c r="C138" s="5" t="inlineStr">
        <is>
          <t>Intel Core i5-14400F</t>
        </is>
      </c>
      <c r="D138" s="5" t="inlineStr">
        <is>
          <t>nuevo</t>
        </is>
      </c>
      <c r="E138" s="11" t="n">
        <v>164.49</v>
      </c>
      <c r="F138" s="5" t="inlineStr">
        <is>
          <t>USD</t>
        </is>
      </c>
      <c r="G138" s="5" t="inlineStr">
        <is>
          <t xml:space="preserve">eBay API; vendedor newegg 99.6%; Intel Core i5-14400F - Core i5 14th Gen Raptor Lake 10-Core </t>
        </is>
      </c>
      <c r="H138" s="6" t="inlineStr">
        <is>
          <t>ver</t>
        </is>
      </c>
    </row>
    <row r="139">
      <c r="A139" s="15" t="n">
        <v>46311</v>
      </c>
      <c r="B139" s="5" t="inlineStr">
        <is>
          <t>eBay</t>
        </is>
      </c>
      <c r="C139" s="5" t="inlineStr">
        <is>
          <t>Intel Core Ultra 7 265K</t>
        </is>
      </c>
      <c r="D139" s="5" t="inlineStr">
        <is>
          <t>nuevo</t>
        </is>
      </c>
      <c r="E139" s="11" t="n">
        <v>234.99</v>
      </c>
      <c r="F139" s="5" t="inlineStr">
        <is>
          <t>USD</t>
        </is>
      </c>
      <c r="G139" s="5" t="inlineStr">
        <is>
          <t>eBay API; vendedor good_neighbor_mercantile 99.4%; Intel Core Ultra 7 265K CPU Desktop Processor LGA 1851 20-Co</t>
        </is>
      </c>
      <c r="H139" s="6" t="inlineStr">
        <is>
          <t>ver</t>
        </is>
      </c>
    </row>
    <row r="140">
      <c r="A140" s="15" t="n">
        <v>46311</v>
      </c>
      <c r="B140" s="5" t="inlineStr">
        <is>
          <t>eBay</t>
        </is>
      </c>
      <c r="C140" s="5" t="inlineStr">
        <is>
          <t>Corsair Vengeance RGB DDR5 32GB (2x16) 5600</t>
        </is>
      </c>
      <c r="D140" s="5" t="inlineStr">
        <is>
          <t>nuevo</t>
        </is>
      </c>
      <c r="E140" s="11" t="n">
        <v>429.97</v>
      </c>
      <c r="F140" s="5" t="inlineStr">
        <is>
          <t>USD</t>
        </is>
      </c>
      <c r="G140" s="5" t="inlineStr">
        <is>
          <t>eBay API; vendedor uventure 99.7%; NEW 32GB (2x16GB) Corsair Vengeance DDR5 PC5-5600 Desktop RA</t>
        </is>
      </c>
      <c r="H140" s="6" t="inlineStr">
        <is>
          <t>ver</t>
        </is>
      </c>
    </row>
    <row r="141">
      <c r="A141" s="15" t="n">
        <v>46311</v>
      </c>
      <c r="B141" s="5" t="inlineStr">
        <is>
          <t>eBay</t>
        </is>
      </c>
      <c r="C141" s="5" t="inlineStr">
        <is>
          <t>Corsair Vengeance RGB DDR5 32GB (2x16) 6000</t>
        </is>
      </c>
      <c r="D141" s="5" t="inlineStr">
        <is>
          <t>nuevo</t>
        </is>
      </c>
      <c r="E141" s="11" t="n">
        <v>474.49</v>
      </c>
      <c r="F141" s="5" t="inlineStr">
        <is>
          <t>USD</t>
        </is>
      </c>
      <c r="G141" s="5" t="inlineStr">
        <is>
          <t>eBay API; vendedor hbk41096 100.0%; CORSAIR Vengence RGB DDR5 RAM 32GB (2x16GB) 6000MHz C36 UDIM; envío no indicado</t>
        </is>
      </c>
      <c r="H141" s="6" t="inlineStr">
        <is>
          <t>ver</t>
        </is>
      </c>
    </row>
    <row r="142">
      <c r="A142" s="15" t="n">
        <v>46311</v>
      </c>
      <c r="B142" s="5" t="inlineStr">
        <is>
          <t>eBay</t>
        </is>
      </c>
      <c r="C142" s="5" t="inlineStr">
        <is>
          <t>RAM DDR4 16GB (2x8) 3200</t>
        </is>
      </c>
      <c r="D142" s="5" t="inlineStr">
        <is>
          <t>nuevo</t>
        </is>
      </c>
      <c r="E142" s="11" t="n">
        <v>118.96</v>
      </c>
      <c r="F142" s="5" t="inlineStr">
        <is>
          <t>USD</t>
        </is>
      </c>
      <c r="G142" s="5" t="inlineStr">
        <is>
          <t xml:space="preserve">eBay API; vendedor bike_fix 99.0%; T-Force Vulcan Z DDR4 RAM 16GB (2x8GB) 3200MHz CL16 Desktop </t>
        </is>
      </c>
      <c r="H142" s="6" t="inlineStr">
        <is>
          <t>ver</t>
        </is>
      </c>
    </row>
    <row r="143">
      <c r="A143" s="15" t="n">
        <v>46311</v>
      </c>
      <c r="B143" s="5" t="inlineStr">
        <is>
          <t>eBay</t>
        </is>
      </c>
      <c r="C143" s="5" t="inlineStr">
        <is>
          <t>SSD NVMe 1TB</t>
        </is>
      </c>
      <c r="D143" s="5" t="inlineStr">
        <is>
          <t>nuevo</t>
        </is>
      </c>
      <c r="E143" s="11" t="n">
        <v>110</v>
      </c>
      <c r="F143" s="5" t="inlineStr">
        <is>
          <t>USD</t>
        </is>
      </c>
      <c r="G143" s="5" t="inlineStr">
        <is>
          <t>eBay API; vendedor techguy0891 99.7%; Derlar DN-850Q 1TB M.2 NVMe PCIe 4.0 SSD - New</t>
        </is>
      </c>
      <c r="H143" s="6" t="inlineStr">
        <is>
          <t>ver</t>
        </is>
      </c>
    </row>
    <row r="144">
      <c r="A144" s="15" t="n">
        <v>46311</v>
      </c>
      <c r="B144" s="5" t="inlineStr">
        <is>
          <t>eBay</t>
        </is>
      </c>
      <c r="C144" s="5" t="inlineStr">
        <is>
          <t>SSD NVMe 2TB</t>
        </is>
      </c>
      <c r="D144" s="5" t="inlineStr">
        <is>
          <t>nuevo</t>
        </is>
      </c>
      <c r="E144" s="11" t="n">
        <v>209.99</v>
      </c>
      <c r="F144" s="5" t="inlineStr">
        <is>
          <t>USD</t>
        </is>
      </c>
      <c r="G144" s="5" t="inlineStr">
        <is>
          <t>eBay API; vendedor ram_technologies 100.0%; RAM Tech 2TB NVMe SSD Gen4 M.2 2280 | 5000MB/s Read 4500MB/s</t>
        </is>
      </c>
      <c r="H144" s="6" t="inlineStr">
        <is>
          <t>ver</t>
        </is>
      </c>
    </row>
    <row r="145">
      <c r="A145" s="15" t="n">
        <v>46311</v>
      </c>
      <c r="B145" s="5" t="inlineStr">
        <is>
          <t>eBay</t>
        </is>
      </c>
      <c r="C145" s="5" t="inlineStr">
        <is>
          <t>Ryzen 5 5600</t>
        </is>
      </c>
      <c r="D145" s="5" t="inlineStr">
        <is>
          <t>usado</t>
        </is>
      </c>
      <c r="E145" s="11" t="n">
        <v>129.99</v>
      </c>
      <c r="F145" s="5" t="inlineStr">
        <is>
          <t>USD</t>
        </is>
      </c>
      <c r="G145" s="5" t="inlineStr">
        <is>
          <t>eBay API; vendedor paymore_sugar_land 99.4%; AMD Ryzen 5 5600 3.50GHz 6 Core 100-000000927 12 Thread AM4</t>
        </is>
      </c>
      <c r="H145" s="6" t="inlineStr">
        <is>
          <t>ver</t>
        </is>
      </c>
    </row>
    <row r="146">
      <c r="A146" s="15" t="n">
        <v>46311</v>
      </c>
      <c r="B146" s="5" t="inlineStr">
        <is>
          <t>eBay</t>
        </is>
      </c>
      <c r="C146" s="5" t="inlineStr">
        <is>
          <t>Ryzen 7 5700X3D</t>
        </is>
      </c>
      <c r="D146" s="5" t="inlineStr">
        <is>
          <t>usado</t>
        </is>
      </c>
      <c r="E146" s="11" t="n">
        <v>298.01</v>
      </c>
      <c r="F146" s="5" t="inlineStr">
        <is>
          <t>USD</t>
        </is>
      </c>
      <c r="G146" s="5" t="inlineStr">
        <is>
          <t>eBay API; vendedor cyborcat 100.0%; AMD Ryzen 7 5700X3D 8-Core 16-Thread AM4 CPU Processor - Wor</t>
        </is>
      </c>
      <c r="H146" s="6" t="inlineStr">
        <is>
          <t>ver</t>
        </is>
      </c>
    </row>
    <row r="147">
      <c r="A147" s="15" t="n">
        <v>46311</v>
      </c>
      <c r="B147" s="5" t="inlineStr">
        <is>
          <t>eBay</t>
        </is>
      </c>
      <c r="C147" s="5" t="inlineStr">
        <is>
          <t>Ryzen 5 7600</t>
        </is>
      </c>
      <c r="D147" s="5" t="inlineStr">
        <is>
          <t>usado</t>
        </is>
      </c>
      <c r="E147" s="11" t="n">
        <v>120</v>
      </c>
      <c r="F147" s="5" t="inlineStr">
        <is>
          <t>USD</t>
        </is>
      </c>
      <c r="G147" s="5" t="inlineStr">
        <is>
          <t>eBay API; vendedor shenidss9ckq 99.0%; AMD Ryzen 5 7600 3.80GHz 6 Core 100-000001015 12 Thread AM5</t>
        </is>
      </c>
      <c r="H147" s="6" t="inlineStr">
        <is>
          <t>ver</t>
        </is>
      </c>
    </row>
    <row r="148">
      <c r="A148" s="15" t="n">
        <v>46311</v>
      </c>
      <c r="B148" s="5" t="inlineStr">
        <is>
          <t>eBay</t>
        </is>
      </c>
      <c r="C148" s="5" t="inlineStr">
        <is>
          <t>Ryzen 7 7800X3D</t>
        </is>
      </c>
      <c r="D148" s="5" t="inlineStr">
        <is>
          <t>usado</t>
        </is>
      </c>
      <c r="E148" s="11" t="n">
        <v>279.99</v>
      </c>
      <c r="F148" s="5" t="inlineStr">
        <is>
          <t>USD</t>
        </is>
      </c>
      <c r="G148" s="5" t="inlineStr">
        <is>
          <t>eBay API; vendedor paymore_buford 99.5%; AMD Ryzen 7 7800X3D 4.20GHz 8 Core 100-000000910 16 Thread A</t>
        </is>
      </c>
      <c r="H148" s="6" t="inlineStr">
        <is>
          <t>ver</t>
        </is>
      </c>
    </row>
    <row r="149">
      <c r="A149" s="15" t="n">
        <v>46311</v>
      </c>
      <c r="B149" s="5" t="inlineStr">
        <is>
          <t>eBay</t>
        </is>
      </c>
      <c r="C149" s="5" t="inlineStr">
        <is>
          <t>Ryzen 9 9950X</t>
        </is>
      </c>
      <c r="D149" s="5" t="inlineStr">
        <is>
          <t>usado</t>
        </is>
      </c>
      <c r="E149" s="11" t="n">
        <v>454.99</v>
      </c>
      <c r="F149" s="5" t="inlineStr">
        <is>
          <t>USD</t>
        </is>
      </c>
      <c r="G149" s="5" t="inlineStr">
        <is>
          <t>eBay API; vendedor goodios_direct 99.6%; **  AMD Ryzen 9 9950X Processor - USED  **</t>
        </is>
      </c>
      <c r="H149" s="6" t="inlineStr">
        <is>
          <t>ver</t>
        </is>
      </c>
    </row>
    <row r="150">
      <c r="A150" s="15" t="n">
        <v>46311</v>
      </c>
      <c r="B150" s="5" t="inlineStr">
        <is>
          <t>eBay</t>
        </is>
      </c>
      <c r="C150" s="5" t="inlineStr">
        <is>
          <t>Intel Core i5-12400F</t>
        </is>
      </c>
      <c r="D150" s="5" t="inlineStr">
        <is>
          <t>usado</t>
        </is>
      </c>
      <c r="E150" s="11" t="n">
        <v>120.99</v>
      </c>
      <c r="F150" s="5" t="inlineStr">
        <is>
          <t>USD</t>
        </is>
      </c>
      <c r="G150" s="5" t="inlineStr">
        <is>
          <t>eBay API; vendedor vendingollc_1 100.0%; Intel Core i5-12400F 6-Core 2.5GHz SRL4W 65W LGA1700 Desktop</t>
        </is>
      </c>
      <c r="H150" s="6" t="inlineStr">
        <is>
          <t>ver</t>
        </is>
      </c>
    </row>
    <row r="151">
      <c r="A151" s="15" t="n">
        <v>46311</v>
      </c>
      <c r="B151" s="5" t="inlineStr">
        <is>
          <t>eBay</t>
        </is>
      </c>
      <c r="C151" s="5" t="inlineStr">
        <is>
          <t>Intel Core i5-13400</t>
        </is>
      </c>
      <c r="D151" s="5" t="inlineStr">
        <is>
          <t>usado</t>
        </is>
      </c>
      <c r="E151" s="11" t="n">
        <v>149.99</v>
      </c>
      <c r="F151" s="5" t="inlineStr">
        <is>
          <t>USD</t>
        </is>
      </c>
      <c r="G151" s="5" t="inlineStr">
        <is>
          <t>eBay API; vendedor techrec-recycling 99.6%; Intel Core i5-13400 2.50GHz 10-Core LGA1700 20MB Desktop Pro</t>
        </is>
      </c>
      <c r="H151" s="6" t="inlineStr">
        <is>
          <t>ver</t>
        </is>
      </c>
    </row>
    <row r="152">
      <c r="A152" s="15" t="n">
        <v>46311</v>
      </c>
      <c r="B152" s="5" t="inlineStr">
        <is>
          <t>eBay</t>
        </is>
      </c>
      <c r="C152" s="5" t="inlineStr">
        <is>
          <t>Intel Core i5-14400F</t>
        </is>
      </c>
      <c r="D152" s="5" t="inlineStr">
        <is>
          <t>usado</t>
        </is>
      </c>
      <c r="E152" s="11" t="n">
        <v>139.99</v>
      </c>
      <c r="F152" s="5" t="inlineStr">
        <is>
          <t>USD</t>
        </is>
      </c>
      <c r="G152" s="5" t="inlineStr">
        <is>
          <t>eBay API; vendedor paymore_cary 99.7%; Intel Core i5-14400F 2.50GHz 10 Core SRN47 16 Thread LGA 170</t>
        </is>
      </c>
      <c r="H152" s="6" t="inlineStr">
        <is>
          <t>ver</t>
        </is>
      </c>
    </row>
    <row r="153">
      <c r="A153" s="15" t="n">
        <v>46311</v>
      </c>
      <c r="B153" s="5" t="inlineStr">
        <is>
          <t>eBay</t>
        </is>
      </c>
      <c r="C153" s="5" t="inlineStr">
        <is>
          <t>Intel Core Ultra 7 265K</t>
        </is>
      </c>
      <c r="D153" s="5" t="inlineStr">
        <is>
          <t>usado</t>
        </is>
      </c>
      <c r="E153" s="11" t="n">
        <v>229</v>
      </c>
      <c r="F153" s="5" t="inlineStr">
        <is>
          <t>USD</t>
        </is>
      </c>
      <c r="G153" s="5" t="inlineStr">
        <is>
          <t>eBay API; vendedor archyinva 99.7%; Intel Core Ultra 7 265K 3.90GHz 20 Core Processor LGA 1851 S</t>
        </is>
      </c>
      <c r="H153" s="6" t="inlineStr">
        <is>
          <t>ver</t>
        </is>
      </c>
    </row>
    <row r="154">
      <c r="A154" s="15" t="n">
        <v>46311</v>
      </c>
      <c r="B154" s="5" t="inlineStr">
        <is>
          <t>eBay</t>
        </is>
      </c>
      <c r="C154" s="5" t="inlineStr">
        <is>
          <t>Corsair Vengeance RGB DDR5 32GB (2x16) 5600</t>
        </is>
      </c>
      <c r="D154" s="5" t="inlineStr">
        <is>
          <t>usado</t>
        </is>
      </c>
      <c r="E154" s="11" t="n">
        <v>379.99</v>
      </c>
      <c r="F154" s="5" t="inlineStr">
        <is>
          <t>USD</t>
        </is>
      </c>
      <c r="G154" s="5" t="inlineStr">
        <is>
          <t>eBay API; vendedor nn-red 100.0%; Corsair Vengeance RGB Pro 32GB (2x16GB) RAM DDR5 5600MHz CMH; envío no indicado</t>
        </is>
      </c>
      <c r="H154" s="6" t="inlineStr">
        <is>
          <t>ver</t>
        </is>
      </c>
    </row>
    <row r="155">
      <c r="A155" s="15" t="n">
        <v>46311</v>
      </c>
      <c r="B155" s="5" t="inlineStr">
        <is>
          <t>eBay</t>
        </is>
      </c>
      <c r="C155" s="5" t="inlineStr">
        <is>
          <t>Corsair Vengeance RGB DDR5 32GB (2x16) 6000</t>
        </is>
      </c>
      <c r="D155" s="5" t="inlineStr">
        <is>
          <t>usado</t>
        </is>
      </c>
      <c r="E155" s="11" t="n">
        <v>389.99</v>
      </c>
      <c r="F155" s="5" t="inlineStr">
        <is>
          <t>USD</t>
        </is>
      </c>
      <c r="G155" s="5" t="inlineStr">
        <is>
          <t>eBay API; vendedor briansdirectdeals 100.0%; Corsair Vengeance RGB DDR5 32GB (2x16GB) RAM 6000MHz CMH32GX; envío no indicado</t>
        </is>
      </c>
      <c r="H155" s="6" t="inlineStr">
        <is>
          <t>ver</t>
        </is>
      </c>
    </row>
    <row r="156">
      <c r="A156" s="15" t="n">
        <v>46311</v>
      </c>
      <c r="B156" s="5" t="inlineStr">
        <is>
          <t>eBay</t>
        </is>
      </c>
      <c r="C156" s="5" t="inlineStr">
        <is>
          <t>RAM DDR4 16GB (2x8) 3200</t>
        </is>
      </c>
      <c r="D156" s="5" t="inlineStr">
        <is>
          <t>usado</t>
        </is>
      </c>
      <c r="E156" s="11" t="n">
        <v>73.95</v>
      </c>
      <c r="F156" s="5" t="inlineStr">
        <is>
          <t>USD</t>
        </is>
      </c>
      <c r="G156" s="5" t="inlineStr">
        <is>
          <t>eBay API; vendedor lmunaco91 98.5%; G.SKILL RipJaws V DDR4-3200 16GB (2x8GB) DIMM Desktop RAM; envío no indicado</t>
        </is>
      </c>
      <c r="H156" s="6" t="inlineStr">
        <is>
          <t>ver</t>
        </is>
      </c>
    </row>
    <row r="157">
      <c r="A157" s="15" t="n">
        <v>46311</v>
      </c>
      <c r="B157" s="5" t="inlineStr">
        <is>
          <t>eBay</t>
        </is>
      </c>
      <c r="C157" s="5" t="inlineStr">
        <is>
          <t>SSD NVMe 1TB</t>
        </is>
      </c>
      <c r="D157" s="5" t="inlineStr">
        <is>
          <t>usado</t>
        </is>
      </c>
      <c r="E157" s="11" t="n">
        <v>80</v>
      </c>
      <c r="F157" s="5" t="inlineStr">
        <is>
          <t>USD</t>
        </is>
      </c>
      <c r="G157" s="5" t="inlineStr">
        <is>
          <t>eBay API; vendedor oldmacguy 100.0%; Samsung MZ-VL21T0A 1TB M.2 2280 PCIe NVMe SSD (MZVL21T0HCLR-; envío no indicado</t>
        </is>
      </c>
      <c r="H157" s="6" t="inlineStr">
        <is>
          <t>ver</t>
        </is>
      </c>
    </row>
    <row r="158">
      <c r="A158" s="15" t="n">
        <v>46311</v>
      </c>
      <c r="B158" s="5" t="inlineStr">
        <is>
          <t>eBay</t>
        </is>
      </c>
      <c r="C158" s="5" t="inlineStr">
        <is>
          <t>SSD NVMe 2TB</t>
        </is>
      </c>
      <c r="D158" s="5" t="inlineStr">
        <is>
          <t>usado</t>
        </is>
      </c>
      <c r="E158" s="11" t="n">
        <v>161.99</v>
      </c>
      <c r="F158" s="5" t="inlineStr">
        <is>
          <t>USD</t>
        </is>
      </c>
      <c r="G158" s="5" t="inlineStr">
        <is>
          <t xml:space="preserve">eBay API; vendedor intek22 100.0%; Kioxia WG4HZNV2T000200 2TB Exceria Plus G3 NVMe Solid State </t>
        </is>
      </c>
      <c r="H158" s="6" t="inlineStr">
        <is>
          <t>ver</t>
        </is>
      </c>
    </row>
    <row r="159">
      <c r="A159" s="15" t="n">
        <v>46312</v>
      </c>
      <c r="B159" s="5" t="inlineStr">
        <is>
          <t>eBay</t>
        </is>
      </c>
      <c r="C159" s="5" t="inlineStr">
        <is>
          <t>Ryzen 5 5600</t>
        </is>
      </c>
      <c r="D159" s="5" t="inlineStr">
        <is>
          <t>nuevo</t>
        </is>
      </c>
      <c r="E159" s="11" t="n">
        <v>138.9</v>
      </c>
      <c r="F159" s="5" t="inlineStr">
        <is>
          <t>USD</t>
        </is>
      </c>
      <c r="G159" s="5" t="inlineStr">
        <is>
          <t>eBay API; vendedor 3c_wholesaler 99.1%; (New) AMD Ryzen 5 5600 Vermeer Zen3 6-Core 12-Thread AM4 CPU</t>
        </is>
      </c>
      <c r="H159" s="6" t="inlineStr">
        <is>
          <t>ver</t>
        </is>
      </c>
    </row>
    <row r="160">
      <c r="A160" s="15" t="n">
        <v>46312</v>
      </c>
      <c r="B160" s="5" t="inlineStr">
        <is>
          <t>eBay</t>
        </is>
      </c>
      <c r="C160" s="5" t="inlineStr">
        <is>
          <t>Ryzen 5 7600</t>
        </is>
      </c>
      <c r="D160" s="5" t="inlineStr">
        <is>
          <t>nuevo</t>
        </is>
      </c>
      <c r="E160" s="11" t="n">
        <v>140.26</v>
      </c>
      <c r="F160" s="5" t="inlineStr">
        <is>
          <t>USD</t>
        </is>
      </c>
      <c r="G160" s="5" t="inlineStr">
        <is>
          <t>eBay API; vendedor silaxon 99.6%; AMD Ryzen 5 7600 3.80GHz 6 Core 12 Thread AM5 100-000001015</t>
        </is>
      </c>
      <c r="H160" s="6" t="inlineStr">
        <is>
          <t>ver</t>
        </is>
      </c>
    </row>
    <row r="161">
      <c r="A161" s="15" t="n">
        <v>46312</v>
      </c>
      <c r="B161" s="5" t="inlineStr">
        <is>
          <t>eBay</t>
        </is>
      </c>
      <c r="C161" s="5" t="inlineStr">
        <is>
          <t>Ryzen 7 7800X3D</t>
        </is>
      </c>
      <c r="D161" s="5" t="inlineStr">
        <is>
          <t>nuevo</t>
        </is>
      </c>
      <c r="E161" s="11" t="n">
        <v>324.99</v>
      </c>
      <c r="F161" s="5" t="inlineStr">
        <is>
          <t>USD</t>
        </is>
      </c>
      <c r="G161" s="5" t="inlineStr">
        <is>
          <t>eBay API; vendedor geoelectronics7 99.4%; AMD Ryzen 7 7800X3D 100-00000910 - Processor No Cooler</t>
        </is>
      </c>
      <c r="H161" s="6" t="inlineStr">
        <is>
          <t>ver</t>
        </is>
      </c>
    </row>
    <row r="162">
      <c r="A162" s="15" t="n">
        <v>46312</v>
      </c>
      <c r="B162" s="5" t="inlineStr">
        <is>
          <t>eBay</t>
        </is>
      </c>
      <c r="C162" s="5" t="inlineStr">
        <is>
          <t>Ryzen 9 9950X</t>
        </is>
      </c>
      <c r="D162" s="5" t="inlineStr">
        <is>
          <t>nuevo</t>
        </is>
      </c>
      <c r="E162" s="11" t="n">
        <v>549.99</v>
      </c>
      <c r="F162" s="5" t="inlineStr">
        <is>
          <t>USD</t>
        </is>
      </c>
      <c r="G162" s="5" t="inlineStr">
        <is>
          <t>eBay API; vendedor newegg 99.6%; AMD Ryzen 9 9950X - Ryzen 9 9000 Series Granite Ridge (Zen 5</t>
        </is>
      </c>
      <c r="H162" s="6" t="inlineStr">
        <is>
          <t>ver</t>
        </is>
      </c>
    </row>
    <row r="163">
      <c r="A163" s="15" t="n">
        <v>46312</v>
      </c>
      <c r="B163" s="5" t="inlineStr">
        <is>
          <t>eBay</t>
        </is>
      </c>
      <c r="C163" s="5" t="inlineStr">
        <is>
          <t>Intel Core i5-12400F</t>
        </is>
      </c>
      <c r="D163" s="5" t="inlineStr">
        <is>
          <t>nuevo</t>
        </is>
      </c>
      <c r="E163" s="11" t="n">
        <v>150</v>
      </c>
      <c r="F163" s="5" t="inlineStr">
        <is>
          <t>USD</t>
        </is>
      </c>
      <c r="G163" s="5" t="inlineStr">
        <is>
          <t>eBay API; vendedor algonz1137 100.0%; INTEL CPU Core i5-12400F / 6/12 / 2.5GHz / 6xxChipset / BX80; envío no indicado</t>
        </is>
      </c>
      <c r="H163" s="6" t="inlineStr">
        <is>
          <t>ver</t>
        </is>
      </c>
    </row>
    <row r="164">
      <c r="A164" s="15" t="n">
        <v>46312</v>
      </c>
      <c r="B164" s="5" t="inlineStr">
        <is>
          <t>eBay</t>
        </is>
      </c>
      <c r="C164" s="5" t="inlineStr">
        <is>
          <t>Intel Core i5-14400F</t>
        </is>
      </c>
      <c r="D164" s="5" t="inlineStr">
        <is>
          <t>nuevo</t>
        </is>
      </c>
      <c r="E164" s="11" t="n">
        <v>164.49</v>
      </c>
      <c r="F164" s="5" t="inlineStr">
        <is>
          <t>USD</t>
        </is>
      </c>
      <c r="G164" s="5" t="inlineStr">
        <is>
          <t xml:space="preserve">eBay API; vendedor newegg 99.6%; Intel Core i5-14400F - Core i5 14th Gen Raptor Lake 10-Core </t>
        </is>
      </c>
      <c r="H164" s="6" t="inlineStr">
        <is>
          <t>ver</t>
        </is>
      </c>
    </row>
    <row r="165">
      <c r="A165" s="15" t="n">
        <v>46312</v>
      </c>
      <c r="B165" s="5" t="inlineStr">
        <is>
          <t>eBay</t>
        </is>
      </c>
      <c r="C165" s="5" t="inlineStr">
        <is>
          <t>Intel Core Ultra 7 265K</t>
        </is>
      </c>
      <c r="D165" s="5" t="inlineStr">
        <is>
          <t>nuevo</t>
        </is>
      </c>
      <c r="E165" s="11" t="n">
        <v>235.27</v>
      </c>
      <c r="F165" s="5" t="inlineStr">
        <is>
          <t>USD</t>
        </is>
      </c>
      <c r="G165" s="5" t="inlineStr">
        <is>
          <t>eBay API; vendedor jos-980836 100.0%; Intel Core ULTRA 7 265K LGA 1851 Unlocked, 20 cores.</t>
        </is>
      </c>
      <c r="H165" s="6" t="inlineStr">
        <is>
          <t>ver</t>
        </is>
      </c>
    </row>
    <row r="166">
      <c r="A166" s="15" t="n">
        <v>46312</v>
      </c>
      <c r="B166" s="5" t="inlineStr">
        <is>
          <t>eBay</t>
        </is>
      </c>
      <c r="C166" s="5" t="inlineStr">
        <is>
          <t>Corsair Vengeance RGB DDR5 32GB (2x16) 5600</t>
        </is>
      </c>
      <c r="D166" s="5" t="inlineStr">
        <is>
          <t>nuevo</t>
        </is>
      </c>
      <c r="E166" s="11" t="n">
        <v>429.97</v>
      </c>
      <c r="F166" s="5" t="inlineStr">
        <is>
          <t>USD</t>
        </is>
      </c>
      <c r="G166" s="5" t="inlineStr">
        <is>
          <t>eBay API; vendedor uventure 99.7%; NEW 32GB (2x16GB) Corsair Vengeance DDR5 PC5-5600 Desktop RA</t>
        </is>
      </c>
      <c r="H166" s="6" t="inlineStr">
        <is>
          <t>ver</t>
        </is>
      </c>
    </row>
    <row r="167">
      <c r="A167" s="15" t="n">
        <v>46312</v>
      </c>
      <c r="B167" s="5" t="inlineStr">
        <is>
          <t>eBay</t>
        </is>
      </c>
      <c r="C167" s="5" t="inlineStr">
        <is>
          <t>Corsair Vengeance RGB DDR5 32GB (2x16) 6000</t>
        </is>
      </c>
      <c r="D167" s="5" t="inlineStr">
        <is>
          <t>nuevo</t>
        </is>
      </c>
      <c r="E167" s="11" t="n">
        <v>474.49</v>
      </c>
      <c r="F167" s="5" t="inlineStr">
        <is>
          <t>USD</t>
        </is>
      </c>
      <c r="G167" s="5" t="inlineStr">
        <is>
          <t>eBay API; vendedor hbk41096 100.0%; CORSAIR Vengence RGB DDR5 RAM 32GB (2x16GB) 6000MHz C36 UDIM; envío no indicado</t>
        </is>
      </c>
      <c r="H167" s="6" t="inlineStr">
        <is>
          <t>ver</t>
        </is>
      </c>
    </row>
    <row r="168">
      <c r="A168" s="15" t="n">
        <v>46312</v>
      </c>
      <c r="B168" s="5" t="inlineStr">
        <is>
          <t>eBay</t>
        </is>
      </c>
      <c r="C168" s="5" t="inlineStr">
        <is>
          <t>RAM DDR4 16GB (2x8) 3200</t>
        </is>
      </c>
      <c r="D168" s="5" t="inlineStr">
        <is>
          <t>nuevo</t>
        </is>
      </c>
      <c r="E168" s="11" t="n">
        <v>118.96</v>
      </c>
      <c r="F168" s="5" t="inlineStr">
        <is>
          <t>USD</t>
        </is>
      </c>
      <c r="G168" s="5" t="inlineStr">
        <is>
          <t xml:space="preserve">eBay API; vendedor bike_fix 99.0%; T-Force Vulcan Z DDR4 RAM 16GB (2x8GB) 3200MHz CL16 Desktop </t>
        </is>
      </c>
      <c r="H168" s="6" t="inlineStr">
        <is>
          <t>ver</t>
        </is>
      </c>
    </row>
    <row r="169">
      <c r="A169" s="15" t="n">
        <v>46312</v>
      </c>
      <c r="B169" s="5" t="inlineStr">
        <is>
          <t>eBay</t>
        </is>
      </c>
      <c r="C169" s="5" t="inlineStr">
        <is>
          <t>SSD NVMe 1TB</t>
        </is>
      </c>
      <c r="D169" s="5" t="inlineStr">
        <is>
          <t>nuevo</t>
        </is>
      </c>
      <c r="E169" s="11" t="n">
        <v>128.99</v>
      </c>
      <c r="F169" s="5" t="inlineStr">
        <is>
          <t>USD</t>
        </is>
      </c>
      <c r="G169" s="5" t="inlineStr">
        <is>
          <t>eBay API; vendedor netac-official-store 99.9%; Netac M.2 2280 1TB PCIe3.0 NVMe 1.4 3D NAND Internal Solid S</t>
        </is>
      </c>
      <c r="H169" s="6" t="inlineStr">
        <is>
          <t>ver</t>
        </is>
      </c>
    </row>
    <row r="170">
      <c r="A170" s="15" t="n">
        <v>46312</v>
      </c>
      <c r="B170" s="5" t="inlineStr">
        <is>
          <t>eBay</t>
        </is>
      </c>
      <c r="C170" s="5" t="inlineStr">
        <is>
          <t>SSD NVMe 2TB</t>
        </is>
      </c>
      <c r="D170" s="5" t="inlineStr">
        <is>
          <t>nuevo</t>
        </is>
      </c>
      <c r="E170" s="11" t="n">
        <v>209.99</v>
      </c>
      <c r="F170" s="5" t="inlineStr">
        <is>
          <t>USD</t>
        </is>
      </c>
      <c r="G170" s="5" t="inlineStr">
        <is>
          <t>eBay API; vendedor ram_technologies 100.0%; RAM Tech 2TB NVMe SSD Gen4 M.2 2280 | 5000MB/s Read 4500MB/s</t>
        </is>
      </c>
      <c r="H170" s="6" t="inlineStr">
        <is>
          <t>ver</t>
        </is>
      </c>
    </row>
    <row r="171">
      <c r="A171" s="15" t="n">
        <v>46312</v>
      </c>
      <c r="B171" s="5" t="inlineStr">
        <is>
          <t>eBay</t>
        </is>
      </c>
      <c r="C171" s="5" t="inlineStr">
        <is>
          <t>Ryzen 5 5600</t>
        </is>
      </c>
      <c r="D171" s="5" t="inlineStr">
        <is>
          <t>usado</t>
        </is>
      </c>
      <c r="E171" s="11" t="n">
        <v>129.99</v>
      </c>
      <c r="F171" s="5" t="inlineStr">
        <is>
          <t>USD</t>
        </is>
      </c>
      <c r="G171" s="5" t="inlineStr">
        <is>
          <t>eBay API; vendedor paymore_sugar_land 99.4%; AMD Ryzen 5 5600 3.50GHz 6 Core 100-000000927 12 Thread AM4</t>
        </is>
      </c>
      <c r="H171" s="6" t="inlineStr">
        <is>
          <t>ver</t>
        </is>
      </c>
    </row>
    <row r="172">
      <c r="A172" s="15" t="n">
        <v>46312</v>
      </c>
      <c r="B172" s="5" t="inlineStr">
        <is>
          <t>eBay</t>
        </is>
      </c>
      <c r="C172" s="5" t="inlineStr">
        <is>
          <t>Ryzen 7 5700X3D</t>
        </is>
      </c>
      <c r="D172" s="5" t="inlineStr">
        <is>
          <t>usado</t>
        </is>
      </c>
      <c r="E172" s="11" t="n">
        <v>315</v>
      </c>
      <c r="F172" s="5" t="inlineStr">
        <is>
          <t>USD</t>
        </is>
      </c>
      <c r="G172" s="5" t="inlineStr">
        <is>
          <t>eBay API; vendedor senshi-gamer 100.0%; AMD Ryzen 7 5700X3D Desktop CPU Processor 3.0GHz, 8-Core, 16; envío no indicado</t>
        </is>
      </c>
      <c r="H172" s="6" t="inlineStr">
        <is>
          <t>ver</t>
        </is>
      </c>
    </row>
    <row r="173">
      <c r="A173" s="15" t="n">
        <v>46312</v>
      </c>
      <c r="B173" s="5" t="inlineStr">
        <is>
          <t>eBay</t>
        </is>
      </c>
      <c r="C173" s="5" t="inlineStr">
        <is>
          <t>Ryzen 5 7600</t>
        </is>
      </c>
      <c r="D173" s="5" t="inlineStr">
        <is>
          <t>usado</t>
        </is>
      </c>
      <c r="E173" s="11" t="n">
        <v>120</v>
      </c>
      <c r="F173" s="5" t="inlineStr">
        <is>
          <t>USD</t>
        </is>
      </c>
      <c r="G173" s="5" t="inlineStr">
        <is>
          <t>eBay API; vendedor shenidss9ckq 99.1%; AMD Ryzen 5 7600 3.80GHz 6 Core 100-000001015 12 Thread AM5</t>
        </is>
      </c>
      <c r="H173" s="6" t="inlineStr">
        <is>
          <t>ver</t>
        </is>
      </c>
    </row>
    <row r="174">
      <c r="A174" s="15" t="n">
        <v>46312</v>
      </c>
      <c r="B174" s="5" t="inlineStr">
        <is>
          <t>eBay</t>
        </is>
      </c>
      <c r="C174" s="5" t="inlineStr">
        <is>
          <t>Ryzen 7 7800X3D</t>
        </is>
      </c>
      <c r="D174" s="5" t="inlineStr">
        <is>
          <t>usado</t>
        </is>
      </c>
      <c r="E174" s="11" t="n">
        <v>275</v>
      </c>
      <c r="F174" s="5" t="inlineStr">
        <is>
          <t>USD</t>
        </is>
      </c>
      <c r="G174" s="5" t="inlineStr">
        <is>
          <t>eBay API; vendedor taspen 100.0%; Ryzen 7 7800X3D 8-Core, 16-Thread Desktop Processor; envío no indicado</t>
        </is>
      </c>
      <c r="H174" s="6" t="inlineStr">
        <is>
          <t>ver</t>
        </is>
      </c>
    </row>
    <row r="175">
      <c r="A175" s="15" t="n">
        <v>46312</v>
      </c>
      <c r="B175" s="5" t="inlineStr">
        <is>
          <t>eBay</t>
        </is>
      </c>
      <c r="C175" s="5" t="inlineStr">
        <is>
          <t>Ryzen 9 9950X</t>
        </is>
      </c>
      <c r="D175" s="5" t="inlineStr">
        <is>
          <t>usado</t>
        </is>
      </c>
      <c r="E175" s="11" t="n">
        <v>454.99</v>
      </c>
      <c r="F175" s="5" t="inlineStr">
        <is>
          <t>USD</t>
        </is>
      </c>
      <c r="G175" s="5" t="inlineStr">
        <is>
          <t>eBay API; vendedor goodios_direct 99.6%; **  AMD Ryzen 9 9950X Processor - USED  **</t>
        </is>
      </c>
      <c r="H175" s="6" t="inlineStr">
        <is>
          <t>ver</t>
        </is>
      </c>
    </row>
    <row r="176">
      <c r="A176" s="15" t="n">
        <v>46312</v>
      </c>
      <c r="B176" s="5" t="inlineStr">
        <is>
          <t>eBay</t>
        </is>
      </c>
      <c r="C176" s="5" t="inlineStr">
        <is>
          <t>Intel Core i5-12400F</t>
        </is>
      </c>
      <c r="D176" s="5" t="inlineStr">
        <is>
          <t>usado</t>
        </is>
      </c>
      <c r="E176" s="11" t="n">
        <v>120.99</v>
      </c>
      <c r="F176" s="5" t="inlineStr">
        <is>
          <t>USD</t>
        </is>
      </c>
      <c r="G176" s="5" t="inlineStr">
        <is>
          <t>eBay API; vendedor vendingollc_1 100.0%; Intel Core i5-12400F 6-Core 2.5GHz SRL4W 65W LGA1700 Desktop</t>
        </is>
      </c>
      <c r="H176" s="6" t="inlineStr">
        <is>
          <t>ver</t>
        </is>
      </c>
    </row>
    <row r="177">
      <c r="A177" s="15" t="n">
        <v>46312</v>
      </c>
      <c r="B177" s="5" t="inlineStr">
        <is>
          <t>eBay</t>
        </is>
      </c>
      <c r="C177" s="5" t="inlineStr">
        <is>
          <t>Intel Core i5-13400</t>
        </is>
      </c>
      <c r="D177" s="5" t="inlineStr">
        <is>
          <t>usado</t>
        </is>
      </c>
      <c r="E177" s="11" t="n">
        <v>125</v>
      </c>
      <c r="F177" s="5" t="inlineStr">
        <is>
          <t>USD</t>
        </is>
      </c>
      <c r="G177" s="5" t="inlineStr">
        <is>
          <t>eBay API; vendedor secure_processors 99.8%; Intel Core i5-13400 SRMBP</t>
        </is>
      </c>
      <c r="H177" s="6" t="inlineStr">
        <is>
          <t>ver</t>
        </is>
      </c>
    </row>
    <row r="178">
      <c r="A178" s="15" t="n">
        <v>46312</v>
      </c>
      <c r="B178" s="5" t="inlineStr">
        <is>
          <t>eBay</t>
        </is>
      </c>
      <c r="C178" s="5" t="inlineStr">
        <is>
          <t>Intel Core i5-14400F</t>
        </is>
      </c>
      <c r="D178" s="5" t="inlineStr">
        <is>
          <t>usado</t>
        </is>
      </c>
      <c r="E178" s="11" t="n">
        <v>139.99</v>
      </c>
      <c r="F178" s="5" t="inlineStr">
        <is>
          <t>USD</t>
        </is>
      </c>
      <c r="G178" s="5" t="inlineStr">
        <is>
          <t>eBay API; vendedor paymore_cary 99.7%; Intel Core i5-14400F 2.50GHz 10 Core SRN47 16 Thread LGA 170</t>
        </is>
      </c>
      <c r="H178" s="6" t="inlineStr">
        <is>
          <t>ver</t>
        </is>
      </c>
    </row>
    <row r="179">
      <c r="A179" s="15" t="n">
        <v>46312</v>
      </c>
      <c r="B179" s="5" t="inlineStr">
        <is>
          <t>eBay</t>
        </is>
      </c>
      <c r="C179" s="5" t="inlineStr">
        <is>
          <t>Intel Core Ultra 7 265K</t>
        </is>
      </c>
      <c r="D179" s="5" t="inlineStr">
        <is>
          <t>usado</t>
        </is>
      </c>
      <c r="E179" s="11" t="n">
        <v>229</v>
      </c>
      <c r="F179" s="5" t="inlineStr">
        <is>
          <t>USD</t>
        </is>
      </c>
      <c r="G179" s="5" t="inlineStr">
        <is>
          <t>eBay API; vendedor archyinva 99.7%; Intel Core Ultra 7 265K 3.90GHz 20 Core Processor LGA 1851 S</t>
        </is>
      </c>
      <c r="H179" s="6" t="inlineStr">
        <is>
          <t>ver</t>
        </is>
      </c>
    </row>
    <row r="180">
      <c r="A180" s="15" t="n">
        <v>46312</v>
      </c>
      <c r="B180" s="5" t="inlineStr">
        <is>
          <t>eBay</t>
        </is>
      </c>
      <c r="C180" s="5" t="inlineStr">
        <is>
          <t>Corsair Vengeance RGB DDR5 32GB (2x16) 5600</t>
        </is>
      </c>
      <c r="D180" s="5" t="inlineStr">
        <is>
          <t>usado</t>
        </is>
      </c>
      <c r="E180" s="11" t="n">
        <v>375</v>
      </c>
      <c r="F180" s="5" t="inlineStr">
        <is>
          <t>USD</t>
        </is>
      </c>
      <c r="G180" s="5" t="inlineStr">
        <is>
          <t>eBay API; vendedor jaydeetuning 100.0%; Corsair Vengeance 32GB (2x16GB) RAM DDR5 5600MHz CMK32GX5M2B</t>
        </is>
      </c>
      <c r="H180" s="6" t="inlineStr">
        <is>
          <t>ver</t>
        </is>
      </c>
    </row>
    <row r="181">
      <c r="A181" s="15" t="n">
        <v>46312</v>
      </c>
      <c r="B181" s="5" t="inlineStr">
        <is>
          <t>eBay</t>
        </is>
      </c>
      <c r="C181" s="5" t="inlineStr">
        <is>
          <t>Corsair Vengeance RGB DDR5 32GB (2x16) 6000</t>
        </is>
      </c>
      <c r="D181" s="5" t="inlineStr">
        <is>
          <t>usado</t>
        </is>
      </c>
      <c r="E181" s="11" t="n">
        <v>399.99</v>
      </c>
      <c r="F181" s="5" t="inlineStr">
        <is>
          <t>USD</t>
        </is>
      </c>
      <c r="G181" s="5" t="inlineStr">
        <is>
          <t xml:space="preserve">eBay API; vendedor ermerl-5mq1rn 99.7%; ITEMPOWERS 32GB (2x16GB) DDR5 6000MHz RGB Desktop RAM Kit - </t>
        </is>
      </c>
      <c r="H181" s="6" t="inlineStr">
        <is>
          <t>ver</t>
        </is>
      </c>
    </row>
    <row r="182">
      <c r="A182" s="15" t="n">
        <v>46312</v>
      </c>
      <c r="B182" s="5" t="inlineStr">
        <is>
          <t>eBay</t>
        </is>
      </c>
      <c r="C182" s="5" t="inlineStr">
        <is>
          <t>RAM DDR4 16GB (2x8) 3200</t>
        </is>
      </c>
      <c r="D182" s="5" t="inlineStr">
        <is>
          <t>usado</t>
        </is>
      </c>
      <c r="E182" s="11" t="n">
        <v>71.95</v>
      </c>
      <c r="F182" s="5" t="inlineStr">
        <is>
          <t>USD</t>
        </is>
      </c>
      <c r="G182" s="5" t="inlineStr">
        <is>
          <t>eBay API; vendedor btcsales0 99.8%; OLOy WarHawk 16GB (2x8GB) DDR4 3200MHz (MD4U0832160BJ0DA); envío no indicado</t>
        </is>
      </c>
      <c r="H182" s="6" t="inlineStr">
        <is>
          <t>ver</t>
        </is>
      </c>
    </row>
    <row r="183">
      <c r="A183" s="15" t="n">
        <v>46312</v>
      </c>
      <c r="B183" s="5" t="inlineStr">
        <is>
          <t>eBay</t>
        </is>
      </c>
      <c r="C183" s="5" t="inlineStr">
        <is>
          <t>SSD NVMe 1TB</t>
        </is>
      </c>
      <c r="D183" s="5" t="inlineStr">
        <is>
          <t>usado</t>
        </is>
      </c>
      <c r="E183" s="11" t="n">
        <v>98.59</v>
      </c>
      <c r="F183" s="5" t="inlineStr">
        <is>
          <t>USD</t>
        </is>
      </c>
      <c r="G183" s="5" t="inlineStr">
        <is>
          <t>eBay API; vendedor techrefurb4u 99.3%; Western Digital PC SN720 NVMe SSD 1TB</t>
        </is>
      </c>
      <c r="H183" s="6" t="inlineStr">
        <is>
          <t>ver</t>
        </is>
      </c>
    </row>
    <row r="184">
      <c r="A184" s="15" t="n">
        <v>46312</v>
      </c>
      <c r="B184" s="5" t="inlineStr">
        <is>
          <t>eBay</t>
        </is>
      </c>
      <c r="C184" s="5" t="inlineStr">
        <is>
          <t>SSD NVMe 2TB</t>
        </is>
      </c>
      <c r="D184" s="5" t="inlineStr">
        <is>
          <t>usado</t>
        </is>
      </c>
      <c r="E184" s="11" t="n">
        <v>160</v>
      </c>
      <c r="F184" s="5" t="inlineStr">
        <is>
          <t>USD</t>
        </is>
      </c>
      <c r="G184" s="5" t="inlineStr">
        <is>
          <t>eBay API; vendedor irefurbish-cincinnati 100.0%; KingSpec 2tb Nvme Ssd 4x4; envío no indicado</t>
        </is>
      </c>
      <c r="H184" s="6" t="inlineStr">
        <is>
          <t>ver</t>
        </is>
      </c>
    </row>
    <row r="185">
      <c r="A185" s="15" t="n">
        <v>46313</v>
      </c>
      <c r="B185" s="5" t="inlineStr">
        <is>
          <t>eBay</t>
        </is>
      </c>
      <c r="C185" s="5" t="inlineStr">
        <is>
          <t>Ryzen 5 5600</t>
        </is>
      </c>
      <c r="D185" s="5" t="inlineStr">
        <is>
          <t>nuevo</t>
        </is>
      </c>
      <c r="E185" s="11" t="n">
        <v>138.9</v>
      </c>
      <c r="F185" s="5" t="inlineStr">
        <is>
          <t>USD</t>
        </is>
      </c>
      <c r="G185" s="5" t="inlineStr">
        <is>
          <t>eBay API; vendedor 3c_wholesaler 99.1%; (New) AMD Ryzen 5 5600 Vermeer Zen3 6-Core 12-Thread AM4 CPU</t>
        </is>
      </c>
      <c r="H185" s="6" t="inlineStr">
        <is>
          <t>ver</t>
        </is>
      </c>
    </row>
    <row r="186">
      <c r="A186" s="15" t="n">
        <v>46313</v>
      </c>
      <c r="B186" s="5" t="inlineStr">
        <is>
          <t>eBay</t>
        </is>
      </c>
      <c r="C186" s="5" t="inlineStr">
        <is>
          <t>Ryzen 5 7600</t>
        </is>
      </c>
      <c r="D186" s="5" t="inlineStr">
        <is>
          <t>nuevo</t>
        </is>
      </c>
      <c r="E186" s="11" t="n">
        <v>213.95</v>
      </c>
      <c r="F186" s="5" t="inlineStr">
        <is>
          <t>USD</t>
        </is>
      </c>
      <c r="G186" s="5" t="inlineStr">
        <is>
          <t>eBay API; vendedor bra_dewaa 99.8%; AMD Ryzen 5 7600 6-Core 12-Thread Unlocked Desktop Processor</t>
        </is>
      </c>
      <c r="H186" s="6" t="inlineStr">
        <is>
          <t>ver</t>
        </is>
      </c>
    </row>
    <row r="187">
      <c r="A187" s="15" t="n">
        <v>46313</v>
      </c>
      <c r="B187" s="5" t="inlineStr">
        <is>
          <t>eBay</t>
        </is>
      </c>
      <c r="C187" s="5" t="inlineStr">
        <is>
          <t>Ryzen 7 7800X3D</t>
        </is>
      </c>
      <c r="D187" s="5" t="inlineStr">
        <is>
          <t>nuevo</t>
        </is>
      </c>
      <c r="E187" s="11" t="n">
        <v>324.99</v>
      </c>
      <c r="F187" s="5" t="inlineStr">
        <is>
          <t>USD</t>
        </is>
      </c>
      <c r="G187" s="5" t="inlineStr">
        <is>
          <t>eBay API; vendedor geoelectronics7 99.4%; AMD Ryzen 7 7800X3D 100-00000910 - Processor No Cooler</t>
        </is>
      </c>
      <c r="H187" s="6" t="inlineStr">
        <is>
          <t>ver</t>
        </is>
      </c>
    </row>
    <row r="188">
      <c r="A188" s="15" t="n">
        <v>46313</v>
      </c>
      <c r="B188" s="5" t="inlineStr">
        <is>
          <t>eBay</t>
        </is>
      </c>
      <c r="C188" s="5" t="inlineStr">
        <is>
          <t>Ryzen 9 9950X</t>
        </is>
      </c>
      <c r="D188" s="5" t="inlineStr">
        <is>
          <t>nuevo</t>
        </is>
      </c>
      <c r="E188" s="11" t="n">
        <v>549.99</v>
      </c>
      <c r="F188" s="5" t="inlineStr">
        <is>
          <t>USD</t>
        </is>
      </c>
      <c r="G188" s="5" t="inlineStr">
        <is>
          <t>eBay API; vendedor newegg 99.6%; AMD Ryzen 9 9950X - Ryzen 9 9000 Series Granite Ridge (Zen 5</t>
        </is>
      </c>
      <c r="H188" s="6" t="inlineStr">
        <is>
          <t>ver</t>
        </is>
      </c>
    </row>
    <row r="189">
      <c r="A189" s="15" t="n">
        <v>46313</v>
      </c>
      <c r="B189" s="5" t="inlineStr">
        <is>
          <t>eBay</t>
        </is>
      </c>
      <c r="C189" s="5" t="inlineStr">
        <is>
          <t>Intel Core i5-12400F</t>
        </is>
      </c>
      <c r="D189" s="5" t="inlineStr">
        <is>
          <t>nuevo</t>
        </is>
      </c>
      <c r="E189" s="11" t="n">
        <v>150</v>
      </c>
      <c r="F189" s="5" t="inlineStr">
        <is>
          <t>USD</t>
        </is>
      </c>
      <c r="G189" s="5" t="inlineStr">
        <is>
          <t>eBay API; vendedor algonz1137 100.0%; INTEL CPU Core i5-12400F / 6/12 / 2.5GHz / 6xxChipset / BX80; envío no indicado</t>
        </is>
      </c>
      <c r="H189" s="6" t="inlineStr">
        <is>
          <t>ver</t>
        </is>
      </c>
    </row>
    <row r="190">
      <c r="A190" s="15" t="n">
        <v>46313</v>
      </c>
      <c r="B190" s="5" t="inlineStr">
        <is>
          <t>eBay</t>
        </is>
      </c>
      <c r="C190" s="5" t="inlineStr">
        <is>
          <t>Intel Core i5-14400F</t>
        </is>
      </c>
      <c r="D190" s="5" t="inlineStr">
        <is>
          <t>nuevo</t>
        </is>
      </c>
      <c r="E190" s="11" t="n">
        <v>164.49</v>
      </c>
      <c r="F190" s="5" t="inlineStr">
        <is>
          <t>USD</t>
        </is>
      </c>
      <c r="G190" s="5" t="inlineStr">
        <is>
          <t xml:space="preserve">eBay API; vendedor newegg 99.6%; Intel Core i5-14400F - Core i5 14th Gen Raptor Lake 10-Core </t>
        </is>
      </c>
      <c r="H190" s="6" t="inlineStr">
        <is>
          <t>ver</t>
        </is>
      </c>
    </row>
    <row r="191">
      <c r="A191" s="15" t="n">
        <v>46313</v>
      </c>
      <c r="B191" s="5" t="inlineStr">
        <is>
          <t>eBay</t>
        </is>
      </c>
      <c r="C191" s="5" t="inlineStr">
        <is>
          <t>Intel Core Ultra 7 265K</t>
        </is>
      </c>
      <c r="D191" s="5" t="inlineStr">
        <is>
          <t>nuevo</t>
        </is>
      </c>
      <c r="E191" s="11" t="n">
        <v>235.27</v>
      </c>
      <c r="F191" s="5" t="inlineStr">
        <is>
          <t>USD</t>
        </is>
      </c>
      <c r="G191" s="5" t="inlineStr">
        <is>
          <t>eBay API; vendedor jos-980836 100.0%; Intel Core ULTRA 7 265K LGA 1851 Unlocked, 20 cores.</t>
        </is>
      </c>
      <c r="H191" s="6" t="inlineStr">
        <is>
          <t>ver</t>
        </is>
      </c>
    </row>
    <row r="192">
      <c r="A192" s="15" t="n">
        <v>46313</v>
      </c>
      <c r="B192" s="5" t="inlineStr">
        <is>
          <t>eBay</t>
        </is>
      </c>
      <c r="C192" s="5" t="inlineStr">
        <is>
          <t>Corsair Vengeance RGB DDR5 32GB (2x16) 5600</t>
        </is>
      </c>
      <c r="D192" s="5" t="inlineStr">
        <is>
          <t>nuevo</t>
        </is>
      </c>
      <c r="E192" s="11" t="n">
        <v>429.97</v>
      </c>
      <c r="F192" s="5" t="inlineStr">
        <is>
          <t>USD</t>
        </is>
      </c>
      <c r="G192" s="5" t="inlineStr">
        <is>
          <t>eBay API; vendedor uventure 99.7%; NEW 32GB (2x16GB) Corsair Vengeance DDR5 PC5-5600 Desktop RA</t>
        </is>
      </c>
      <c r="H192" s="6" t="inlineStr">
        <is>
          <t>ver</t>
        </is>
      </c>
    </row>
    <row r="193">
      <c r="A193" s="15" t="n">
        <v>46313</v>
      </c>
      <c r="B193" s="5" t="inlineStr">
        <is>
          <t>eBay</t>
        </is>
      </c>
      <c r="C193" s="5" t="inlineStr">
        <is>
          <t>Corsair Vengeance RGB DDR5 32GB (2x16) 6000</t>
        </is>
      </c>
      <c r="D193" s="5" t="inlineStr">
        <is>
          <t>nuevo</t>
        </is>
      </c>
      <c r="E193" s="11" t="n">
        <v>450</v>
      </c>
      <c r="F193" s="5" t="inlineStr">
        <is>
          <t>USD</t>
        </is>
      </c>
      <c r="G193" s="5" t="inlineStr">
        <is>
          <t>eBay API; vendedor kn32451 99.9%; CORSAIR Vengeance RGB 32GB (2x16GB) DDR5 6000MHz CL36 AMD EX</t>
        </is>
      </c>
      <c r="H193" s="6" t="inlineStr">
        <is>
          <t>ver</t>
        </is>
      </c>
    </row>
    <row r="194">
      <c r="A194" s="15" t="n">
        <v>46313</v>
      </c>
      <c r="B194" s="5" t="inlineStr">
        <is>
          <t>eBay</t>
        </is>
      </c>
      <c r="C194" s="5" t="inlineStr">
        <is>
          <t>RAM DDR4 16GB (2x8) 3200</t>
        </is>
      </c>
      <c r="D194" s="5" t="inlineStr">
        <is>
          <t>nuevo</t>
        </is>
      </c>
      <c r="E194" s="11" t="n">
        <v>118.96</v>
      </c>
      <c r="F194" s="5" t="inlineStr">
        <is>
          <t>USD</t>
        </is>
      </c>
      <c r="G194" s="5" t="inlineStr">
        <is>
          <t xml:space="preserve">eBay API; vendedor bike_fix 99.0%; T-Force Vulcan Z DDR4 RAM 16GB (2x8GB) 3200MHz CL16 Desktop </t>
        </is>
      </c>
      <c r="H194" s="6" t="inlineStr">
        <is>
          <t>ver</t>
        </is>
      </c>
    </row>
    <row r="195">
      <c r="A195" s="15" t="n">
        <v>46313</v>
      </c>
      <c r="B195" s="5" t="inlineStr">
        <is>
          <t>eBay</t>
        </is>
      </c>
      <c r="C195" s="5" t="inlineStr">
        <is>
          <t>SSD NVMe 1TB</t>
        </is>
      </c>
      <c r="D195" s="5" t="inlineStr">
        <is>
          <t>nuevo</t>
        </is>
      </c>
      <c r="E195" s="11" t="n">
        <v>93.5</v>
      </c>
      <c r="F195" s="5" t="inlineStr">
        <is>
          <t>USD</t>
        </is>
      </c>
      <c r="G195" s="5" t="inlineStr">
        <is>
          <t>eBay API; vendedor danche1978 99.4%; MP33 1TB SLC Cache 3D NAND TLC Nvme 1.3 Pcie Gen3X4 M.2 2280</t>
        </is>
      </c>
      <c r="H195" s="6" t="inlineStr">
        <is>
          <t>ver</t>
        </is>
      </c>
    </row>
    <row r="196">
      <c r="A196" s="15" t="n">
        <v>46313</v>
      </c>
      <c r="B196" s="5" t="inlineStr">
        <is>
          <t>eBay</t>
        </is>
      </c>
      <c r="C196" s="5" t="inlineStr">
        <is>
          <t>SSD NVMe 2TB</t>
        </is>
      </c>
      <c r="D196" s="5" t="inlineStr">
        <is>
          <t>nuevo</t>
        </is>
      </c>
      <c r="E196" s="11" t="n">
        <v>209.99</v>
      </c>
      <c r="F196" s="5" t="inlineStr">
        <is>
          <t>USD</t>
        </is>
      </c>
      <c r="G196" s="5" t="inlineStr">
        <is>
          <t>eBay API; vendedor ram_technologies 100.0%; RAM Tech 2TB NVMe SSD Gen4 M.2 2280 | 5000MB/s Read 4500MB/s</t>
        </is>
      </c>
      <c r="H196" s="6" t="inlineStr">
        <is>
          <t>ver</t>
        </is>
      </c>
    </row>
    <row r="197">
      <c r="A197" s="15" t="n">
        <v>46313</v>
      </c>
      <c r="B197" s="5" t="inlineStr">
        <is>
          <t>eBay</t>
        </is>
      </c>
      <c r="C197" s="5" t="inlineStr">
        <is>
          <t>Ryzen 5 5600</t>
        </is>
      </c>
      <c r="D197" s="5" t="inlineStr">
        <is>
          <t>usado</t>
        </is>
      </c>
      <c r="E197" s="11" t="n">
        <v>129.99</v>
      </c>
      <c r="F197" s="5" t="inlineStr">
        <is>
          <t>USD</t>
        </is>
      </c>
      <c r="G197" s="5" t="inlineStr">
        <is>
          <t>eBay API; vendedor paymore_sugar_land 99.4%; AMD Ryzen 5 5600 3.50GHz 6 Core 100-000000927 12 Thread AM4</t>
        </is>
      </c>
      <c r="H197" s="6" t="inlineStr">
        <is>
          <t>ver</t>
        </is>
      </c>
    </row>
    <row r="198">
      <c r="A198" s="15" t="n">
        <v>46313</v>
      </c>
      <c r="B198" s="5" t="inlineStr">
        <is>
          <t>eBay</t>
        </is>
      </c>
      <c r="C198" s="5" t="inlineStr">
        <is>
          <t>Ryzen 7 5700X3D</t>
        </is>
      </c>
      <c r="D198" s="5" t="inlineStr">
        <is>
          <t>usado</t>
        </is>
      </c>
      <c r="E198" s="11" t="n">
        <v>315</v>
      </c>
      <c r="F198" s="5" t="inlineStr">
        <is>
          <t>USD</t>
        </is>
      </c>
      <c r="G198" s="5" t="inlineStr">
        <is>
          <t>eBay API; vendedor senshi-gamer 100.0%; AMD Ryzen 7 5700X3D Desktop CPU Processor 3.0GHz, 8-Core, 16; envío no indicado</t>
        </is>
      </c>
      <c r="H198" s="6" t="inlineStr">
        <is>
          <t>ver</t>
        </is>
      </c>
    </row>
    <row r="199">
      <c r="A199" s="15" t="n">
        <v>46313</v>
      </c>
      <c r="B199" s="5" t="inlineStr">
        <is>
          <t>eBay</t>
        </is>
      </c>
      <c r="C199" s="5" t="inlineStr">
        <is>
          <t>Ryzen 5 7600</t>
        </is>
      </c>
      <c r="D199" s="5" t="inlineStr">
        <is>
          <t>usado</t>
        </is>
      </c>
      <c r="E199" s="11" t="n">
        <v>120</v>
      </c>
      <c r="F199" s="5" t="inlineStr">
        <is>
          <t>USD</t>
        </is>
      </c>
      <c r="G199" s="5" t="inlineStr">
        <is>
          <t>eBay API; vendedor shenidss9ckq 99.1%; AMD Ryzen 5 7600 3.80GHz 6 Core 100-000001015 12 Thread AM5</t>
        </is>
      </c>
      <c r="H199" s="6" t="inlineStr">
        <is>
          <t>ver</t>
        </is>
      </c>
    </row>
    <row r="200">
      <c r="A200" s="15" t="n">
        <v>46313</v>
      </c>
      <c r="B200" s="5" t="inlineStr">
        <is>
          <t>eBay</t>
        </is>
      </c>
      <c r="C200" s="5" t="inlineStr">
        <is>
          <t>Ryzen 7 7800X3D</t>
        </is>
      </c>
      <c r="D200" s="5" t="inlineStr">
        <is>
          <t>usado</t>
        </is>
      </c>
      <c r="E200" s="11" t="n">
        <v>289.99</v>
      </c>
      <c r="F200" s="5" t="inlineStr">
        <is>
          <t>USD</t>
        </is>
      </c>
      <c r="G200" s="5" t="inlineStr">
        <is>
          <t>eBay API; vendedor paymore_gurnee 99.7%; AMD Ryzen 7 7800X3D 4.20GHz 8 Core 100-000000910 16 Thread A</t>
        </is>
      </c>
      <c r="H200" s="6" t="inlineStr">
        <is>
          <t>ver</t>
        </is>
      </c>
    </row>
    <row r="201">
      <c r="A201" s="15" t="n">
        <v>46313</v>
      </c>
      <c r="B201" s="5" t="inlineStr">
        <is>
          <t>eBay</t>
        </is>
      </c>
      <c r="C201" s="5" t="inlineStr">
        <is>
          <t>Ryzen 9 9950X</t>
        </is>
      </c>
      <c r="D201" s="5" t="inlineStr">
        <is>
          <t>usado</t>
        </is>
      </c>
      <c r="E201" s="11" t="n">
        <v>454.99</v>
      </c>
      <c r="F201" s="5" t="inlineStr">
        <is>
          <t>USD</t>
        </is>
      </c>
      <c r="G201" s="5" t="inlineStr">
        <is>
          <t>eBay API; vendedor goodios_direct 99.6%; **  AMD Ryzen 9 9950X Processor - USED  **</t>
        </is>
      </c>
      <c r="H201" s="6" t="inlineStr">
        <is>
          <t>ver</t>
        </is>
      </c>
    </row>
    <row r="202">
      <c r="A202" s="15" t="n">
        <v>46313</v>
      </c>
      <c r="B202" s="5" t="inlineStr">
        <is>
          <t>eBay</t>
        </is>
      </c>
      <c r="C202" s="5" t="inlineStr">
        <is>
          <t>Intel Core i5-12400F</t>
        </is>
      </c>
      <c r="D202" s="5" t="inlineStr">
        <is>
          <t>usado</t>
        </is>
      </c>
      <c r="E202" s="11" t="n">
        <v>124.99</v>
      </c>
      <c r="F202" s="5" t="inlineStr">
        <is>
          <t>USD</t>
        </is>
      </c>
      <c r="G202" s="5" t="inlineStr">
        <is>
          <t>eBay API; vendedor silencedpp7 100.0%; Intel Core i5-12400F 2.50GHz 6 Core SRL4W 12 Thread LGA 1700; envío no indicado</t>
        </is>
      </c>
      <c r="H202" s="6" t="inlineStr">
        <is>
          <t>ver</t>
        </is>
      </c>
    </row>
    <row r="203">
      <c r="A203" s="15" t="n">
        <v>46313</v>
      </c>
      <c r="B203" s="5" t="inlineStr">
        <is>
          <t>eBay</t>
        </is>
      </c>
      <c r="C203" s="5" t="inlineStr">
        <is>
          <t>Intel Core i5-13400</t>
        </is>
      </c>
      <c r="D203" s="5" t="inlineStr">
        <is>
          <t>usado</t>
        </is>
      </c>
      <c r="E203" s="11" t="n">
        <v>125</v>
      </c>
      <c r="F203" s="5" t="inlineStr">
        <is>
          <t>USD</t>
        </is>
      </c>
      <c r="G203" s="5" t="inlineStr">
        <is>
          <t>eBay API; vendedor secure_processors 99.9%; Intel Core i5-13400 SRMBP</t>
        </is>
      </c>
      <c r="H203" s="6" t="inlineStr">
        <is>
          <t>ver</t>
        </is>
      </c>
    </row>
    <row r="204">
      <c r="A204" s="15" t="n">
        <v>46313</v>
      </c>
      <c r="B204" s="5" t="inlineStr">
        <is>
          <t>eBay</t>
        </is>
      </c>
      <c r="C204" s="5" t="inlineStr">
        <is>
          <t>Intel Core i5-14400F</t>
        </is>
      </c>
      <c r="D204" s="5" t="inlineStr">
        <is>
          <t>usado</t>
        </is>
      </c>
      <c r="E204" s="11" t="n">
        <v>139.99</v>
      </c>
      <c r="F204" s="5" t="inlineStr">
        <is>
          <t>USD</t>
        </is>
      </c>
      <c r="G204" s="5" t="inlineStr">
        <is>
          <t>eBay API; vendedor paymore_bustleton 99.4%; Intel Core i5-14400F 2.50GHz 10 Core SRN3R 16 Thread LGA 170</t>
        </is>
      </c>
      <c r="H204" s="6" t="inlineStr">
        <is>
          <t>ver</t>
        </is>
      </c>
    </row>
    <row r="205">
      <c r="A205" s="15" t="n">
        <v>46313</v>
      </c>
      <c r="B205" s="5" t="inlineStr">
        <is>
          <t>eBay</t>
        </is>
      </c>
      <c r="C205" s="5" t="inlineStr">
        <is>
          <t>Intel Core Ultra 7 265K</t>
        </is>
      </c>
      <c r="D205" s="5" t="inlineStr">
        <is>
          <t>usado</t>
        </is>
      </c>
      <c r="E205" s="11" t="n">
        <v>209.68</v>
      </c>
      <c r="F205" s="5" t="inlineStr">
        <is>
          <t>USD</t>
        </is>
      </c>
      <c r="G205" s="5" t="inlineStr">
        <is>
          <t>eBay API; vendedor ericsites 100.0%; Intel Core Ultra 7 265K Desktop Processor, 20 Cores, 3.3 GHz</t>
        </is>
      </c>
      <c r="H205" s="6" t="inlineStr">
        <is>
          <t>ver</t>
        </is>
      </c>
    </row>
    <row r="206">
      <c r="A206" s="15" t="n">
        <v>46313</v>
      </c>
      <c r="B206" s="5" t="inlineStr">
        <is>
          <t>eBay</t>
        </is>
      </c>
      <c r="C206" s="5" t="inlineStr">
        <is>
          <t>Corsair Vengeance RGB DDR5 32GB (2x16) 5600</t>
        </is>
      </c>
      <c r="D206" s="5" t="inlineStr">
        <is>
          <t>usado</t>
        </is>
      </c>
      <c r="E206" s="11" t="n">
        <v>379.99</v>
      </c>
      <c r="F206" s="5" t="inlineStr">
        <is>
          <t>USD</t>
        </is>
      </c>
      <c r="G206" s="5" t="inlineStr">
        <is>
          <t>eBay API; vendedor nn-red 100.0%; Corsair Vengeance RGB Pro 32GB (2x16GB) RAM DDR5 5600MHz CMH; envío no indicado</t>
        </is>
      </c>
      <c r="H206" s="6" t="inlineStr">
        <is>
          <t>ver</t>
        </is>
      </c>
    </row>
    <row r="207">
      <c r="A207" s="15" t="n">
        <v>46313</v>
      </c>
      <c r="B207" s="5" t="inlineStr">
        <is>
          <t>eBay</t>
        </is>
      </c>
      <c r="C207" s="5" t="inlineStr">
        <is>
          <t>Corsair Vengeance RGB DDR5 32GB (2x16) 6000</t>
        </is>
      </c>
      <c r="D207" s="5" t="inlineStr">
        <is>
          <t>usado</t>
        </is>
      </c>
      <c r="E207" s="11" t="n">
        <v>419.99</v>
      </c>
      <c r="F207" s="5" t="inlineStr">
        <is>
          <t>USD</t>
        </is>
      </c>
      <c r="G207" s="5" t="inlineStr">
        <is>
          <t>eBay API; vendedor wazno 99.7%; Corsair Vengeance RGB 32GB 2x16GB DDR5 RAM 6000MHz CMH32GX5M</t>
        </is>
      </c>
      <c r="H207" s="6" t="inlineStr">
        <is>
          <t>ver</t>
        </is>
      </c>
    </row>
    <row r="208">
      <c r="A208" s="15" t="n">
        <v>46313</v>
      </c>
      <c r="B208" s="5" t="inlineStr">
        <is>
          <t>eBay</t>
        </is>
      </c>
      <c r="C208" s="5" t="inlineStr">
        <is>
          <t>RAM DDR4 16GB (2x8) 3200</t>
        </is>
      </c>
      <c r="D208" s="5" t="inlineStr">
        <is>
          <t>usado</t>
        </is>
      </c>
      <c r="E208" s="11" t="n">
        <v>72.95</v>
      </c>
      <c r="F208" s="5" t="inlineStr">
        <is>
          <t>USD</t>
        </is>
      </c>
      <c r="G208" s="5" t="inlineStr">
        <is>
          <t>eBay API; vendedor lmunaco91 98.5%; G.SKILL RipJaws V DDR4-3200 16GB (2x8GB) DIMM Desktop RAM; envío no indicado</t>
        </is>
      </c>
      <c r="H208" s="6" t="inlineStr">
        <is>
          <t>ver</t>
        </is>
      </c>
    </row>
    <row r="209">
      <c r="A209" s="15" t="n">
        <v>46313</v>
      </c>
      <c r="B209" s="5" t="inlineStr">
        <is>
          <t>eBay</t>
        </is>
      </c>
      <c r="C209" s="5" t="inlineStr">
        <is>
          <t>SSD NVMe 1TB</t>
        </is>
      </c>
      <c r="D209" s="5" t="inlineStr">
        <is>
          <t>usado</t>
        </is>
      </c>
      <c r="E209" s="11" t="n">
        <v>96.94</v>
      </c>
      <c r="F209" s="5" t="inlineStr">
        <is>
          <t>USD</t>
        </is>
      </c>
      <c r="G209" s="5" t="inlineStr">
        <is>
          <t>eBay API; vendedor sellyourgadgetssodo 99.5%; KingSpec NE-1TB 2280 M.2 NVMe Solid State Drive Used With Bo</t>
        </is>
      </c>
      <c r="H209" s="6" t="inlineStr">
        <is>
          <t>ver</t>
        </is>
      </c>
    </row>
    <row r="210">
      <c r="A210" s="15" t="n">
        <v>46313</v>
      </c>
      <c r="B210" s="5" t="inlineStr">
        <is>
          <t>eBay</t>
        </is>
      </c>
      <c r="C210" s="5" t="inlineStr">
        <is>
          <t>SSD NVMe 2TB</t>
        </is>
      </c>
      <c r="D210" s="5" t="inlineStr">
        <is>
          <t>usado</t>
        </is>
      </c>
      <c r="E210" s="11" t="n">
        <v>160</v>
      </c>
      <c r="F210" s="5" t="inlineStr">
        <is>
          <t>USD</t>
        </is>
      </c>
      <c r="G210" s="5" t="inlineStr">
        <is>
          <t>eBay API; vendedor irefurbish-cincinnati 100.0%; KingSpec 2tb Nvme Ssd 4x4; envío no indicado</t>
        </is>
      </c>
      <c r="H210" s="6" t="inlineStr">
        <is>
          <t>ver</t>
        </is>
      </c>
    </row>
    <row r="211">
      <c r="A211" s="15" t="n">
        <v>46314</v>
      </c>
      <c r="B211" s="5" t="inlineStr">
        <is>
          <t>eBay</t>
        </is>
      </c>
      <c r="C211" s="5" t="inlineStr">
        <is>
          <t>Ryzen 5 5600</t>
        </is>
      </c>
      <c r="D211" s="5" t="inlineStr">
        <is>
          <t>nuevo</t>
        </is>
      </c>
      <c r="E211" s="11" t="n">
        <v>138.9</v>
      </c>
      <c r="F211" s="5" t="inlineStr">
        <is>
          <t>USD</t>
        </is>
      </c>
      <c r="G211" s="5" t="inlineStr">
        <is>
          <t>eBay API; vendedor 3c_wholesaler 99.1%; (New) AMD Ryzen 5 5600 Vermeer Zen3 6-Core 12-Thread AM4 CPU</t>
        </is>
      </c>
      <c r="H211" s="6" t="inlineStr">
        <is>
          <t>ver</t>
        </is>
      </c>
    </row>
    <row r="212">
      <c r="A212" s="15" t="n">
        <v>46314</v>
      </c>
      <c r="B212" s="5" t="inlineStr">
        <is>
          <t>eBay</t>
        </is>
      </c>
      <c r="C212" s="5" t="inlineStr">
        <is>
          <t>Ryzen 5 7600</t>
        </is>
      </c>
      <c r="D212" s="5" t="inlineStr">
        <is>
          <t>nuevo</t>
        </is>
      </c>
      <c r="E212" s="11" t="n">
        <v>140.26</v>
      </c>
      <c r="F212" s="5" t="inlineStr">
        <is>
          <t>USD</t>
        </is>
      </c>
      <c r="G212" s="5" t="inlineStr">
        <is>
          <t>eBay Chrome 19/10 10:40: anuncio activo de Silaxon_Electronics 99.6% (20.397 valoraciones), Nuevo, envío gratis, ubicado en NJ, verificado en la página y en búsqueda; la API traía 213.95 (bra_dewaa 99.8%) y el 140.26 apareció después (anuncio nuevo)</t>
        </is>
      </c>
      <c r="H212" s="6" t="inlineStr">
        <is>
          <t>ver</t>
        </is>
      </c>
    </row>
    <row r="213">
      <c r="A213" s="15" t="n">
        <v>46314</v>
      </c>
      <c r="B213" s="5" t="inlineStr">
        <is>
          <t>eBay</t>
        </is>
      </c>
      <c r="C213" s="5" t="inlineStr">
        <is>
          <t>Ryzen 7 7800X3D</t>
        </is>
      </c>
      <c r="D213" s="5" t="inlineStr">
        <is>
          <t>nuevo</t>
        </is>
      </c>
      <c r="E213" s="11" t="n">
        <v>324.99</v>
      </c>
      <c r="F213" s="5" t="inlineStr">
        <is>
          <t>USD</t>
        </is>
      </c>
      <c r="G213" s="5" t="inlineStr">
        <is>
          <t>eBay API; vendedor geoelectronics7 99.4%; AMD Ryzen 7 7800X3D 100-00000910 - Processor No Cooler</t>
        </is>
      </c>
      <c r="H213" s="6" t="inlineStr">
        <is>
          <t>ver</t>
        </is>
      </c>
    </row>
    <row r="214">
      <c r="A214" s="15" t="n">
        <v>46314</v>
      </c>
      <c r="B214" s="5" t="inlineStr">
        <is>
          <t>eBay</t>
        </is>
      </c>
      <c r="C214" s="5" t="inlineStr">
        <is>
          <t>Ryzen 9 9950X</t>
        </is>
      </c>
      <c r="D214" s="5" t="inlineStr">
        <is>
          <t>nuevo</t>
        </is>
      </c>
      <c r="E214" s="11" t="n">
        <v>549.99</v>
      </c>
      <c r="F214" s="5" t="inlineStr">
        <is>
          <t>USD</t>
        </is>
      </c>
      <c r="G214" s="5" t="inlineStr">
        <is>
          <t>eBay API; vendedor newegg 99.6%; AMD Ryzen 9 9950X - Ryzen 9 9000 Series Granite Ridge (Zen 5</t>
        </is>
      </c>
      <c r="H214" s="6" t="inlineStr">
        <is>
          <t>ver</t>
        </is>
      </c>
    </row>
    <row r="215">
      <c r="A215" s="15" t="n">
        <v>46314</v>
      </c>
      <c r="B215" s="5" t="inlineStr">
        <is>
          <t>eBay</t>
        </is>
      </c>
      <c r="C215" s="5" t="inlineStr">
        <is>
          <t>Intel Core i5-12400F</t>
        </is>
      </c>
      <c r="D215" s="5" t="inlineStr">
        <is>
          <t>nuevo</t>
        </is>
      </c>
      <c r="E215" s="11" t="n">
        <v>150</v>
      </c>
      <c r="F215" s="5" t="inlineStr">
        <is>
          <t>USD</t>
        </is>
      </c>
      <c r="G215" s="5" t="inlineStr">
        <is>
          <t>eBay API; vendedor algonz1137 100.0%; INTEL CPU Core i5-12400F / 6/12 / 2.5GHz / 6xxChipset / BX80; envío no indicado</t>
        </is>
      </c>
      <c r="H215" s="6" t="inlineStr">
        <is>
          <t>ver</t>
        </is>
      </c>
    </row>
    <row r="216">
      <c r="A216" s="15" t="n">
        <v>46314</v>
      </c>
      <c r="B216" s="5" t="inlineStr">
        <is>
          <t>eBay</t>
        </is>
      </c>
      <c r="C216" s="5" t="inlineStr">
        <is>
          <t>Intel Core i5-14400F</t>
        </is>
      </c>
      <c r="D216" s="5" t="inlineStr">
        <is>
          <t>nuevo</t>
        </is>
      </c>
      <c r="E216" s="11" t="n">
        <v>164.49</v>
      </c>
      <c r="F216" s="5" t="inlineStr">
        <is>
          <t>USD</t>
        </is>
      </c>
      <c r="G216" s="5" t="inlineStr">
        <is>
          <t xml:space="preserve">eBay API; vendedor newegg 99.6%; Intel Core i5-14400F - Core i5 14th Gen Raptor Lake 10-Core </t>
        </is>
      </c>
      <c r="H216" s="6" t="inlineStr">
        <is>
          <t>ver</t>
        </is>
      </c>
    </row>
    <row r="217">
      <c r="A217" s="15" t="n">
        <v>46314</v>
      </c>
      <c r="B217" s="5" t="inlineStr">
        <is>
          <t>eBay</t>
        </is>
      </c>
      <c r="C217" s="5" t="inlineStr">
        <is>
          <t>Intel Core Ultra 7 265K</t>
        </is>
      </c>
      <c r="D217" s="5" t="inlineStr">
        <is>
          <t>nuevo</t>
        </is>
      </c>
      <c r="E217" s="11" t="n">
        <v>235.27</v>
      </c>
      <c r="F217" s="5" t="inlineStr">
        <is>
          <t>USD</t>
        </is>
      </c>
      <c r="G217" s="5" t="inlineStr">
        <is>
          <t>eBay API; vendedor jos-980836 100.0%; Intel Core ULTRA 7 265K LGA 1851 Unlocked, 20 cores.</t>
        </is>
      </c>
      <c r="H217" s="6" t="inlineStr">
        <is>
          <t>ver</t>
        </is>
      </c>
    </row>
    <row r="218">
      <c r="A218" s="15" t="n">
        <v>46314</v>
      </c>
      <c r="B218" s="5" t="inlineStr">
        <is>
          <t>eBay</t>
        </is>
      </c>
      <c r="C218" s="5" t="inlineStr">
        <is>
          <t>Corsair Vengeance RGB DDR5 32GB (2x16) 5600</t>
        </is>
      </c>
      <c r="D218" s="5" t="inlineStr">
        <is>
          <t>nuevo</t>
        </is>
      </c>
      <c r="E218" s="11" t="n">
        <v>429.97</v>
      </c>
      <c r="F218" s="5" t="inlineStr">
        <is>
          <t>USD</t>
        </is>
      </c>
      <c r="G218" s="5" t="inlineStr">
        <is>
          <t>eBay API; vendedor uventure 99.7%; NEW 32GB (2x16GB) Corsair Vengeance DDR5 PC5-5600 Desktop RA</t>
        </is>
      </c>
      <c r="H218" s="6" t="inlineStr">
        <is>
          <t>ver</t>
        </is>
      </c>
    </row>
    <row r="219">
      <c r="A219" s="15" t="n">
        <v>46314</v>
      </c>
      <c r="B219" s="5" t="inlineStr">
        <is>
          <t>eBay</t>
        </is>
      </c>
      <c r="C219" s="5" t="inlineStr">
        <is>
          <t>Corsair Vengeance RGB DDR5 32GB (2x16) 6000</t>
        </is>
      </c>
      <c r="D219" s="5" t="inlineStr">
        <is>
          <t>nuevo</t>
        </is>
      </c>
      <c r="E219" s="11" t="n">
        <v>450</v>
      </c>
      <c r="F219" s="5" t="inlineStr">
        <is>
          <t>USD</t>
        </is>
      </c>
      <c r="G219" s="5" t="inlineStr">
        <is>
          <t>eBay API; vendedor kn32451 99.9%; CORSAIR Vengeance RGB 32GB (2x16GB) DDR5 6000MHz CL36 AMD EX</t>
        </is>
      </c>
      <c r="H219" s="6" t="inlineStr">
        <is>
          <t>ver</t>
        </is>
      </c>
    </row>
    <row r="220">
      <c r="A220" s="15" t="n">
        <v>46314</v>
      </c>
      <c r="B220" s="5" t="inlineStr">
        <is>
          <t>eBay</t>
        </is>
      </c>
      <c r="C220" s="5" t="inlineStr">
        <is>
          <t>RAM DDR4 16GB (2x8) 3200</t>
        </is>
      </c>
      <c r="D220" s="5" t="inlineStr">
        <is>
          <t>nuevo</t>
        </is>
      </c>
      <c r="E220" s="11" t="n">
        <v>118.96</v>
      </c>
      <c r="F220" s="5" t="inlineStr">
        <is>
          <t>USD</t>
        </is>
      </c>
      <c r="G220" s="5" t="inlineStr">
        <is>
          <t xml:space="preserve">eBay API; vendedor bike_fix 99.0%; T-Force Vulcan Z DDR4 RAM 16GB (2x8GB) 3200MHz CL16 Desktop </t>
        </is>
      </c>
      <c r="H220" s="6" t="inlineStr">
        <is>
          <t>ver</t>
        </is>
      </c>
    </row>
    <row r="221">
      <c r="A221" s="15" t="n">
        <v>46314</v>
      </c>
      <c r="B221" s="5" t="inlineStr">
        <is>
          <t>eBay</t>
        </is>
      </c>
      <c r="C221" s="5" t="inlineStr">
        <is>
          <t>SSD NVMe 1TB</t>
        </is>
      </c>
      <c r="D221" s="5" t="inlineStr">
        <is>
          <t>nuevo</t>
        </is>
      </c>
      <c r="E221" s="11" t="n">
        <v>117.94</v>
      </c>
      <c r="F221" s="5" t="inlineStr">
        <is>
          <t>USD</t>
        </is>
      </c>
      <c r="G221" s="5" t="inlineStr">
        <is>
          <t>eBay API; vendedor sellyourgadgetssodo 99.5%; KingSpec NE-1TB 2280 M.2 NVMe 1TB New In Box</t>
        </is>
      </c>
      <c r="H221" s="6" t="inlineStr">
        <is>
          <t>ver</t>
        </is>
      </c>
    </row>
    <row r="222">
      <c r="A222" s="15" t="n">
        <v>46314</v>
      </c>
      <c r="B222" s="5" t="inlineStr">
        <is>
          <t>eBay</t>
        </is>
      </c>
      <c r="C222" s="5" t="inlineStr">
        <is>
          <t>SSD NVMe 2TB</t>
        </is>
      </c>
      <c r="D222" s="5" t="inlineStr">
        <is>
          <t>nuevo</t>
        </is>
      </c>
      <c r="E222" s="11" t="n">
        <v>209.99</v>
      </c>
      <c r="F222" s="5" t="inlineStr">
        <is>
          <t>USD</t>
        </is>
      </c>
      <c r="G222" s="5" t="inlineStr">
        <is>
          <t>eBay API; vendedor ram_technologies 100.0%; RAM Tech 2TB NVMe SSD Gen4 M.2 2280 | 5000MB/s Read 4500MB/s</t>
        </is>
      </c>
      <c r="H222" s="6" t="inlineStr">
        <is>
          <t>ver</t>
        </is>
      </c>
    </row>
    <row r="223">
      <c r="A223" s="15" t="n">
        <v>46314</v>
      </c>
      <c r="B223" s="5" t="inlineStr">
        <is>
          <t>eBay</t>
        </is>
      </c>
      <c r="C223" s="5" t="inlineStr">
        <is>
          <t>Ryzen 5 5600</t>
        </is>
      </c>
      <c r="D223" s="5" t="inlineStr">
        <is>
          <t>usado</t>
        </is>
      </c>
      <c r="E223" s="11" t="n">
        <v>107.99</v>
      </c>
      <c r="F223" s="5" t="inlineStr">
        <is>
          <t>USD</t>
        </is>
      </c>
      <c r="G223" s="5" t="inlineStr">
        <is>
          <t>eBay API; vendedor jb.sales 99.2%; AMD Ryzen 5 5600 6-Core 12-Thread Unlocked Desktop Processor</t>
        </is>
      </c>
      <c r="H223" s="6" t="inlineStr">
        <is>
          <t>ver</t>
        </is>
      </c>
    </row>
    <row r="224">
      <c r="A224" s="15" t="n">
        <v>46314</v>
      </c>
      <c r="B224" s="5" t="inlineStr">
        <is>
          <t>eBay</t>
        </is>
      </c>
      <c r="C224" s="5" t="inlineStr">
        <is>
          <t>Ryzen 7 5700X3D</t>
        </is>
      </c>
      <c r="D224" s="5" t="inlineStr">
        <is>
          <t>usado</t>
        </is>
      </c>
      <c r="E224" s="11" t="n">
        <v>336</v>
      </c>
      <c r="F224" s="5" t="inlineStr">
        <is>
          <t>USD</t>
        </is>
      </c>
      <c r="G224" s="5" t="inlineStr">
        <is>
          <t>eBay API; vendedor jariah_tomko 100.0%; AMD Ryzen 7 5700X3D 8-Core 16-Thread AM4 CPU | 96MB 3D V-Cac; envío no indicado</t>
        </is>
      </c>
      <c r="H224" s="6" t="inlineStr">
        <is>
          <t>ver</t>
        </is>
      </c>
    </row>
    <row r="225">
      <c r="A225" s="15" t="n">
        <v>46314</v>
      </c>
      <c r="B225" s="5" t="inlineStr">
        <is>
          <t>eBay</t>
        </is>
      </c>
      <c r="C225" s="5" t="inlineStr">
        <is>
          <t>Ryzen 5 7600</t>
        </is>
      </c>
      <c r="D225" s="5" t="inlineStr">
        <is>
          <t>usado</t>
        </is>
      </c>
      <c r="E225" s="11" t="n">
        <v>120</v>
      </c>
      <c r="F225" s="5" t="inlineStr">
        <is>
          <t>USD</t>
        </is>
      </c>
      <c r="G225" s="5" t="inlineStr">
        <is>
          <t>eBay API; vendedor shenidss9ckq 99.1%; AMD Ryzen 5 7600 3.80GHz 6 Core 100-000001015 12 Thread AM5</t>
        </is>
      </c>
      <c r="H225" s="6" t="inlineStr">
        <is>
          <t>ver</t>
        </is>
      </c>
    </row>
    <row r="226">
      <c r="A226" s="15" t="n">
        <v>46314</v>
      </c>
      <c r="B226" s="5" t="inlineStr">
        <is>
          <t>eBay</t>
        </is>
      </c>
      <c r="C226" s="5" t="inlineStr">
        <is>
          <t>Ryzen 7 7800X3D</t>
        </is>
      </c>
      <c r="D226" s="5" t="inlineStr">
        <is>
          <t>usado</t>
        </is>
      </c>
      <c r="E226" s="11" t="n">
        <v>285</v>
      </c>
      <c r="F226" s="5" t="inlineStr">
        <is>
          <t>USD</t>
        </is>
      </c>
      <c r="G226" s="5" t="inlineStr">
        <is>
          <t>eBay API; vendedor dszpe 100.0%; AMD Ryzen 7 7800X3D 8-Cores 4.2GHz Socket AM5 Gaming CPU Pro; envío no indicado</t>
        </is>
      </c>
      <c r="H226" s="6" t="inlineStr">
        <is>
          <t>ver</t>
        </is>
      </c>
    </row>
    <row r="227">
      <c r="A227" s="15" t="n">
        <v>46314</v>
      </c>
      <c r="B227" s="5" t="inlineStr">
        <is>
          <t>eBay</t>
        </is>
      </c>
      <c r="C227" s="5" t="inlineStr">
        <is>
          <t>Ryzen 9 9950X</t>
        </is>
      </c>
      <c r="D227" s="5" t="inlineStr">
        <is>
          <t>usado</t>
        </is>
      </c>
      <c r="E227" s="11" t="n">
        <v>454.99</v>
      </c>
      <c r="F227" s="5" t="inlineStr">
        <is>
          <t>USD</t>
        </is>
      </c>
      <c r="G227" s="5" t="inlineStr">
        <is>
          <t>eBay API; vendedor goodios_direct 99.6%; **  AMD Ryzen 9 9950X Processor - USED  **</t>
        </is>
      </c>
      <c r="H227" s="6" t="inlineStr">
        <is>
          <t>ver</t>
        </is>
      </c>
    </row>
    <row r="228">
      <c r="A228" s="15" t="n">
        <v>46314</v>
      </c>
      <c r="B228" s="5" t="inlineStr">
        <is>
          <t>eBay</t>
        </is>
      </c>
      <c r="C228" s="5" t="inlineStr">
        <is>
          <t>Intel Core i5-12400F</t>
        </is>
      </c>
      <c r="D228" s="5" t="inlineStr">
        <is>
          <t>usado</t>
        </is>
      </c>
      <c r="E228" s="11" t="n">
        <v>124.99</v>
      </c>
      <c r="F228" s="5" t="inlineStr">
        <is>
          <t>USD</t>
        </is>
      </c>
      <c r="G228" s="5" t="inlineStr">
        <is>
          <t>eBay API; vendedor silencedpp7 100.0%; Intel Core i5-12400F 2.50GHz 6 Core SRL4W 12 Thread LGA 1700; envío no indicado</t>
        </is>
      </c>
      <c r="H228" s="6" t="inlineStr">
        <is>
          <t>ver</t>
        </is>
      </c>
    </row>
    <row r="229">
      <c r="A229" s="15" t="n">
        <v>46314</v>
      </c>
      <c r="B229" s="5" t="inlineStr">
        <is>
          <t>eBay</t>
        </is>
      </c>
      <c r="C229" s="5" t="inlineStr">
        <is>
          <t>Intel Core i5-13400</t>
        </is>
      </c>
      <c r="D229" s="5" t="inlineStr">
        <is>
          <t>usado</t>
        </is>
      </c>
      <c r="E229" s="11" t="n">
        <v>149.99</v>
      </c>
      <c r="F229" s="5" t="inlineStr">
        <is>
          <t>USD</t>
        </is>
      </c>
      <c r="G229" s="5" t="inlineStr">
        <is>
          <t>eBay API; vendedor techrec-recycling 99.6%; Intel Core i5-13400 2.50GHz 10-Core LGA1700 20MB Desktop Pro</t>
        </is>
      </c>
      <c r="H229" s="6" t="inlineStr">
        <is>
          <t>ver</t>
        </is>
      </c>
    </row>
    <row r="230">
      <c r="A230" s="15" t="n">
        <v>46314</v>
      </c>
      <c r="B230" s="5" t="inlineStr">
        <is>
          <t>eBay</t>
        </is>
      </c>
      <c r="C230" s="5" t="inlineStr">
        <is>
          <t>Intel Core i5-14400F</t>
        </is>
      </c>
      <c r="D230" s="5" t="inlineStr">
        <is>
          <t>usado</t>
        </is>
      </c>
      <c r="E230" s="11" t="n">
        <v>139.99</v>
      </c>
      <c r="F230" s="5" t="inlineStr">
        <is>
          <t>USD</t>
        </is>
      </c>
      <c r="G230" s="5" t="inlineStr">
        <is>
          <t>eBay API; vendedor paymore_bustleton 99.4%; Intel Core i5-14400F 2.50GHz 10 Core SRN3R 16 Thread LGA 170</t>
        </is>
      </c>
      <c r="H230" s="6" t="inlineStr">
        <is>
          <t>ver</t>
        </is>
      </c>
    </row>
    <row r="231">
      <c r="A231" s="15" t="n">
        <v>46314</v>
      </c>
      <c r="B231" s="5" t="inlineStr">
        <is>
          <t>eBay</t>
        </is>
      </c>
      <c r="C231" s="5" t="inlineStr">
        <is>
          <t>Intel Core Ultra 7 265K</t>
        </is>
      </c>
      <c r="D231" s="5" t="inlineStr">
        <is>
          <t>usado</t>
        </is>
      </c>
      <c r="E231" s="11" t="n">
        <v>239.99</v>
      </c>
      <c r="F231" s="5" t="inlineStr">
        <is>
          <t>USD</t>
        </is>
      </c>
      <c r="G231" s="5" t="inlineStr">
        <is>
          <t xml:space="preserve">eBay API; vendedor paymore_taylor 99.6%; Intel Core Ultra 7 265K 3.90GHz 20 Core SRQCW 20 Thread LGA </t>
        </is>
      </c>
      <c r="H231" s="6" t="inlineStr">
        <is>
          <t>ver</t>
        </is>
      </c>
    </row>
    <row r="232">
      <c r="A232" s="15" t="n">
        <v>46314</v>
      </c>
      <c r="B232" s="5" t="inlineStr">
        <is>
          <t>eBay</t>
        </is>
      </c>
      <c r="C232" s="5" t="inlineStr">
        <is>
          <t>Corsair Vengeance RGB DDR5 32GB (2x16) 5600</t>
        </is>
      </c>
      <c r="D232" s="5" t="inlineStr">
        <is>
          <t>usado</t>
        </is>
      </c>
      <c r="E232" s="11" t="n">
        <v>379.99</v>
      </c>
      <c r="F232" s="5" t="inlineStr">
        <is>
          <t>USD</t>
        </is>
      </c>
      <c r="G232" s="5" t="inlineStr">
        <is>
          <t>eBay API; vendedor nn-red 100.0%; Corsair Vengeance RGB Pro 32GB (2x16GB) RAM DDR5 5600MHz CMH; envío no indicado</t>
        </is>
      </c>
      <c r="H232" s="6" t="inlineStr">
        <is>
          <t>ver</t>
        </is>
      </c>
    </row>
    <row r="233">
      <c r="A233" s="15" t="n">
        <v>46314</v>
      </c>
      <c r="B233" s="5" t="inlineStr">
        <is>
          <t>eBay</t>
        </is>
      </c>
      <c r="C233" s="5" t="inlineStr">
        <is>
          <t>Corsair Vengeance RGB DDR5 32GB (2x16) 6000</t>
        </is>
      </c>
      <c r="D233" s="5" t="inlineStr">
        <is>
          <t>usado</t>
        </is>
      </c>
      <c r="E233" s="11" t="n">
        <v>419.99</v>
      </c>
      <c r="F233" s="5" t="inlineStr">
        <is>
          <t>USD</t>
        </is>
      </c>
      <c r="G233" s="5" t="inlineStr">
        <is>
          <t>eBay API; vendedor wazno 99.7%; Corsair Vengeance RGB 32GB 2x16GB DDR5 RAM 6000MHz CMH32GX5M</t>
        </is>
      </c>
      <c r="H233" s="6" t="inlineStr">
        <is>
          <t>ver</t>
        </is>
      </c>
    </row>
    <row r="234">
      <c r="A234" s="15" t="n">
        <v>46314</v>
      </c>
      <c r="B234" s="5" t="inlineStr">
        <is>
          <t>eBay</t>
        </is>
      </c>
      <c r="C234" s="5" t="inlineStr">
        <is>
          <t>RAM DDR4 16GB (2x8) 3200</t>
        </is>
      </c>
      <c r="D234" s="5" t="inlineStr">
        <is>
          <t>usado</t>
        </is>
      </c>
      <c r="E234" s="11" t="n">
        <v>69.98999999999999</v>
      </c>
      <c r="F234" s="5" t="inlineStr">
        <is>
          <t>USD</t>
        </is>
      </c>
      <c r="G234" s="5" t="inlineStr">
        <is>
          <t>eBay API; vendedor memory-eagle 99.8%; G.Skill Ripjaws V F4-3200C16D-16GVKB 16GB (2x8GB) DDR4 Deskt</t>
        </is>
      </c>
      <c r="H234" s="6" t="inlineStr">
        <is>
          <t>ver</t>
        </is>
      </c>
    </row>
    <row r="235">
      <c r="A235" s="15" t="n">
        <v>46314</v>
      </c>
      <c r="B235" s="5" t="inlineStr">
        <is>
          <t>eBay</t>
        </is>
      </c>
      <c r="C235" s="5" t="inlineStr">
        <is>
          <t>SSD NVMe 1TB</t>
        </is>
      </c>
      <c r="D235" s="5" t="inlineStr">
        <is>
          <t>usado</t>
        </is>
      </c>
      <c r="E235" s="11" t="n">
        <v>95</v>
      </c>
      <c r="F235" s="5" t="inlineStr">
        <is>
          <t>USD</t>
        </is>
      </c>
      <c r="G235" s="5" t="inlineStr">
        <is>
          <t>eBay API; vendedor fabulouscomputers 98.3%; 1tb ssd nvme; envío no indicado</t>
        </is>
      </c>
      <c r="H235" s="6" t="inlineStr">
        <is>
          <t>ver</t>
        </is>
      </c>
    </row>
    <row r="236">
      <c r="A236" s="15" t="n">
        <v>46314</v>
      </c>
      <c r="B236" s="5" t="inlineStr">
        <is>
          <t>eBay</t>
        </is>
      </c>
      <c r="C236" s="5" t="inlineStr">
        <is>
          <t>SSD NVMe 2TB</t>
        </is>
      </c>
      <c r="D236" s="5" t="inlineStr">
        <is>
          <t>usado</t>
        </is>
      </c>
      <c r="E236" s="11" t="n">
        <v>154.99</v>
      </c>
      <c r="F236" s="5" t="inlineStr">
        <is>
          <t>USD</t>
        </is>
      </c>
      <c r="G236" s="5" t="inlineStr">
        <is>
          <t>eBay API; vendedor nixs-surplus 100.0%; WD Black SN750 2TB NVMe PCIe3.0 M.2 2280 Internal SSD WDBRPG</t>
        </is>
      </c>
      <c r="H236" s="6" t="inlineStr">
        <is>
          <t>ver</t>
        </is>
      </c>
    </row>
    <row r="237">
      <c r="A237" s="15" t="n">
        <v>46315</v>
      </c>
      <c r="B237" s="5" t="inlineStr">
        <is>
          <t>eBay</t>
        </is>
      </c>
      <c r="C237" s="5" t="inlineStr">
        <is>
          <t>Ryzen 5 5600</t>
        </is>
      </c>
      <c r="D237" s="5" t="inlineStr">
        <is>
          <t>nuevo</t>
        </is>
      </c>
      <c r="E237" s="11" t="n">
        <v>138.9</v>
      </c>
      <c r="F237" s="5" t="inlineStr">
        <is>
          <t>USD</t>
        </is>
      </c>
      <c r="G237" s="5" t="inlineStr">
        <is>
          <t>eBay API; vendedor 3c_wholesaler 99.1%; (New) AMD Ryzen 5 5600 Vermeer Zen3 6-Core 12-Thread AM4 CPU</t>
        </is>
      </c>
      <c r="H237" s="6" t="inlineStr">
        <is>
          <t>ver</t>
        </is>
      </c>
    </row>
    <row r="238">
      <c r="A238" s="15" t="n">
        <v>46315</v>
      </c>
      <c r="B238" s="5" t="inlineStr">
        <is>
          <t>eBay</t>
        </is>
      </c>
      <c r="C238" s="5" t="inlineStr">
        <is>
          <t>Ryzen 5 7600</t>
        </is>
      </c>
      <c r="D238" s="5" t="inlineStr">
        <is>
          <t>nuevo</t>
        </is>
      </c>
      <c r="E238" s="11" t="n">
        <v>213.95</v>
      </c>
      <c r="F238" s="5" t="inlineStr">
        <is>
          <t>USD</t>
        </is>
      </c>
      <c r="G238" s="5" t="inlineStr">
        <is>
          <t>eBay API; vendedor bra_dewaa 99.7%; AMD Ryzen 5 7600 6-Core 12-Thread Unlocked Desktop Processor</t>
        </is>
      </c>
      <c r="H238" s="6" t="inlineStr">
        <is>
          <t>ver</t>
        </is>
      </c>
    </row>
    <row r="239">
      <c r="A239" s="15" t="n">
        <v>46315</v>
      </c>
      <c r="B239" s="5" t="inlineStr">
        <is>
          <t>eBay</t>
        </is>
      </c>
      <c r="C239" s="5" t="inlineStr">
        <is>
          <t>Ryzen 7 7800X3D</t>
        </is>
      </c>
      <c r="D239" s="5" t="inlineStr">
        <is>
          <t>nuevo</t>
        </is>
      </c>
      <c r="E239" s="11" t="n">
        <v>324.99</v>
      </c>
      <c r="F239" s="5" t="inlineStr">
        <is>
          <t>USD</t>
        </is>
      </c>
      <c r="G239" s="5" t="inlineStr">
        <is>
          <t>eBay API; vendedor geoelectronics7 99.4%; AMD Ryzen 7 7800X3D 100-00000910 - Processor No Cooler</t>
        </is>
      </c>
      <c r="H239" s="6" t="inlineStr">
        <is>
          <t>ver</t>
        </is>
      </c>
    </row>
    <row r="240">
      <c r="A240" s="15" t="n">
        <v>46315</v>
      </c>
      <c r="B240" s="5" t="inlineStr">
        <is>
          <t>eBay</t>
        </is>
      </c>
      <c r="C240" s="5" t="inlineStr">
        <is>
          <t>Ryzen 9 9950X</t>
        </is>
      </c>
      <c r="D240" s="5" t="inlineStr">
        <is>
          <t>nuevo</t>
        </is>
      </c>
      <c r="E240" s="11" t="n">
        <v>549.99</v>
      </c>
      <c r="F240" s="5" t="inlineStr">
        <is>
          <t>USD</t>
        </is>
      </c>
      <c r="G240" s="5" t="inlineStr">
        <is>
          <t>eBay API; vendedor newegg 99.6%; AMD Ryzen 9 9950X - Ryzen 9 9000 Series Granite Ridge (Zen 5</t>
        </is>
      </c>
      <c r="H240" s="6" t="inlineStr">
        <is>
          <t>ver</t>
        </is>
      </c>
    </row>
    <row r="241">
      <c r="A241" s="15" t="n">
        <v>46315</v>
      </c>
      <c r="B241" s="5" t="inlineStr">
        <is>
          <t>eBay</t>
        </is>
      </c>
      <c r="C241" s="5" t="inlineStr">
        <is>
          <t>Intel Core i5-12400F</t>
        </is>
      </c>
      <c r="D241" s="5" t="inlineStr">
        <is>
          <t>nuevo</t>
        </is>
      </c>
      <c r="E241" s="11" t="n">
        <v>150</v>
      </c>
      <c r="F241" s="5" t="inlineStr">
        <is>
          <t>USD</t>
        </is>
      </c>
      <c r="G241" s="5" t="inlineStr">
        <is>
          <t>eBay API; vendedor algonz1137 100.0%; INTEL CPU Core i5-12400F / 6/12 / 2.5GHz / 6xxChipset / BX80; envío no indicado</t>
        </is>
      </c>
      <c r="H241" s="6" t="inlineStr">
        <is>
          <t>ver</t>
        </is>
      </c>
    </row>
    <row r="242">
      <c r="A242" s="15" t="n">
        <v>46315</v>
      </c>
      <c r="B242" s="5" t="inlineStr">
        <is>
          <t>eBay</t>
        </is>
      </c>
      <c r="C242" s="5" t="inlineStr">
        <is>
          <t>Intel Core i5-14400F</t>
        </is>
      </c>
      <c r="D242" s="5" t="inlineStr">
        <is>
          <t>nuevo</t>
        </is>
      </c>
      <c r="E242" s="11" t="n">
        <v>164.49</v>
      </c>
      <c r="F242" s="5" t="inlineStr">
        <is>
          <t>USD</t>
        </is>
      </c>
      <c r="G242" s="5" t="inlineStr">
        <is>
          <t xml:space="preserve">eBay API; vendedor newegg 99.6%; Intel Core i5-14400F - Core i5 14th Gen Raptor Lake 10-Core </t>
        </is>
      </c>
      <c r="H242" s="6" t="inlineStr">
        <is>
          <t>ver</t>
        </is>
      </c>
    </row>
    <row r="243">
      <c r="A243" s="15" t="n">
        <v>46315</v>
      </c>
      <c r="B243" s="5" t="inlineStr">
        <is>
          <t>eBay</t>
        </is>
      </c>
      <c r="C243" s="5" t="inlineStr">
        <is>
          <t>Intel Core Ultra 7 265K</t>
        </is>
      </c>
      <c r="D243" s="5" t="inlineStr">
        <is>
          <t>nuevo</t>
        </is>
      </c>
      <c r="E243" s="11" t="n">
        <v>244.88</v>
      </c>
      <c r="F243" s="5" t="inlineStr">
        <is>
          <t>USD</t>
        </is>
      </c>
      <c r="G243" s="5" t="inlineStr">
        <is>
          <t>eBay API; vendedor astomore 100.0%; Intel Core Ultra 7 Processor 265K with 20 Cores and Up to 5.</t>
        </is>
      </c>
      <c r="H243" s="6" t="inlineStr">
        <is>
          <t>ver</t>
        </is>
      </c>
    </row>
    <row r="244">
      <c r="A244" s="15" t="n">
        <v>46315</v>
      </c>
      <c r="B244" s="5" t="inlineStr">
        <is>
          <t>eBay</t>
        </is>
      </c>
      <c r="C244" s="5" t="inlineStr">
        <is>
          <t>Corsair Vengeance RGB DDR5 32GB (2x16) 5600</t>
        </is>
      </c>
      <c r="D244" s="5" t="inlineStr">
        <is>
          <t>nuevo</t>
        </is>
      </c>
      <c r="E244" s="11" t="n">
        <v>479.99</v>
      </c>
      <c r="F244" s="5" t="inlineStr">
        <is>
          <t>USD</t>
        </is>
      </c>
      <c r="G244" s="5" t="inlineStr">
        <is>
          <t>eBay API; vendedor 2012roms 100.0%; Corsair Vengeance 32GB (2x16GB) DDR5 5600MHz CL36 Desktop RA; envío no indicado</t>
        </is>
      </c>
      <c r="H244" s="6" t="inlineStr">
        <is>
          <t>ver</t>
        </is>
      </c>
    </row>
    <row r="245">
      <c r="A245" s="15" t="n">
        <v>46315</v>
      </c>
      <c r="B245" s="5" t="inlineStr">
        <is>
          <t>eBay</t>
        </is>
      </c>
      <c r="C245" s="5" t="inlineStr">
        <is>
          <t>Corsair Vengeance RGB DDR5 32GB (2x16) 6000</t>
        </is>
      </c>
      <c r="D245" s="5" t="inlineStr">
        <is>
          <t>nuevo</t>
        </is>
      </c>
      <c r="E245" s="11" t="n">
        <v>444.99</v>
      </c>
      <c r="F245" s="5" t="inlineStr">
        <is>
          <t>USD</t>
        </is>
      </c>
      <c r="G245" s="5" t="inlineStr">
        <is>
          <t>eBay API; vendedor monksflips 99.8%; Corsair Vengeance RGB 32GB (2x16GB) RAM DDR5 6000MHz Z30K</t>
        </is>
      </c>
      <c r="H245" s="6" t="inlineStr">
        <is>
          <t>ver</t>
        </is>
      </c>
    </row>
    <row r="246">
      <c r="A246" s="15" t="n">
        <v>46315</v>
      </c>
      <c r="B246" s="5" t="inlineStr">
        <is>
          <t>eBay</t>
        </is>
      </c>
      <c r="C246" s="5" t="inlineStr">
        <is>
          <t>RAM DDR4 16GB (2x8) 3200</t>
        </is>
      </c>
      <c r="D246" s="5" t="inlineStr">
        <is>
          <t>nuevo</t>
        </is>
      </c>
      <c r="E246" s="11" t="n">
        <v>77.98999999999999</v>
      </c>
      <c r="F246" s="5" t="inlineStr">
        <is>
          <t>USD</t>
        </is>
      </c>
      <c r="G246" s="5" t="inlineStr">
        <is>
          <t>eBay API; vendedor supnahllc 99.8%; XPG 16GB 2X8GB 3200MHz DDR4 Kit-NEW; envío no indicado</t>
        </is>
      </c>
      <c r="H246" s="6" t="inlineStr">
        <is>
          <t>ver</t>
        </is>
      </c>
    </row>
    <row r="247">
      <c r="A247" s="15" t="n">
        <v>46315</v>
      </c>
      <c r="B247" s="5" t="inlineStr">
        <is>
          <t>eBay</t>
        </is>
      </c>
      <c r="C247" s="5" t="inlineStr">
        <is>
          <t>SSD NVMe 1TB</t>
        </is>
      </c>
      <c r="D247" s="5" t="inlineStr">
        <is>
          <t>nuevo</t>
        </is>
      </c>
      <c r="E247" s="11" t="n">
        <v>114.99</v>
      </c>
      <c r="F247" s="5" t="inlineStr">
        <is>
          <t>USD</t>
        </is>
      </c>
      <c r="G247" s="5" t="inlineStr">
        <is>
          <t>eBay API; vendedor gadgetworld03 98.9%; Derlar DN-850Q 1TB M.2 NVME PCIe 4.0 SSD - New</t>
        </is>
      </c>
      <c r="H247" s="6" t="inlineStr">
        <is>
          <t>ver</t>
        </is>
      </c>
    </row>
    <row r="248">
      <c r="A248" s="15" t="n">
        <v>46315</v>
      </c>
      <c r="B248" s="5" t="inlineStr">
        <is>
          <t>eBay</t>
        </is>
      </c>
      <c r="C248" s="5" t="inlineStr">
        <is>
          <t>SSD NVMe 2TB</t>
        </is>
      </c>
      <c r="D248" s="5" t="inlineStr">
        <is>
          <t>nuevo</t>
        </is>
      </c>
      <c r="E248" s="11" t="n">
        <v>163.11</v>
      </c>
      <c r="F248" s="5" t="inlineStr">
        <is>
          <t>USD</t>
        </is>
      </c>
      <c r="G248" s="5" t="inlineStr">
        <is>
          <t>eBay API; vendedor tratg 99.3%; SSD Internal Solid State Drive 2TB M.2 NVMe SSD 2280 - Up To</t>
        </is>
      </c>
      <c r="H248" s="6" t="inlineStr">
        <is>
          <t>ver</t>
        </is>
      </c>
    </row>
    <row r="249">
      <c r="A249" s="15" t="n">
        <v>46315</v>
      </c>
      <c r="B249" s="5" t="inlineStr">
        <is>
          <t>eBay</t>
        </is>
      </c>
      <c r="C249" s="5" t="inlineStr">
        <is>
          <t>Ryzen 5 5600</t>
        </is>
      </c>
      <c r="D249" s="5" t="inlineStr">
        <is>
          <t>usado</t>
        </is>
      </c>
      <c r="E249" s="11" t="n">
        <v>129.99</v>
      </c>
      <c r="F249" s="5" t="inlineStr">
        <is>
          <t>USD</t>
        </is>
      </c>
      <c r="G249" s="5" t="inlineStr">
        <is>
          <t>eBay API; vendedor paymore_cary 99.7%; AMD Ryzen 5 5600 3.50GHz 6 Core 100-000000927 12 Thread AM4</t>
        </is>
      </c>
      <c r="H249" s="6" t="inlineStr">
        <is>
          <t>ver</t>
        </is>
      </c>
    </row>
    <row r="250">
      <c r="A250" s="15" t="n">
        <v>46315</v>
      </c>
      <c r="B250" s="5" t="inlineStr">
        <is>
          <t>eBay</t>
        </is>
      </c>
      <c r="C250" s="5" t="inlineStr">
        <is>
          <t>Ryzen 7 5700X3D</t>
        </is>
      </c>
      <c r="D250" s="5" t="inlineStr">
        <is>
          <t>usado</t>
        </is>
      </c>
      <c r="E250" s="11" t="n">
        <v>336</v>
      </c>
      <c r="F250" s="5" t="inlineStr">
        <is>
          <t>USD</t>
        </is>
      </c>
      <c r="G250" s="5" t="inlineStr">
        <is>
          <t>eBay API; vendedor jariah_tomko 100.0%; AMD Ryzen 7 5700X3D 8-Core 16-Thread AM4 CPU | 96MB 3D V-Cac; envío no indicado</t>
        </is>
      </c>
      <c r="H250" s="6" t="inlineStr">
        <is>
          <t>ver</t>
        </is>
      </c>
    </row>
    <row r="251">
      <c r="A251" s="15" t="n">
        <v>46315</v>
      </c>
      <c r="B251" s="5" t="inlineStr">
        <is>
          <t>eBay</t>
        </is>
      </c>
      <c r="C251" s="5" t="inlineStr">
        <is>
          <t>Ryzen 5 7600</t>
        </is>
      </c>
      <c r="D251" s="5" t="inlineStr">
        <is>
          <t>usado</t>
        </is>
      </c>
      <c r="E251" s="11" t="n">
        <v>120</v>
      </c>
      <c r="F251" s="5" t="inlineStr">
        <is>
          <t>USD</t>
        </is>
      </c>
      <c r="G251" s="5" t="inlineStr">
        <is>
          <t>eBay API; vendedor shenidss9ckq 99.1%; AMD Ryzen 5 7600 3.80GHz 6 Core 100-000001015 12 Thread AM5</t>
        </is>
      </c>
      <c r="H251" s="6" t="inlineStr">
        <is>
          <t>ver</t>
        </is>
      </c>
    </row>
    <row r="252">
      <c r="A252" s="15" t="n">
        <v>46315</v>
      </c>
      <c r="B252" s="5" t="inlineStr">
        <is>
          <t>eBay</t>
        </is>
      </c>
      <c r="C252" s="5" t="inlineStr">
        <is>
          <t>Ryzen 7 7800X3D</t>
        </is>
      </c>
      <c r="D252" s="5" t="inlineStr">
        <is>
          <t>usado</t>
        </is>
      </c>
      <c r="E252" s="11" t="n">
        <v>289.99</v>
      </c>
      <c r="F252" s="5" t="inlineStr">
        <is>
          <t>USD</t>
        </is>
      </c>
      <c r="G252" s="5" t="inlineStr">
        <is>
          <t>eBay API; vendedor cole_x 100.0%; AMD Ryzen 7 7800X3D Processor/ CPU (8-Core 4.2GHz - 104MB - ; envío no indicado</t>
        </is>
      </c>
      <c r="H252" s="6" t="inlineStr">
        <is>
          <t>ver</t>
        </is>
      </c>
    </row>
    <row r="253">
      <c r="A253" s="15" t="n">
        <v>46315</v>
      </c>
      <c r="B253" s="5" t="inlineStr">
        <is>
          <t>eBay</t>
        </is>
      </c>
      <c r="C253" s="5" t="inlineStr">
        <is>
          <t>Ryzen 9 9950X</t>
        </is>
      </c>
      <c r="D253" s="5" t="inlineStr">
        <is>
          <t>usado</t>
        </is>
      </c>
      <c r="E253" s="11" t="n">
        <v>454.99</v>
      </c>
      <c r="F253" s="5" t="inlineStr">
        <is>
          <t>USD</t>
        </is>
      </c>
      <c r="G253" s="5" t="inlineStr">
        <is>
          <t>eBay API; vendedor goodios_direct 99.6%; **  AMD Ryzen 9 9950X Processor - USED  **</t>
        </is>
      </c>
      <c r="H253" s="6" t="inlineStr">
        <is>
          <t>ver</t>
        </is>
      </c>
    </row>
    <row r="254">
      <c r="A254" s="15" t="n">
        <v>46315</v>
      </c>
      <c r="B254" s="5" t="inlineStr">
        <is>
          <t>eBay</t>
        </is>
      </c>
      <c r="C254" s="5" t="inlineStr">
        <is>
          <t>Intel Core i5-12400F</t>
        </is>
      </c>
      <c r="D254" s="5" t="inlineStr">
        <is>
          <t>usado</t>
        </is>
      </c>
      <c r="E254" s="11" t="n">
        <v>124.99</v>
      </c>
      <c r="F254" s="5" t="inlineStr">
        <is>
          <t>USD</t>
        </is>
      </c>
      <c r="G254" s="5" t="inlineStr">
        <is>
          <t>eBay API; vendedor silencedpp7 100.0%; Intel Core i5-12400F 2.50GHz 6 Core SRL4W 12 Thread LGA 1700; envío no indicado</t>
        </is>
      </c>
      <c r="H254" s="6" t="inlineStr">
        <is>
          <t>ver</t>
        </is>
      </c>
    </row>
    <row r="255">
      <c r="A255" s="15" t="n">
        <v>46315</v>
      </c>
      <c r="B255" s="5" t="inlineStr">
        <is>
          <t>eBay</t>
        </is>
      </c>
      <c r="C255" s="5" t="inlineStr">
        <is>
          <t>Intel Core i5-13400</t>
        </is>
      </c>
      <c r="D255" s="5" t="inlineStr">
        <is>
          <t>usado</t>
        </is>
      </c>
      <c r="E255" s="11" t="n">
        <v>150</v>
      </c>
      <c r="F255" s="5" t="inlineStr">
        <is>
          <t>USD</t>
        </is>
      </c>
      <c r="G255" s="5" t="inlineStr">
        <is>
          <t>eBay API; vendedor bargdeals65 99.7%; Intel Core i5-13400 SRMBP 2.5GHz 10-Cores 16 Threads 20MB Ca; envío no indicado</t>
        </is>
      </c>
      <c r="H255" s="6" t="inlineStr">
        <is>
          <t>ver</t>
        </is>
      </c>
    </row>
    <row r="256">
      <c r="A256" s="15" t="n">
        <v>46315</v>
      </c>
      <c r="B256" s="5" t="inlineStr">
        <is>
          <t>eBay</t>
        </is>
      </c>
      <c r="C256" s="5" t="inlineStr">
        <is>
          <t>Intel Core i5-14400F</t>
        </is>
      </c>
      <c r="D256" s="5" t="inlineStr">
        <is>
          <t>usado</t>
        </is>
      </c>
      <c r="E256" s="11" t="n">
        <v>134.99</v>
      </c>
      <c r="F256" s="5" t="inlineStr">
        <is>
          <t>USD</t>
        </is>
      </c>
      <c r="G256" s="5" t="inlineStr">
        <is>
          <t>eBay API; vendedor paymore_pooler 99.7%; Intel Core i5-14400F 2.50GHz 10 Core SRN3R 16 Thread LGA 170</t>
        </is>
      </c>
      <c r="H256" s="6" t="inlineStr">
        <is>
          <t>ver</t>
        </is>
      </c>
    </row>
    <row r="257">
      <c r="A257" s="15" t="n">
        <v>46315</v>
      </c>
      <c r="B257" s="5" t="inlineStr">
        <is>
          <t>eBay</t>
        </is>
      </c>
      <c r="C257" s="5" t="inlineStr">
        <is>
          <t>Corsair Vengeance RGB DDR5 32GB (2x16) 5600</t>
        </is>
      </c>
      <c r="D257" s="5" t="inlineStr">
        <is>
          <t>usado</t>
        </is>
      </c>
      <c r="E257" s="11" t="n">
        <v>379.99</v>
      </c>
      <c r="F257" s="5" t="inlineStr">
        <is>
          <t>USD</t>
        </is>
      </c>
      <c r="G257" s="5" t="inlineStr">
        <is>
          <t>eBay API; vendedor nn-red 100.0%; Corsair Vengeance RGB Pro 32GB (2x16GB) RAM DDR5 5600MHz CMH; envío no indicado</t>
        </is>
      </c>
      <c r="H257" s="6" t="inlineStr">
        <is>
          <t>ver</t>
        </is>
      </c>
    </row>
    <row r="258">
      <c r="A258" s="15" t="n">
        <v>46315</v>
      </c>
      <c r="B258" s="5" t="inlineStr">
        <is>
          <t>eBay</t>
        </is>
      </c>
      <c r="C258" s="5" t="inlineStr">
        <is>
          <t>Corsair Vengeance RGB DDR5 32GB (2x16) 6000</t>
        </is>
      </c>
      <c r="D258" s="5" t="inlineStr">
        <is>
          <t>usado</t>
        </is>
      </c>
      <c r="E258" s="11" t="n">
        <v>399.99</v>
      </c>
      <c r="F258" s="5" t="inlineStr">
        <is>
          <t>USD</t>
        </is>
      </c>
      <c r="G258" s="5" t="inlineStr">
        <is>
          <t xml:space="preserve">eBay API; vendedor allnighter1994 99.7%; Corsair Vengeance 32GB (2x16GB) DDR5 6000MHz CL36 WHITE RAM </t>
        </is>
      </c>
      <c r="H258" s="6" t="inlineStr">
        <is>
          <t>ver</t>
        </is>
      </c>
    </row>
    <row r="259">
      <c r="A259" s="15" t="n">
        <v>46315</v>
      </c>
      <c r="B259" s="5" t="inlineStr">
        <is>
          <t>eBay</t>
        </is>
      </c>
      <c r="C259" s="5" t="inlineStr">
        <is>
          <t>RAM DDR4 16GB (2x8) 3200</t>
        </is>
      </c>
      <c r="D259" s="5" t="inlineStr">
        <is>
          <t>usado</t>
        </is>
      </c>
      <c r="E259" s="11" t="n">
        <v>69.95</v>
      </c>
      <c r="F259" s="5" t="inlineStr">
        <is>
          <t>USD</t>
        </is>
      </c>
      <c r="G259" s="5" t="inlineStr">
        <is>
          <t>eBay API; vendedor custompc2005 99.4%; OLOy Warhawk RGB Sync 16GB (2 x 8GB) DDR4 3200MHz CL16 Deskt</t>
        </is>
      </c>
      <c r="H259" s="6" t="inlineStr">
        <is>
          <t>ver</t>
        </is>
      </c>
    </row>
    <row r="260">
      <c r="A260" s="15" t="n">
        <v>46315</v>
      </c>
      <c r="B260" s="5" t="inlineStr">
        <is>
          <t>eBay</t>
        </is>
      </c>
      <c r="C260" s="5" t="inlineStr">
        <is>
          <t>SSD NVMe 1TB</t>
        </is>
      </c>
      <c r="D260" s="5" t="inlineStr">
        <is>
          <t>usado</t>
        </is>
      </c>
      <c r="E260" s="11" t="n">
        <v>90</v>
      </c>
      <c r="F260" s="5" t="inlineStr">
        <is>
          <t>USD</t>
        </is>
      </c>
      <c r="G260" s="5" t="inlineStr">
        <is>
          <t>eBay API; vendedor fabulouscomputers 98.3%; 1tb ssd nvme; envío no indicado</t>
        </is>
      </c>
      <c r="H260" s="6" t="inlineStr">
        <is>
          <t>ver</t>
        </is>
      </c>
    </row>
    <row r="261">
      <c r="A261" s="15" t="n">
        <v>46315</v>
      </c>
      <c r="B261" s="5" t="inlineStr">
        <is>
          <t>eBay</t>
        </is>
      </c>
      <c r="C261" s="5" t="inlineStr">
        <is>
          <t>SSD NVMe 2TB</t>
        </is>
      </c>
      <c r="D261" s="5" t="inlineStr">
        <is>
          <t>usado</t>
        </is>
      </c>
      <c r="E261" s="11" t="n">
        <v>184.99</v>
      </c>
      <c r="F261" s="5" t="inlineStr">
        <is>
          <t>USD</t>
        </is>
      </c>
      <c r="G261" s="5" t="inlineStr">
        <is>
          <t>eBay API; vendedor mmm-electronics 100.0%; Crucial P2 2TB NVMe M.2 2280 PCIe 3.0 SSD CT2000P2SSD8 - Tes; envío no indicado</t>
        </is>
      </c>
      <c r="H261" s="6" t="inlineStr">
        <is>
          <t>ver</t>
        </is>
      </c>
    </row>
    <row r="262">
      <c r="A262" s="15" t="n">
        <v>46315</v>
      </c>
      <c r="B262" s="5" t="inlineStr">
        <is>
          <t>eBay</t>
        </is>
      </c>
      <c r="C262" s="5" t="inlineStr">
        <is>
          <t>Ryzen 7 7700X</t>
        </is>
      </c>
      <c r="D262" s="5" t="inlineStr">
        <is>
          <t>nuevo</t>
        </is>
      </c>
      <c r="E262" s="11" t="n">
        <v>219</v>
      </c>
      <c r="F262" s="5" t="inlineStr">
        <is>
          <t>USD</t>
        </is>
      </c>
      <c r="G262" s="5" t="inlineStr">
        <is>
          <t>eBay (Chrome, API sin claves); kn32451 99,9 %; nuevo, Buy It Now, envio gratis</t>
        </is>
      </c>
      <c r="H262" s="6" t="inlineStr">
        <is>
          <t>ver</t>
        </is>
      </c>
    </row>
    <row r="263">
      <c r="A263" s="15" t="n">
        <v>46315</v>
      </c>
      <c r="B263" s="5" t="inlineStr">
        <is>
          <t>eBay</t>
        </is>
      </c>
      <c r="C263" s="5" t="inlineStr">
        <is>
          <t>Ryzen 7 7700X</t>
        </is>
      </c>
      <c r="D263" s="5" t="inlineStr">
        <is>
          <t>nuevo</t>
        </is>
      </c>
      <c r="E263" s="11" t="n">
        <v>212</v>
      </c>
      <c r="F263" s="5" t="inlineStr">
        <is>
          <t>USD</t>
        </is>
      </c>
      <c r="G263" s="5" t="inlineStr">
        <is>
          <t>eBay (Chrome, API sin claves); irepaircellphone 99,6 %; nuevo, Buy It Now, envio gratis</t>
        </is>
      </c>
      <c r="H263" s="6" t="inlineStr">
        <is>
          <t>ver</t>
        </is>
      </c>
    </row>
    <row r="264">
      <c r="A264" s="15" t="n">
        <v>46315</v>
      </c>
      <c r="B264" s="5" t="inlineStr">
        <is>
          <t>eBay</t>
        </is>
      </c>
      <c r="C264" s="5" t="inlineStr">
        <is>
          <t>Ryzen 7 7700X</t>
        </is>
      </c>
      <c r="D264" s="5" t="inlineStr">
        <is>
          <t>nuevo</t>
        </is>
      </c>
      <c r="E264" s="11" t="n">
        <v>199.99</v>
      </c>
      <c r="F264" s="5" t="inlineStr">
        <is>
          <t>USD</t>
        </is>
      </c>
      <c r="G264" s="5" t="inlineStr">
        <is>
          <t>eBay (Chrome, API sin claves); paymore_cary 99,7 %; nuevo, Buy It Now, envio gratis</t>
        </is>
      </c>
      <c r="H264" s="6" t="inlineStr">
        <is>
          <t>ver</t>
        </is>
      </c>
    </row>
    <row r="265">
      <c r="A265" s="15" t="n">
        <v>46315</v>
      </c>
      <c r="B265" s="5" t="inlineStr">
        <is>
          <t>eBay</t>
        </is>
      </c>
      <c r="C265" s="5" t="inlineStr">
        <is>
          <t>Ryzen 7 7700X</t>
        </is>
      </c>
      <c r="D265" s="5" t="inlineStr">
        <is>
          <t>usado</t>
        </is>
      </c>
      <c r="E265" s="11" t="n">
        <v>173.05</v>
      </c>
      <c r="F265" s="5" t="inlineStr">
        <is>
          <t>USD</t>
        </is>
      </c>
      <c r="G265" s="5" t="inlineStr">
        <is>
          <t>eBay (Chrome, API sin claves); schneller0391 98,1 %; usado, Buy It Now, envio 5,80</t>
        </is>
      </c>
      <c r="H265" s="6" t="inlineStr">
        <is>
          <t>ver</t>
        </is>
      </c>
    </row>
    <row r="266">
      <c r="A266" s="15" t="n">
        <v>46315</v>
      </c>
      <c r="B266" s="5" t="inlineStr">
        <is>
          <t>eBay</t>
        </is>
      </c>
      <c r="C266" s="5" t="inlineStr">
        <is>
          <t>Ryzen 7 7700X</t>
        </is>
      </c>
      <c r="D266" s="5" t="inlineStr">
        <is>
          <t>usado</t>
        </is>
      </c>
      <c r="E266" s="11" t="n">
        <v>169.99</v>
      </c>
      <c r="F266" s="5" t="inlineStr">
        <is>
          <t>USD</t>
        </is>
      </c>
      <c r="G266" s="5" t="inlineStr">
        <is>
          <t>eBay (Chrome, API sin claves); paymore_spring 99,5 %; usado, Buy It Now, envio gratis</t>
        </is>
      </c>
      <c r="H266" s="6" t="inlineStr">
        <is>
          <t>ver</t>
        </is>
      </c>
    </row>
    <row r="267">
      <c r="A267" s="15" t="n">
        <v>46315</v>
      </c>
      <c r="B267" s="5" t="inlineStr">
        <is>
          <t>eBay</t>
        </is>
      </c>
      <c r="C267" s="5" t="inlineStr">
        <is>
          <t>Ryzen 7 7700X</t>
        </is>
      </c>
      <c r="D267" s="5" t="inlineStr">
        <is>
          <t>usado</t>
        </is>
      </c>
      <c r="E267" s="11" t="n">
        <v>169.99</v>
      </c>
      <c r="F267" s="5" t="inlineStr">
        <is>
          <t>USD</t>
        </is>
      </c>
      <c r="G267" s="5" t="inlineStr">
        <is>
          <t>eBay (Chrome, API sin claves); paymore_fort_thomas 99,5 %; usado, Buy It Now, envio gratis</t>
        </is>
      </c>
      <c r="H267" s="6" t="inlineStr">
        <is>
          <t>ver</t>
        </is>
      </c>
    </row>
    <row r="268">
      <c r="A268" s="15" t="n">
        <v>46316</v>
      </c>
      <c r="B268" s="5" t="inlineStr">
        <is>
          <t>eBay</t>
        </is>
      </c>
      <c r="C268" s="5" t="inlineStr">
        <is>
          <t>Ryzen 5 5600</t>
        </is>
      </c>
      <c r="D268" s="5" t="inlineStr">
        <is>
          <t>nuevo</t>
        </is>
      </c>
      <c r="E268" s="11" t="n">
        <v>138.9</v>
      </c>
      <c r="F268" s="5" t="inlineStr">
        <is>
          <t>USD</t>
        </is>
      </c>
      <c r="G268" s="5" t="inlineStr">
        <is>
          <t>eBay API; vendedor 3c_wholesaler 99.1%; (New) AMD Ryzen 5 5600 Vermeer Zen3 6-Core 12-Thread AM4 CPU</t>
        </is>
      </c>
      <c r="H268" s="6" t="inlineStr">
        <is>
          <t>ver</t>
        </is>
      </c>
    </row>
    <row r="269">
      <c r="A269" s="15" t="n">
        <v>46316</v>
      </c>
      <c r="B269" s="5" t="inlineStr">
        <is>
          <t>eBay</t>
        </is>
      </c>
      <c r="C269" s="5" t="inlineStr">
        <is>
          <t>Ryzen 5 7600</t>
        </is>
      </c>
      <c r="D269" s="5" t="inlineStr">
        <is>
          <t>nuevo</t>
        </is>
      </c>
      <c r="E269" s="11" t="n">
        <v>213.85</v>
      </c>
      <c r="F269" s="5" t="inlineStr">
        <is>
          <t>USD</t>
        </is>
      </c>
      <c r="G269" s="5" t="inlineStr">
        <is>
          <t>eBay API; vendedor bra_dewaa 99.7%; AMD Ryzen 5 7600 6-Core 12-Thread Unlocked Desktop Processor</t>
        </is>
      </c>
      <c r="H269" s="6" t="inlineStr">
        <is>
          <t>ver</t>
        </is>
      </c>
    </row>
    <row r="270">
      <c r="A270" s="15" t="n">
        <v>46316</v>
      </c>
      <c r="B270" s="5" t="inlineStr">
        <is>
          <t>eBay</t>
        </is>
      </c>
      <c r="C270" s="5" t="inlineStr">
        <is>
          <t>Ryzen 7 7800X3D</t>
        </is>
      </c>
      <c r="D270" s="5" t="inlineStr">
        <is>
          <t>nuevo</t>
        </is>
      </c>
      <c r="E270" s="11" t="n">
        <v>329</v>
      </c>
      <c r="F270" s="5" t="inlineStr">
        <is>
          <t>USD</t>
        </is>
      </c>
      <c r="G270" s="5" t="inlineStr">
        <is>
          <t>eBay API; vendedor aaawavecom 99.8%; AMD Ryzen 7 7800X3D Processor Zen 4 8-Core 4.2GHz AM5 CPU (N</t>
        </is>
      </c>
      <c r="H270" s="6" t="inlineStr">
        <is>
          <t>ver</t>
        </is>
      </c>
    </row>
    <row r="271">
      <c r="A271" s="15" t="n">
        <v>46316</v>
      </c>
      <c r="B271" s="5" t="inlineStr">
        <is>
          <t>eBay</t>
        </is>
      </c>
      <c r="C271" s="5" t="inlineStr">
        <is>
          <t>Ryzen 9 9950X</t>
        </is>
      </c>
      <c r="D271" s="5" t="inlineStr">
        <is>
          <t>nuevo</t>
        </is>
      </c>
      <c r="E271" s="11" t="n">
        <v>499</v>
      </c>
      <c r="F271" s="5" t="inlineStr">
        <is>
          <t>USD</t>
        </is>
      </c>
      <c r="G271" s="5" t="inlineStr">
        <is>
          <t>eBay API; vendedor ahkh-418 99.0%; AMD Ryzen 9 9950X - Ryzen 9 9000 Series Granite Ridge (Zen 5</t>
        </is>
      </c>
      <c r="H271" s="6" t="inlineStr">
        <is>
          <t>ver</t>
        </is>
      </c>
    </row>
    <row r="272">
      <c r="A272" s="15" t="n">
        <v>46316</v>
      </c>
      <c r="B272" s="5" t="inlineStr">
        <is>
          <t>eBay</t>
        </is>
      </c>
      <c r="C272" s="5" t="inlineStr">
        <is>
          <t>Intel Core i5-12400F</t>
        </is>
      </c>
      <c r="D272" s="5" t="inlineStr">
        <is>
          <t>nuevo</t>
        </is>
      </c>
      <c r="E272" s="11" t="n">
        <v>150</v>
      </c>
      <c r="F272" s="5" t="inlineStr">
        <is>
          <t>USD</t>
        </is>
      </c>
      <c r="G272" s="5" t="inlineStr">
        <is>
          <t>eBay API; vendedor algonz1137 100.0%; INTEL CPU Core i5-12400F / 6/12 / 2.5GHz / 6xxChipset / BX80; envío no indicado</t>
        </is>
      </c>
      <c r="H272" s="6" t="inlineStr">
        <is>
          <t>ver</t>
        </is>
      </c>
    </row>
    <row r="273">
      <c r="A273" s="15" t="n">
        <v>46316</v>
      </c>
      <c r="B273" s="5" t="inlineStr">
        <is>
          <t>eBay</t>
        </is>
      </c>
      <c r="C273" s="5" t="inlineStr">
        <is>
          <t>Intel Core i5-14400F</t>
        </is>
      </c>
      <c r="D273" s="5" t="inlineStr">
        <is>
          <t>nuevo</t>
        </is>
      </c>
      <c r="E273" s="11" t="n">
        <v>164.49</v>
      </c>
      <c r="F273" s="5" t="inlineStr">
        <is>
          <t>USD</t>
        </is>
      </c>
      <c r="G273" s="5" t="inlineStr">
        <is>
          <t xml:space="preserve">eBay API; vendedor newegg 99.6%; Intel Core i5-14400F - Core i5 14th Gen Raptor Lake 10-Core </t>
        </is>
      </c>
      <c r="H273" s="6" t="inlineStr">
        <is>
          <t>ver</t>
        </is>
      </c>
    </row>
    <row r="274">
      <c r="A274" s="15" t="n">
        <v>46316</v>
      </c>
      <c r="B274" s="5" t="inlineStr">
        <is>
          <t>eBay</t>
        </is>
      </c>
      <c r="C274" s="5" t="inlineStr">
        <is>
          <t>Intel Core Ultra 7 265K</t>
        </is>
      </c>
      <c r="D274" s="5" t="inlineStr">
        <is>
          <t>nuevo</t>
        </is>
      </c>
      <c r="E274" s="11" t="n">
        <v>243.6</v>
      </c>
      <c r="F274" s="5" t="inlineStr">
        <is>
          <t>USD</t>
        </is>
      </c>
      <c r="G274" s="5" t="inlineStr">
        <is>
          <t>eBay API; vendedor techtrader999 100.0%; Intel Core Ultra 7 265K Series 2 Arrow Lake 20-Core (8P+12E)</t>
        </is>
      </c>
      <c r="H274" s="6" t="inlineStr">
        <is>
          <t>ver</t>
        </is>
      </c>
    </row>
    <row r="275">
      <c r="A275" s="15" t="n">
        <v>46316</v>
      </c>
      <c r="B275" s="5" t="inlineStr">
        <is>
          <t>eBay</t>
        </is>
      </c>
      <c r="C275" s="5" t="inlineStr">
        <is>
          <t>Corsair Vengeance RGB DDR5 32GB (2x16) 5600</t>
        </is>
      </c>
      <c r="D275" s="5" t="inlineStr">
        <is>
          <t>nuevo</t>
        </is>
      </c>
      <c r="E275" s="11" t="n">
        <v>479.99</v>
      </c>
      <c r="F275" s="5" t="inlineStr">
        <is>
          <t>USD</t>
        </is>
      </c>
      <c r="G275" s="5" t="inlineStr">
        <is>
          <t>eBay API; vendedor 2012roms 100.0%; Corsair Vengeance 32GB (2x16GB) DDR5 5600MHz CL36 Desktop RA; envío no indicado</t>
        </is>
      </c>
      <c r="H275" s="6" t="inlineStr">
        <is>
          <t>ver</t>
        </is>
      </c>
    </row>
    <row r="276">
      <c r="A276" s="15" t="n">
        <v>46316</v>
      </c>
      <c r="B276" s="5" t="inlineStr">
        <is>
          <t>eBay</t>
        </is>
      </c>
      <c r="C276" s="5" t="inlineStr">
        <is>
          <t>Corsair Vengeance RGB DDR5 32GB (2x16) 6000</t>
        </is>
      </c>
      <c r="D276" s="5" t="inlineStr">
        <is>
          <t>nuevo</t>
        </is>
      </c>
      <c r="E276" s="11" t="n">
        <v>450</v>
      </c>
      <c r="F276" s="5" t="inlineStr">
        <is>
          <t>USD</t>
        </is>
      </c>
      <c r="G276" s="5" t="inlineStr">
        <is>
          <t>eBay API; vendedor kn32451 99.9%; CORSAIR Vengeance RGB 32GB (2x16GB) DDR5 6000MHz CL36 AMD EX</t>
        </is>
      </c>
      <c r="H276" s="6" t="inlineStr">
        <is>
          <t>ver</t>
        </is>
      </c>
    </row>
    <row r="277">
      <c r="A277" s="15" t="n">
        <v>46316</v>
      </c>
      <c r="B277" s="5" t="inlineStr">
        <is>
          <t>eBay</t>
        </is>
      </c>
      <c r="C277" s="5" t="inlineStr">
        <is>
          <t>RAM DDR4 16GB (2x8) 3200</t>
        </is>
      </c>
      <c r="D277" s="5" t="inlineStr">
        <is>
          <t>nuevo</t>
        </is>
      </c>
      <c r="E277" s="11" t="n">
        <v>97.98999999999999</v>
      </c>
      <c r="F277" s="5" t="inlineStr">
        <is>
          <t>USD</t>
        </is>
      </c>
      <c r="G277" s="5" t="inlineStr">
        <is>
          <t>eBay API; vendedor wolverine_112 100.0%; Corsair Vengeance LPX 16GB 2x8GB DDR4-3200  Desktop RAM; envío no indicado</t>
        </is>
      </c>
      <c r="H277" s="6" t="inlineStr">
        <is>
          <t>ver</t>
        </is>
      </c>
    </row>
    <row r="278">
      <c r="A278" s="15" t="n">
        <v>46316</v>
      </c>
      <c r="B278" s="5" t="inlineStr">
        <is>
          <t>eBay</t>
        </is>
      </c>
      <c r="C278" s="5" t="inlineStr">
        <is>
          <t>SSD NVMe 1TB</t>
        </is>
      </c>
      <c r="D278" s="5" t="inlineStr">
        <is>
          <t>nuevo</t>
        </is>
      </c>
      <c r="E278" s="11" t="n">
        <v>114.99</v>
      </c>
      <c r="F278" s="5" t="inlineStr">
        <is>
          <t>USD</t>
        </is>
      </c>
      <c r="G278" s="5" t="inlineStr">
        <is>
          <t>eBay API; vendedor gadgetworld03 98.9%; Derlar DN-850Q 1TB M.2 NVME PCIe 4.0 SSD - New</t>
        </is>
      </c>
      <c r="H278" s="6" t="inlineStr">
        <is>
          <t>ver</t>
        </is>
      </c>
    </row>
    <row r="279">
      <c r="A279" s="15" t="n">
        <v>46316</v>
      </c>
      <c r="B279" s="5" t="inlineStr">
        <is>
          <t>eBay</t>
        </is>
      </c>
      <c r="C279" s="5" t="inlineStr">
        <is>
          <t>SSD NVMe 2TB</t>
        </is>
      </c>
      <c r="D279" s="5" t="inlineStr">
        <is>
          <t>nuevo</t>
        </is>
      </c>
      <c r="E279" s="11" t="n">
        <v>208</v>
      </c>
      <c r="F279" s="5" t="inlineStr">
        <is>
          <t>USD</t>
        </is>
      </c>
      <c r="G279" s="5" t="inlineStr">
        <is>
          <t>eBay API; vendedor elektroman1 100.0%; SanDisk 2TB SSD PLUS M.2 NVMe PCIe 3.0 M.2 Internal SSD NEW</t>
        </is>
      </c>
      <c r="H279" s="6" t="inlineStr">
        <is>
          <t>ver</t>
        </is>
      </c>
    </row>
    <row r="280">
      <c r="A280" s="15" t="n">
        <v>46316</v>
      </c>
      <c r="B280" s="5" t="inlineStr">
        <is>
          <t>eBay</t>
        </is>
      </c>
      <c r="C280" s="5" t="inlineStr">
        <is>
          <t>Ryzen 7 7700X</t>
        </is>
      </c>
      <c r="D280" s="5" t="inlineStr">
        <is>
          <t>nuevo</t>
        </is>
      </c>
      <c r="E280" s="11" t="n">
        <v>212</v>
      </c>
      <c r="F280" s="5" t="inlineStr">
        <is>
          <t>USD</t>
        </is>
      </c>
      <c r="G280" s="5" t="inlineStr">
        <is>
          <t>eBay API; vendedor irepaircellphone 99.6%; AMD Ryzen 7 7700x Processor (5.4 GHz, 8 Cores, LGA 1718/Sock</t>
        </is>
      </c>
      <c r="H280" s="6" t="inlineStr">
        <is>
          <t>ver</t>
        </is>
      </c>
    </row>
    <row r="281">
      <c r="A281" s="15" t="n">
        <v>46316</v>
      </c>
      <c r="B281" s="5" t="inlineStr">
        <is>
          <t>eBay</t>
        </is>
      </c>
      <c r="C281" s="5" t="inlineStr">
        <is>
          <t>Ryzen 5 7500F</t>
        </is>
      </c>
      <c r="D281" s="5" t="inlineStr">
        <is>
          <t>nuevo</t>
        </is>
      </c>
      <c r="E281" s="11" t="n">
        <v>135.99</v>
      </c>
      <c r="F281" s="5" t="inlineStr">
        <is>
          <t>USD</t>
        </is>
      </c>
      <c r="G281" s="5" t="inlineStr">
        <is>
          <t>eBay API; vendedor technological-trend 99.3%; AMD 100-000000597 Socket AM5 Without Cooler AMD Ryzen 5 7500</t>
        </is>
      </c>
      <c r="H281" s="6" t="inlineStr">
        <is>
          <t>ver</t>
        </is>
      </c>
    </row>
    <row r="282">
      <c r="A282" s="15" t="n">
        <v>46316</v>
      </c>
      <c r="B282" s="5" t="inlineStr">
        <is>
          <t>eBay</t>
        </is>
      </c>
      <c r="C282" s="5" t="inlineStr">
        <is>
          <t>Ryzen 5 5600</t>
        </is>
      </c>
      <c r="D282" s="5" t="inlineStr">
        <is>
          <t>usado</t>
        </is>
      </c>
      <c r="E282" s="11" t="n">
        <v>129.99</v>
      </c>
      <c r="F282" s="5" t="inlineStr">
        <is>
          <t>USD</t>
        </is>
      </c>
      <c r="G282" s="5" t="inlineStr">
        <is>
          <t>eBay API; vendedor paymore_cary 99.7%; AMD Ryzen 5 5600 3.50GHz 6 Core 100-000000927 12 Thread AM4</t>
        </is>
      </c>
      <c r="H282" s="6" t="inlineStr">
        <is>
          <t>ver</t>
        </is>
      </c>
    </row>
    <row r="283">
      <c r="A283" s="15" t="n">
        <v>46316</v>
      </c>
      <c r="B283" s="5" t="inlineStr">
        <is>
          <t>eBay</t>
        </is>
      </c>
      <c r="C283" s="5" t="inlineStr">
        <is>
          <t>Ryzen 7 5700X3D</t>
        </is>
      </c>
      <c r="D283" s="5" t="inlineStr">
        <is>
          <t>usado</t>
        </is>
      </c>
      <c r="E283" s="11" t="n">
        <v>304.95</v>
      </c>
      <c r="F283" s="5" t="inlineStr">
        <is>
          <t>USD</t>
        </is>
      </c>
      <c r="G283" s="5" t="inlineStr">
        <is>
          <t>eBay API; vendedor rolamoto 100.0%; AMD Ryzen 7 5700X3D 3.00GHz 8 Core 100-000001503 16 Thread A</t>
        </is>
      </c>
      <c r="H283" s="6" t="inlineStr">
        <is>
          <t>ver</t>
        </is>
      </c>
    </row>
    <row r="284">
      <c r="A284" s="15" t="n">
        <v>46316</v>
      </c>
      <c r="B284" s="5" t="inlineStr">
        <is>
          <t>eBay</t>
        </is>
      </c>
      <c r="C284" s="5" t="inlineStr">
        <is>
          <t>Ryzen 5 7600</t>
        </is>
      </c>
      <c r="D284" s="5" t="inlineStr">
        <is>
          <t>usado</t>
        </is>
      </c>
      <c r="E284" s="11" t="n">
        <v>125.99</v>
      </c>
      <c r="F284" s="5" t="inlineStr">
        <is>
          <t>USD</t>
        </is>
      </c>
      <c r="G284" s="5" t="inlineStr">
        <is>
          <t xml:space="preserve">eBay API; vendedor paymore_west_omaha 99.6%; AMD Ryzen 5 7600 3.80GHz 6 Core 100-000001015 12 Thread AM5 </t>
        </is>
      </c>
      <c r="H284" s="6" t="inlineStr">
        <is>
          <t>ver</t>
        </is>
      </c>
    </row>
    <row r="285">
      <c r="A285" s="15" t="n">
        <v>46316</v>
      </c>
      <c r="B285" s="5" t="inlineStr">
        <is>
          <t>eBay</t>
        </is>
      </c>
      <c r="C285" s="5" t="inlineStr">
        <is>
          <t>Ryzen 7 7800X3D</t>
        </is>
      </c>
      <c r="D285" s="5" t="inlineStr">
        <is>
          <t>usado</t>
        </is>
      </c>
      <c r="E285" s="11" t="n">
        <v>289.99</v>
      </c>
      <c r="F285" s="5" t="inlineStr">
        <is>
          <t>USD</t>
        </is>
      </c>
      <c r="G285" s="5" t="inlineStr">
        <is>
          <t>eBay API; vendedor cole_x 100.0%; AMD Ryzen 7 7800X3D Processor/ CPU (8-Core 4.2GHz - 104MB - ; envío no indicado</t>
        </is>
      </c>
      <c r="H285" s="6" t="inlineStr">
        <is>
          <t>ver</t>
        </is>
      </c>
    </row>
    <row r="286">
      <c r="A286" s="15" t="n">
        <v>46316</v>
      </c>
      <c r="B286" s="5" t="inlineStr">
        <is>
          <t>eBay</t>
        </is>
      </c>
      <c r="C286" s="5" t="inlineStr">
        <is>
          <t>Ryzen 9 9950X</t>
        </is>
      </c>
      <c r="D286" s="5" t="inlineStr">
        <is>
          <t>usado</t>
        </is>
      </c>
      <c r="E286" s="11" t="n">
        <v>454.99</v>
      </c>
      <c r="F286" s="5" t="inlineStr">
        <is>
          <t>USD</t>
        </is>
      </c>
      <c r="G286" s="5" t="inlineStr">
        <is>
          <t>eBay API; vendedor goodios_direct 99.6%; **  AMD Ryzen 9 9950X Processor - USED  **</t>
        </is>
      </c>
      <c r="H286" s="6" t="inlineStr">
        <is>
          <t>ver</t>
        </is>
      </c>
    </row>
    <row r="287">
      <c r="A287" s="15" t="n">
        <v>46316</v>
      </c>
      <c r="B287" s="5" t="inlineStr">
        <is>
          <t>eBay</t>
        </is>
      </c>
      <c r="C287" s="5" t="inlineStr">
        <is>
          <t>Intel Core i5-12400F</t>
        </is>
      </c>
      <c r="D287" s="5" t="inlineStr">
        <is>
          <t>usado</t>
        </is>
      </c>
      <c r="E287" s="11" t="n">
        <v>124</v>
      </c>
      <c r="F287" s="5" t="inlineStr">
        <is>
          <t>USD</t>
        </is>
      </c>
      <c r="G287" s="5" t="inlineStr">
        <is>
          <t>eBay API; vendedor glystar 100.0%; 12th Gen Intel Core i5-12400F 2.5GHz 6-Core 18MB LGA1700 Wit</t>
        </is>
      </c>
      <c r="H287" s="6" t="inlineStr">
        <is>
          <t>ver</t>
        </is>
      </c>
    </row>
    <row r="288">
      <c r="A288" s="15" t="n">
        <v>46316</v>
      </c>
      <c r="B288" s="5" t="inlineStr">
        <is>
          <t>eBay</t>
        </is>
      </c>
      <c r="C288" s="5" t="inlineStr">
        <is>
          <t>Intel Core i5-13400</t>
        </is>
      </c>
      <c r="D288" s="5" t="inlineStr">
        <is>
          <t>usado</t>
        </is>
      </c>
      <c r="E288" s="11" t="n">
        <v>150</v>
      </c>
      <c r="F288" s="5" t="inlineStr">
        <is>
          <t>USD</t>
        </is>
      </c>
      <c r="G288" s="5" t="inlineStr">
        <is>
          <t>eBay API; vendedor bargdeals65 99.7%; Intel Core i5-13400 SRMBP 2.5GHz 10-Cores 16 Threads 20MB Ca; envío no indicado</t>
        </is>
      </c>
      <c r="H288" s="6" t="inlineStr">
        <is>
          <t>ver</t>
        </is>
      </c>
    </row>
    <row r="289">
      <c r="A289" s="15" t="n">
        <v>46316</v>
      </c>
      <c r="B289" s="5" t="inlineStr">
        <is>
          <t>eBay</t>
        </is>
      </c>
      <c r="C289" s="5" t="inlineStr">
        <is>
          <t>Intel Core i5-14400F</t>
        </is>
      </c>
      <c r="D289" s="5" t="inlineStr">
        <is>
          <t>usado</t>
        </is>
      </c>
      <c r="E289" s="11" t="n">
        <v>139.99</v>
      </c>
      <c r="F289" s="5" t="inlineStr">
        <is>
          <t>USD</t>
        </is>
      </c>
      <c r="G289" s="5" t="inlineStr">
        <is>
          <t>eBay API; vendedor paymore_lexington 99.4%; Intel Core i5-14400F 2.50GHz 10 Core SRN3R 16 Thread LGA 170</t>
        </is>
      </c>
      <c r="H289" s="6" t="inlineStr">
        <is>
          <t>ver</t>
        </is>
      </c>
    </row>
    <row r="290">
      <c r="A290" s="15" t="n">
        <v>46316</v>
      </c>
      <c r="B290" s="5" t="inlineStr">
        <is>
          <t>eBay</t>
        </is>
      </c>
      <c r="C290" s="5" t="inlineStr">
        <is>
          <t>Intel Core Ultra 7 265K</t>
        </is>
      </c>
      <c r="D290" s="5" t="inlineStr">
        <is>
          <t>usado</t>
        </is>
      </c>
      <c r="E290" s="11" t="n">
        <v>230</v>
      </c>
      <c r="F290" s="5" t="inlineStr">
        <is>
          <t>USD</t>
        </is>
      </c>
      <c r="G290" s="5" t="inlineStr">
        <is>
          <t>eBay API; vendedor friendlyearth206 99.1%; Intel Core Ultra 7 265K 20-Core 5.5GHz LGA1851 Desktop CPU P; envío no indicado</t>
        </is>
      </c>
      <c r="H290" s="6" t="inlineStr">
        <is>
          <t>ver</t>
        </is>
      </c>
    </row>
    <row r="291">
      <c r="A291" s="15" t="n">
        <v>46316</v>
      </c>
      <c r="B291" s="5" t="inlineStr">
        <is>
          <t>eBay</t>
        </is>
      </c>
      <c r="C291" s="5" t="inlineStr">
        <is>
          <t>Corsair Vengeance RGB DDR5 32GB (2x16) 5600</t>
        </is>
      </c>
      <c r="D291" s="5" t="inlineStr">
        <is>
          <t>usado</t>
        </is>
      </c>
      <c r="E291" s="11" t="n">
        <v>399.99</v>
      </c>
      <c r="F291" s="5" t="inlineStr">
        <is>
          <t>USD</t>
        </is>
      </c>
      <c r="G291" s="5" t="inlineStr">
        <is>
          <t>eBay API; vendedor paymore_fredericksburg 99.5%; Corsair Vengeance RGB 32GB (2x16GB) RAM DDR5 5600MHz CMH32GX</t>
        </is>
      </c>
      <c r="H291" s="6" t="inlineStr">
        <is>
          <t>ver</t>
        </is>
      </c>
    </row>
    <row r="292">
      <c r="A292" s="15" t="n">
        <v>46316</v>
      </c>
      <c r="B292" s="5" t="inlineStr">
        <is>
          <t>eBay</t>
        </is>
      </c>
      <c r="C292" s="5" t="inlineStr">
        <is>
          <t>Corsair Vengeance RGB DDR5 32GB (2x16) 6000</t>
        </is>
      </c>
      <c r="D292" s="5" t="inlineStr">
        <is>
          <t>usado</t>
        </is>
      </c>
      <c r="E292" s="11" t="n">
        <v>399.99</v>
      </c>
      <c r="F292" s="5" t="inlineStr">
        <is>
          <t>USD</t>
        </is>
      </c>
      <c r="G292" s="5" t="inlineStr">
        <is>
          <t>eBay API; vendedor wazno 99.7%; CORSAIR Vengeance RGB 32GB 2x16GB DDR5 RAM 6000MHz CMH32GX5M</t>
        </is>
      </c>
      <c r="H292" s="6" t="inlineStr">
        <is>
          <t>ver</t>
        </is>
      </c>
    </row>
    <row r="293">
      <c r="A293" s="15" t="n">
        <v>46316</v>
      </c>
      <c r="B293" s="5" t="inlineStr">
        <is>
          <t>eBay</t>
        </is>
      </c>
      <c r="C293" s="5" t="inlineStr">
        <is>
          <t>RAM DDR4 16GB (2x8) 3200</t>
        </is>
      </c>
      <c r="D293" s="5" t="inlineStr">
        <is>
          <t>usado</t>
        </is>
      </c>
      <c r="E293" s="11" t="n">
        <v>69.95</v>
      </c>
      <c r="F293" s="5" t="inlineStr">
        <is>
          <t>USD</t>
        </is>
      </c>
      <c r="G293" s="5" t="inlineStr">
        <is>
          <t>eBay API; vendedor custompc2005 99.4%; OLOy Warhawk RGB Sync 16GB (2 x 8GB) DDR4 3200MHz CL16 Deskt</t>
        </is>
      </c>
      <c r="H293" s="6" t="inlineStr">
        <is>
          <t>ver</t>
        </is>
      </c>
    </row>
    <row r="294">
      <c r="A294" s="15" t="n">
        <v>46316</v>
      </c>
      <c r="B294" s="5" t="inlineStr">
        <is>
          <t>eBay</t>
        </is>
      </c>
      <c r="C294" s="5" t="inlineStr">
        <is>
          <t>SSD NVMe 1TB</t>
        </is>
      </c>
      <c r="D294" s="5" t="inlineStr">
        <is>
          <t>usado</t>
        </is>
      </c>
      <c r="E294" s="11" t="n">
        <v>90</v>
      </c>
      <c r="F294" s="5" t="inlineStr">
        <is>
          <t>USD</t>
        </is>
      </c>
      <c r="G294" s="5" t="inlineStr">
        <is>
          <t>eBay API; vendedor fabulouscomputers 98.3%; 1tb ssd nvme; envío no indicado</t>
        </is>
      </c>
      <c r="H294" s="6" t="inlineStr">
        <is>
          <t>ver</t>
        </is>
      </c>
    </row>
    <row r="295">
      <c r="A295" s="15" t="n">
        <v>46316</v>
      </c>
      <c r="B295" s="5" t="inlineStr">
        <is>
          <t>eBay</t>
        </is>
      </c>
      <c r="C295" s="5" t="inlineStr">
        <is>
          <t>SSD NVMe 2TB</t>
        </is>
      </c>
      <c r="D295" s="5" t="inlineStr">
        <is>
          <t>usado</t>
        </is>
      </c>
      <c r="E295" s="11" t="n">
        <v>174.99</v>
      </c>
      <c r="F295" s="5" t="inlineStr">
        <is>
          <t>USD</t>
        </is>
      </c>
      <c r="G295" s="5" t="inlineStr">
        <is>
          <t>eBay API; vendedor paymore_temecula 99.7%; Kingston 2280mm NV2 2TB M.2 NVMe Gen 4.0 x 4 SSD SNV2S/2000G</t>
        </is>
      </c>
      <c r="H295" s="6" t="inlineStr">
        <is>
          <t>ver</t>
        </is>
      </c>
    </row>
    <row r="296">
      <c r="A296" s="15" t="n">
        <v>46316</v>
      </c>
      <c r="B296" s="5" t="inlineStr">
        <is>
          <t>eBay</t>
        </is>
      </c>
      <c r="C296" s="5" t="inlineStr">
        <is>
          <t>Ryzen 7 7700X</t>
        </is>
      </c>
      <c r="D296" s="5" t="inlineStr">
        <is>
          <t>usado</t>
        </is>
      </c>
      <c r="E296" s="11" t="n">
        <v>189.99</v>
      </c>
      <c r="F296" s="5" t="inlineStr">
        <is>
          <t>USD</t>
        </is>
      </c>
      <c r="G296" s="5" t="inlineStr">
        <is>
          <t>eBay API; vendedor g-electronic 99.7%; AMD Ryzen 7 7700X Desktop Processor 8-Core, 16-Thread 4.5GHz</t>
        </is>
      </c>
      <c r="H296" s="6" t="inlineStr">
        <is>
          <t>ver</t>
        </is>
      </c>
    </row>
    <row r="297">
      <c r="A297" s="15" t="n">
        <v>46316</v>
      </c>
      <c r="B297" s="5" t="inlineStr">
        <is>
          <t>eBay</t>
        </is>
      </c>
      <c r="C297" s="5" t="inlineStr">
        <is>
          <t>Ryzen 5 7500F</t>
        </is>
      </c>
      <c r="D297" s="5" t="inlineStr">
        <is>
          <t>usado</t>
        </is>
      </c>
      <c r="E297" s="11" t="n">
        <v>115</v>
      </c>
      <c r="F297" s="5" t="inlineStr">
        <is>
          <t>USD</t>
        </is>
      </c>
      <c r="G297" s="5" t="inlineStr">
        <is>
          <t>eBay API; vendedor brdomk0 100.0%; AMD Ryzen 5 7500F 6-Core 3.7GHz Socket AM5 CPU Processor; envío no indicado</t>
        </is>
      </c>
      <c r="H297" s="6" t="inlineStr">
        <is>
          <t>ver</t>
        </is>
      </c>
    </row>
    <row r="298">
      <c r="A298" s="15" t="n">
        <v>46317</v>
      </c>
      <c r="B298" s="5" t="inlineStr">
        <is>
          <t>eBay</t>
        </is>
      </c>
      <c r="C298" s="5" t="inlineStr">
        <is>
          <t>Ryzen 5 5600</t>
        </is>
      </c>
      <c r="D298" s="5" t="inlineStr">
        <is>
          <t>nuevo</t>
        </is>
      </c>
      <c r="E298" s="11" t="n">
        <v>135.98</v>
      </c>
      <c r="F298" s="5" t="inlineStr">
        <is>
          <t>USD</t>
        </is>
      </c>
      <c r="G298" s="5" t="inlineStr">
        <is>
          <t>eBay API; vendedor desolate_puppy 99.9%; (New) AMD Ryzen 5 5600 Vermeer Zen3 6-Core 12-Thread AM4 CPU</t>
        </is>
      </c>
      <c r="H298" s="6" t="inlineStr">
        <is>
          <t>ver</t>
        </is>
      </c>
    </row>
    <row r="299">
      <c r="A299" s="15" t="n">
        <v>46317</v>
      </c>
      <c r="B299" s="5" t="inlineStr">
        <is>
          <t>eBay</t>
        </is>
      </c>
      <c r="C299" s="5" t="inlineStr">
        <is>
          <t>Ryzen 5 7600</t>
        </is>
      </c>
      <c r="D299" s="5" t="inlineStr">
        <is>
          <t>nuevo</t>
        </is>
      </c>
      <c r="E299" s="11" t="n">
        <v>199.99</v>
      </c>
      <c r="F299" s="5" t="inlineStr">
        <is>
          <t>USD</t>
        </is>
      </c>
      <c r="G299" s="5" t="inlineStr">
        <is>
          <t xml:space="preserve">eBay API; vendedor collect_n_tech 99.4%; AMD Ryzen 5 7600 AMD Ryzen™ 7000 Series Processor Heat Sink </t>
        </is>
      </c>
      <c r="H299" s="6" t="inlineStr">
        <is>
          <t>ver</t>
        </is>
      </c>
    </row>
    <row r="300">
      <c r="A300" s="15" t="n">
        <v>46317</v>
      </c>
      <c r="B300" s="5" t="inlineStr">
        <is>
          <t>eBay</t>
        </is>
      </c>
      <c r="C300" s="5" t="inlineStr">
        <is>
          <t>Ryzen 7 7800X3D</t>
        </is>
      </c>
      <c r="D300" s="5" t="inlineStr">
        <is>
          <t>nuevo</t>
        </is>
      </c>
      <c r="E300" s="11" t="n">
        <v>329</v>
      </c>
      <c r="F300" s="5" t="inlineStr">
        <is>
          <t>USD</t>
        </is>
      </c>
      <c r="G300" s="5" t="inlineStr">
        <is>
          <t>eBay API; vendedor aaawavecom 99.8%; AMD Ryzen 7 7800X3D Processor Zen 4 8-Core 4.2GHz AM5 CPU (N</t>
        </is>
      </c>
      <c r="H300" s="6" t="inlineStr">
        <is>
          <t>ver</t>
        </is>
      </c>
    </row>
    <row r="301">
      <c r="A301" s="15" t="n">
        <v>46317</v>
      </c>
      <c r="B301" s="5" t="inlineStr">
        <is>
          <t>eBay</t>
        </is>
      </c>
      <c r="C301" s="5" t="inlineStr">
        <is>
          <t>Ryzen 9 9950X</t>
        </is>
      </c>
      <c r="D301" s="5" t="inlineStr">
        <is>
          <t>nuevo</t>
        </is>
      </c>
      <c r="E301" s="11" t="n">
        <v>549.99</v>
      </c>
      <c r="F301" s="5" t="inlineStr">
        <is>
          <t>USD</t>
        </is>
      </c>
      <c r="G301" s="5" t="inlineStr">
        <is>
          <t>eBay API; vendedor newegg 99.6%; AMD Ryzen 9 9950X - Ryzen 9 9000 Series Granite Ridge (Zen 5</t>
        </is>
      </c>
      <c r="H301" s="6" t="inlineStr">
        <is>
          <t>ver</t>
        </is>
      </c>
    </row>
    <row r="302">
      <c r="A302" s="15" t="n">
        <v>46317</v>
      </c>
      <c r="B302" s="5" t="inlineStr">
        <is>
          <t>eBay</t>
        </is>
      </c>
      <c r="C302" s="5" t="inlineStr">
        <is>
          <t>Intel Core i5-12400F</t>
        </is>
      </c>
      <c r="D302" s="5" t="inlineStr">
        <is>
          <t>nuevo</t>
        </is>
      </c>
      <c r="E302" s="11" t="n">
        <v>150</v>
      </c>
      <c r="F302" s="5" t="inlineStr">
        <is>
          <t>USD</t>
        </is>
      </c>
      <c r="G302" s="5" t="inlineStr">
        <is>
          <t>eBay API; vendedor algonz1137 100.0%; INTEL CPU Core i5-12400F / 6/12 / 2.5GHz / 6xxChipset / BX80; envío no indicado</t>
        </is>
      </c>
      <c r="H302" s="6" t="inlineStr">
        <is>
          <t>ver</t>
        </is>
      </c>
    </row>
    <row r="303">
      <c r="A303" s="15" t="n">
        <v>46317</v>
      </c>
      <c r="B303" s="5" t="inlineStr">
        <is>
          <t>eBay</t>
        </is>
      </c>
      <c r="C303" s="5" t="inlineStr">
        <is>
          <t>Intel Core i5-14400F</t>
        </is>
      </c>
      <c r="D303" s="5" t="inlineStr">
        <is>
          <t>nuevo</t>
        </is>
      </c>
      <c r="E303" s="11" t="n">
        <v>164.49</v>
      </c>
      <c r="F303" s="5" t="inlineStr">
        <is>
          <t>USD</t>
        </is>
      </c>
      <c r="G303" s="5" t="inlineStr">
        <is>
          <t xml:space="preserve">eBay API; vendedor newegg 99.6%; Intel Core i5-14400F - Core i5 14th Gen Raptor Lake 10-Core </t>
        </is>
      </c>
      <c r="H303" s="6" t="inlineStr">
        <is>
          <t>ver</t>
        </is>
      </c>
    </row>
    <row r="304">
      <c r="A304" s="15" t="n">
        <v>46317</v>
      </c>
      <c r="B304" s="5" t="inlineStr">
        <is>
          <t>eBay</t>
        </is>
      </c>
      <c r="C304" s="5" t="inlineStr">
        <is>
          <t>Intel Core Ultra 7 265K</t>
        </is>
      </c>
      <c r="D304" s="5" t="inlineStr">
        <is>
          <t>nuevo</t>
        </is>
      </c>
      <c r="E304" s="11" t="n">
        <v>243.6</v>
      </c>
      <c r="F304" s="5" t="inlineStr">
        <is>
          <t>USD</t>
        </is>
      </c>
      <c r="G304" s="5" t="inlineStr">
        <is>
          <t>eBay API; vendedor techtrader999 100.0%; Intel Core Ultra 7 265K Series 2 Arrow Lake 20-Core (8P+12E)</t>
        </is>
      </c>
      <c r="H304" s="6" t="inlineStr">
        <is>
          <t>ver</t>
        </is>
      </c>
    </row>
    <row r="305">
      <c r="A305" s="15" t="n">
        <v>46317</v>
      </c>
      <c r="B305" s="5" t="inlineStr">
        <is>
          <t>eBay</t>
        </is>
      </c>
      <c r="C305" s="5" t="inlineStr">
        <is>
          <t>Corsair Vengeance RGB DDR5 32GB (2x16) 5600</t>
        </is>
      </c>
      <c r="D305" s="5" t="inlineStr">
        <is>
          <t>nuevo</t>
        </is>
      </c>
      <c r="E305" s="11" t="n">
        <v>465</v>
      </c>
      <c r="F305" s="5" t="inlineStr">
        <is>
          <t>USD</t>
        </is>
      </c>
      <c r="G305" s="5" t="inlineStr">
        <is>
          <t>eBay API; vendedor restoredglory 100.0%; CORSAIR Vengeance RGB 32GB (2x16GB) DDR5 5600MHz CL40 AMD EX</t>
        </is>
      </c>
      <c r="H305" s="6" t="inlineStr">
        <is>
          <t>ver</t>
        </is>
      </c>
    </row>
    <row r="306">
      <c r="A306" s="15" t="n">
        <v>46317</v>
      </c>
      <c r="B306" s="5" t="inlineStr">
        <is>
          <t>eBay</t>
        </is>
      </c>
      <c r="C306" s="5" t="inlineStr">
        <is>
          <t>Corsair Vengeance RGB DDR5 32GB (2x16) 6000</t>
        </is>
      </c>
      <c r="D306" s="5" t="inlineStr">
        <is>
          <t>nuevo</t>
        </is>
      </c>
      <c r="E306" s="11" t="n">
        <v>465</v>
      </c>
      <c r="F306" s="5" t="inlineStr">
        <is>
          <t>USD</t>
        </is>
      </c>
      <c r="G306" s="5" t="inlineStr">
        <is>
          <t>eBay API; vendedor mtsbiz 100.0%; Corsair Vengeance RGB DDR5 32GB (2x16GB) 6000MHz CL36 Deskto</t>
        </is>
      </c>
      <c r="H306" s="6" t="inlineStr">
        <is>
          <t>ver</t>
        </is>
      </c>
    </row>
    <row r="307">
      <c r="A307" s="15" t="n">
        <v>46317</v>
      </c>
      <c r="B307" s="5" t="inlineStr">
        <is>
          <t>eBay</t>
        </is>
      </c>
      <c r="C307" s="5" t="inlineStr">
        <is>
          <t>RAM DDR4 16GB (2x8) 3200</t>
        </is>
      </c>
      <c r="D307" s="5" t="inlineStr">
        <is>
          <t>nuevo</t>
        </is>
      </c>
      <c r="E307" s="11" t="n">
        <v>97.98999999999999</v>
      </c>
      <c r="F307" s="5" t="inlineStr">
        <is>
          <t>USD</t>
        </is>
      </c>
      <c r="G307" s="5" t="inlineStr">
        <is>
          <t>eBay API; vendedor wolverine_112 100.0%; Corsair Vengeance LPX 16GB 2x8GB DDR4-3200  Desktop RAM; envío no indicado</t>
        </is>
      </c>
      <c r="H307" s="6" t="inlineStr">
        <is>
          <t>ver</t>
        </is>
      </c>
    </row>
    <row r="308">
      <c r="A308" s="15" t="n">
        <v>46317</v>
      </c>
      <c r="B308" s="5" t="inlineStr">
        <is>
          <t>eBay</t>
        </is>
      </c>
      <c r="C308" s="5" t="inlineStr">
        <is>
          <t>SSD NVMe 1TB</t>
        </is>
      </c>
      <c r="D308" s="5" t="inlineStr">
        <is>
          <t>nuevo</t>
        </is>
      </c>
      <c r="E308" s="11" t="n">
        <v>114.99</v>
      </c>
      <c r="F308" s="5" t="inlineStr">
        <is>
          <t>USD</t>
        </is>
      </c>
      <c r="G308" s="5" t="inlineStr">
        <is>
          <t>eBay API; vendedor gadgetworld03 98.9%; Derlar DN-850Q 1TB M.2 NVME PCIe 4.0 SSD - New</t>
        </is>
      </c>
      <c r="H308" s="6" t="inlineStr">
        <is>
          <t>ver</t>
        </is>
      </c>
    </row>
    <row r="309">
      <c r="A309" s="15" t="n">
        <v>46317</v>
      </c>
      <c r="B309" s="5" t="inlineStr">
        <is>
          <t>eBay</t>
        </is>
      </c>
      <c r="C309" s="5" t="inlineStr">
        <is>
          <t>SSD NVMe 2TB</t>
        </is>
      </c>
      <c r="D309" s="5" t="inlineStr">
        <is>
          <t>nuevo</t>
        </is>
      </c>
      <c r="E309" s="11" t="n">
        <v>208</v>
      </c>
      <c r="F309" s="5" t="inlineStr">
        <is>
          <t>USD</t>
        </is>
      </c>
      <c r="G309" s="5" t="inlineStr">
        <is>
          <t>eBay API; vendedor elektroman1 100.0%; SanDisk 2TB SSD PLUS M.2 NVMe PCIe 3.0 M.2 Internal SSD NEW</t>
        </is>
      </c>
      <c r="H309" s="6" t="inlineStr">
        <is>
          <t>ver</t>
        </is>
      </c>
    </row>
    <row r="310">
      <c r="A310" s="15" t="n">
        <v>46317</v>
      </c>
      <c r="B310" s="5" t="inlineStr">
        <is>
          <t>eBay</t>
        </is>
      </c>
      <c r="C310" s="5" t="inlineStr">
        <is>
          <t>Ryzen 7 7700X</t>
        </is>
      </c>
      <c r="D310" s="5" t="inlineStr">
        <is>
          <t>nuevo</t>
        </is>
      </c>
      <c r="E310" s="11" t="n">
        <v>212</v>
      </c>
      <c r="F310" s="5" t="inlineStr">
        <is>
          <t>USD</t>
        </is>
      </c>
      <c r="G310" s="5" t="inlineStr">
        <is>
          <t>eBay API; vendedor irepaircellphone 99.6%; AMD Ryzen 7 7700x Processor (5.4 GHz, 8 Cores, LGA 1718/Sock</t>
        </is>
      </c>
      <c r="H310" s="6" t="inlineStr">
        <is>
          <t>ver</t>
        </is>
      </c>
    </row>
    <row r="311">
      <c r="A311" s="15" t="n">
        <v>46317</v>
      </c>
      <c r="B311" s="5" t="inlineStr">
        <is>
          <t>eBay</t>
        </is>
      </c>
      <c r="C311" s="5" t="inlineStr">
        <is>
          <t>Ryzen 5 7500F</t>
        </is>
      </c>
      <c r="D311" s="5" t="inlineStr">
        <is>
          <t>nuevo</t>
        </is>
      </c>
      <c r="E311" s="11" t="n">
        <v>135.99</v>
      </c>
      <c r="F311" s="5" t="inlineStr">
        <is>
          <t>USD</t>
        </is>
      </c>
      <c r="G311" s="5" t="inlineStr">
        <is>
          <t>eBay API; vendedor technological-trend 99.3%; AMD 100-000000597 Socket AM5 Without Cooler AMD Ryzen 5 7500</t>
        </is>
      </c>
      <c r="H311" s="6" t="inlineStr">
        <is>
          <t>ver</t>
        </is>
      </c>
    </row>
    <row r="312">
      <c r="A312" s="15" t="n">
        <v>46317</v>
      </c>
      <c r="B312" s="5" t="inlineStr">
        <is>
          <t>eBay</t>
        </is>
      </c>
      <c r="C312" s="5" t="inlineStr">
        <is>
          <t>Ryzen 5 5600</t>
        </is>
      </c>
      <c r="D312" s="5" t="inlineStr">
        <is>
          <t>usado</t>
        </is>
      </c>
      <c r="E312" s="11" t="n">
        <v>129.99</v>
      </c>
      <c r="F312" s="5" t="inlineStr">
        <is>
          <t>USD</t>
        </is>
      </c>
      <c r="G312" s="5" t="inlineStr">
        <is>
          <t>eBay API; vendedor paymore_cary 99.7%; AMD Ryzen 5 5600 3.50GHz 6 Core 100-000000927 12 Thread AM4</t>
        </is>
      </c>
      <c r="H312" s="6" t="inlineStr">
        <is>
          <t>ver</t>
        </is>
      </c>
    </row>
    <row r="313">
      <c r="A313" s="15" t="n">
        <v>46317</v>
      </c>
      <c r="B313" s="5" t="inlineStr">
        <is>
          <t>eBay</t>
        </is>
      </c>
      <c r="C313" s="5" t="inlineStr">
        <is>
          <t>Ryzen 7 5700X3D</t>
        </is>
      </c>
      <c r="D313" s="5" t="inlineStr">
        <is>
          <t>usado</t>
        </is>
      </c>
      <c r="E313" s="11" t="n">
        <v>304.95</v>
      </c>
      <c r="F313" s="5" t="inlineStr">
        <is>
          <t>USD</t>
        </is>
      </c>
      <c r="G313" s="5" t="inlineStr">
        <is>
          <t>eBay API; vendedor rolamoto 100.0%; AMD Ryzen 7 5700X3D 3.00GHz 8 Core 100-000001503 16 Thread A</t>
        </is>
      </c>
      <c r="H313" s="6" t="inlineStr">
        <is>
          <t>ver</t>
        </is>
      </c>
    </row>
    <row r="314">
      <c r="A314" s="15" t="n">
        <v>46317</v>
      </c>
      <c r="B314" s="5" t="inlineStr">
        <is>
          <t>eBay</t>
        </is>
      </c>
      <c r="C314" s="5" t="inlineStr">
        <is>
          <t>Ryzen 5 7600</t>
        </is>
      </c>
      <c r="D314" s="5" t="inlineStr">
        <is>
          <t>usado</t>
        </is>
      </c>
      <c r="E314" s="11" t="n">
        <v>124.99</v>
      </c>
      <c r="F314" s="5" t="inlineStr">
        <is>
          <t>USD</t>
        </is>
      </c>
      <c r="G314" s="5" t="inlineStr">
        <is>
          <t xml:space="preserve">eBay API; vendedor paymore_fort_thomas 99.5%; AMD Ryzen 5 7600 3.80GHz 6 Core 100-000001015 12 Thread AM5 </t>
        </is>
      </c>
      <c r="H314" s="6" t="inlineStr">
        <is>
          <t>ver</t>
        </is>
      </c>
    </row>
    <row r="315">
      <c r="A315" s="15" t="n">
        <v>46317</v>
      </c>
      <c r="B315" s="5" t="inlineStr">
        <is>
          <t>eBay</t>
        </is>
      </c>
      <c r="C315" s="5" t="inlineStr">
        <is>
          <t>Ryzen 7 7800X3D</t>
        </is>
      </c>
      <c r="D315" s="5" t="inlineStr">
        <is>
          <t>usado</t>
        </is>
      </c>
      <c r="E315" s="11" t="n">
        <v>274.99</v>
      </c>
      <c r="F315" s="5" t="inlineStr">
        <is>
          <t>USD</t>
        </is>
      </c>
      <c r="G315" s="5" t="inlineStr">
        <is>
          <t>eBay API; vendedor paymoremcallen 99.9%; AMD Ryzen 7 7800X3D 4.20GHz 8 Core 100-000000910 16 Thread A</t>
        </is>
      </c>
      <c r="H315" s="6" t="inlineStr">
        <is>
          <t>ver</t>
        </is>
      </c>
    </row>
    <row r="316">
      <c r="A316" s="15" t="n">
        <v>46317</v>
      </c>
      <c r="B316" s="5" t="inlineStr">
        <is>
          <t>eBay</t>
        </is>
      </c>
      <c r="C316" s="5" t="inlineStr">
        <is>
          <t>Ryzen 9 9950X</t>
        </is>
      </c>
      <c r="D316" s="5" t="inlineStr">
        <is>
          <t>usado</t>
        </is>
      </c>
      <c r="E316" s="11" t="n">
        <v>454.99</v>
      </c>
      <c r="F316" s="5" t="inlineStr">
        <is>
          <t>USD</t>
        </is>
      </c>
      <c r="G316" s="5" t="inlineStr">
        <is>
          <t>eBay API; vendedor goodios_direct 99.6%; **  AMD Ryzen 9 9950X Processor - USED  **</t>
        </is>
      </c>
      <c r="H316" s="6" t="inlineStr">
        <is>
          <t>ver</t>
        </is>
      </c>
    </row>
    <row r="317">
      <c r="A317" s="15" t="n">
        <v>46317</v>
      </c>
      <c r="B317" s="5" t="inlineStr">
        <is>
          <t>eBay</t>
        </is>
      </c>
      <c r="C317" s="5" t="inlineStr">
        <is>
          <t>Intel Core i5-12400F</t>
        </is>
      </c>
      <c r="D317" s="5" t="inlineStr">
        <is>
          <t>usado</t>
        </is>
      </c>
      <c r="E317" s="11" t="n">
        <v>119.99</v>
      </c>
      <c r="F317" s="5" t="inlineStr">
        <is>
          <t>USD</t>
        </is>
      </c>
      <c r="G317" s="5" t="inlineStr">
        <is>
          <t>eBay API; vendedor paymore_oakhill 99.7%; Intel Core i5-12400F 4.40 GHz 6 Core SRL4W 12 Thread LGA 170</t>
        </is>
      </c>
      <c r="H317" s="6" t="inlineStr">
        <is>
          <t>ver</t>
        </is>
      </c>
    </row>
    <row r="318">
      <c r="A318" s="15" t="n">
        <v>46317</v>
      </c>
      <c r="B318" s="5" t="inlineStr">
        <is>
          <t>eBay</t>
        </is>
      </c>
      <c r="C318" s="5" t="inlineStr">
        <is>
          <t>Intel Core i5-13400</t>
        </is>
      </c>
      <c r="D318" s="5" t="inlineStr">
        <is>
          <t>usado</t>
        </is>
      </c>
      <c r="E318" s="11" t="n">
        <v>145</v>
      </c>
      <c r="F318" s="5" t="inlineStr">
        <is>
          <t>USD</t>
        </is>
      </c>
      <c r="G318" s="5" t="inlineStr">
        <is>
          <t>eBay API; vendedor cnil1635 99.8%; Intel Core i5-13400 - SRMBP - 10-Core - LGA1700 - Desktop CP</t>
        </is>
      </c>
      <c r="H318" s="6" t="inlineStr">
        <is>
          <t>ver</t>
        </is>
      </c>
    </row>
    <row r="319">
      <c r="A319" s="15" t="n">
        <v>46317</v>
      </c>
      <c r="B319" s="5" t="inlineStr">
        <is>
          <t>eBay</t>
        </is>
      </c>
      <c r="C319" s="5" t="inlineStr">
        <is>
          <t>Intel Core i5-14400F</t>
        </is>
      </c>
      <c r="D319" s="5" t="inlineStr">
        <is>
          <t>usado</t>
        </is>
      </c>
      <c r="E319" s="11" t="n">
        <v>139.99</v>
      </c>
      <c r="F319" s="5" t="inlineStr">
        <is>
          <t>USD</t>
        </is>
      </c>
      <c r="G319" s="5" t="inlineStr">
        <is>
          <t>eBay API; vendedor paymore_lexington 99.4%; Intel Core i5-14400F 2.50GHz 10 Core SRN3R 16 Thread LGA 170</t>
        </is>
      </c>
      <c r="H319" s="6" t="inlineStr">
        <is>
          <t>ver</t>
        </is>
      </c>
    </row>
    <row r="320">
      <c r="A320" s="15" t="n">
        <v>46317</v>
      </c>
      <c r="B320" s="5" t="inlineStr">
        <is>
          <t>eBay</t>
        </is>
      </c>
      <c r="C320" s="5" t="inlineStr">
        <is>
          <t>Corsair Vengeance RGB DDR5 32GB (2x16) 5600</t>
        </is>
      </c>
      <c r="D320" s="5" t="inlineStr">
        <is>
          <t>usado</t>
        </is>
      </c>
      <c r="E320" s="11" t="n">
        <v>399.99</v>
      </c>
      <c r="F320" s="5" t="inlineStr">
        <is>
          <t>USD</t>
        </is>
      </c>
      <c r="G320" s="5" t="inlineStr">
        <is>
          <t>eBay API; vendedor paymore_fredericksburg 99.5%; Corsair Vengeance RGB 32GB (2x16GB) RAM DDR5 5600MHz CMH32GX</t>
        </is>
      </c>
      <c r="H320" s="6" t="inlineStr">
        <is>
          <t>ver</t>
        </is>
      </c>
    </row>
    <row r="321">
      <c r="A321" s="15" t="n">
        <v>46317</v>
      </c>
      <c r="B321" s="5" t="inlineStr">
        <is>
          <t>eBay</t>
        </is>
      </c>
      <c r="C321" s="5" t="inlineStr">
        <is>
          <t>Corsair Vengeance RGB DDR5 32GB (2x16) 6000</t>
        </is>
      </c>
      <c r="D321" s="5" t="inlineStr">
        <is>
          <t>usado</t>
        </is>
      </c>
      <c r="E321" s="11" t="n">
        <v>419.99</v>
      </c>
      <c r="F321" s="5" t="inlineStr">
        <is>
          <t>USD</t>
        </is>
      </c>
      <c r="G321" s="5" t="inlineStr">
        <is>
          <t>eBay API; vendedor wazno 99.7%; Corsair Vengeance RGB 32GB 2x16GB DDR5 RAM 6000MHz CMH32GX5M</t>
        </is>
      </c>
      <c r="H321" s="6" t="inlineStr">
        <is>
          <t>ver</t>
        </is>
      </c>
    </row>
    <row r="322">
      <c r="A322" s="15" t="n">
        <v>46317</v>
      </c>
      <c r="B322" s="5" t="inlineStr">
        <is>
          <t>eBay</t>
        </is>
      </c>
      <c r="C322" s="5" t="inlineStr">
        <is>
          <t>RAM DDR4 16GB (2x8) 3200</t>
        </is>
      </c>
      <c r="D322" s="5" t="inlineStr">
        <is>
          <t>usado</t>
        </is>
      </c>
      <c r="E322" s="11" t="n">
        <v>69.95</v>
      </c>
      <c r="F322" s="5" t="inlineStr">
        <is>
          <t>USD</t>
        </is>
      </c>
      <c r="G322" s="5" t="inlineStr">
        <is>
          <t>eBay API; vendedor custompc2005 99.4%; OLOy Warhawk RGB Sync 16GB (2 x 8GB) DDR4 3200MHz CL16 Deskt</t>
        </is>
      </c>
      <c r="H322" s="6" t="inlineStr">
        <is>
          <t>ver</t>
        </is>
      </c>
    </row>
    <row r="323">
      <c r="A323" s="15" t="n">
        <v>46317</v>
      </c>
      <c r="B323" s="5" t="inlineStr">
        <is>
          <t>eBay</t>
        </is>
      </c>
      <c r="C323" s="5" t="inlineStr">
        <is>
          <t>SSD NVMe 1TB</t>
        </is>
      </c>
      <c r="D323" s="5" t="inlineStr">
        <is>
          <t>usado</t>
        </is>
      </c>
      <c r="E323" s="11" t="n">
        <v>85</v>
      </c>
      <c r="F323" s="5" t="inlineStr">
        <is>
          <t>USD</t>
        </is>
      </c>
      <c r="G323" s="5" t="inlineStr">
        <is>
          <t>eBay API; vendedor friendlyearth206 99.1%; Timetec MS10 1TB SSD NVMe PCIe Gen3x4 3D NAND SSD 35TTFP6PCI; envío no indicado</t>
        </is>
      </c>
      <c r="H323" s="6" t="inlineStr">
        <is>
          <t>ver</t>
        </is>
      </c>
    </row>
    <row r="324">
      <c r="A324" s="15" t="n">
        <v>46317</v>
      </c>
      <c r="B324" s="5" t="inlineStr">
        <is>
          <t>eBay</t>
        </is>
      </c>
      <c r="C324" s="5" t="inlineStr">
        <is>
          <t>SSD NVMe 2TB</t>
        </is>
      </c>
      <c r="D324" s="5" t="inlineStr">
        <is>
          <t>usado</t>
        </is>
      </c>
      <c r="E324" s="11" t="n">
        <v>184.99</v>
      </c>
      <c r="F324" s="5" t="inlineStr">
        <is>
          <t>USD</t>
        </is>
      </c>
      <c r="G324" s="5" t="inlineStr">
        <is>
          <t>eBay API; vendedor paymore_cary 99.7%; TeamGroup 2280mm 2TB M.2 NVMe Gen 4.0 x 4 SSD TM8FPL002T</t>
        </is>
      </c>
      <c r="H324" s="6" t="inlineStr">
        <is>
          <t>ver</t>
        </is>
      </c>
    </row>
    <row r="325">
      <c r="A325" s="15" t="n">
        <v>46317</v>
      </c>
      <c r="B325" s="5" t="inlineStr">
        <is>
          <t>eBay</t>
        </is>
      </c>
      <c r="C325" s="5" t="inlineStr">
        <is>
          <t>Ryzen 7 7700X</t>
        </is>
      </c>
      <c r="D325" s="5" t="inlineStr">
        <is>
          <t>usado</t>
        </is>
      </c>
      <c r="E325" s="11" t="n">
        <v>189.99</v>
      </c>
      <c r="F325" s="5" t="inlineStr">
        <is>
          <t>USD</t>
        </is>
      </c>
      <c r="G325" s="5" t="inlineStr">
        <is>
          <t>eBay API; vendedor g-electronic 99.7%; AMD Ryzen 7 7700X Desktop Processor 8-Core, 16-Thread 4.5GHz</t>
        </is>
      </c>
      <c r="H325" s="6" t="inlineStr">
        <is>
          <t>ver</t>
        </is>
      </c>
    </row>
    <row r="326">
      <c r="A326" s="15" t="n">
        <v>46317</v>
      </c>
      <c r="B326" s="5" t="inlineStr">
        <is>
          <t>eBay</t>
        </is>
      </c>
      <c r="C326" s="5" t="inlineStr">
        <is>
          <t>Ryzen 5 7500F</t>
        </is>
      </c>
      <c r="D326" s="5" t="inlineStr">
        <is>
          <t>usado</t>
        </is>
      </c>
      <c r="E326" s="11" t="n">
        <v>129.99</v>
      </c>
      <c r="F326" s="5" t="inlineStr">
        <is>
          <t>USD</t>
        </is>
      </c>
      <c r="G326" s="5" t="inlineStr">
        <is>
          <t>eBay API; vendedor jorgejhj 100.0%; AMD Ryzen 5 7500F Ryzen 5 6-Core 3.7GHz Socket AM5; envío no indicado</t>
        </is>
      </c>
      <c r="H326" s="6" t="inlineStr">
        <is>
          <t>ver</t>
        </is>
      </c>
    </row>
    <row r="327">
      <c r="A327" s="15" t="n">
        <v>46318</v>
      </c>
      <c r="B327" s="5" t="inlineStr">
        <is>
          <t>eBay</t>
        </is>
      </c>
      <c r="C327" s="5" t="inlineStr">
        <is>
          <t>Ryzen 5 5600</t>
        </is>
      </c>
      <c r="D327" s="5" t="inlineStr">
        <is>
          <t>nuevo</t>
        </is>
      </c>
      <c r="E327" s="11" t="n">
        <v>135.98</v>
      </c>
      <c r="F327" s="5" t="inlineStr">
        <is>
          <t>USD</t>
        </is>
      </c>
      <c r="G327" s="5" t="inlineStr">
        <is>
          <t>eBay API; vendedor desolate_puppy 99.9%; (New) AMD Ryzen 5 5600 Vermeer Zen3 6-Core 12-Thread AM4 CPU</t>
        </is>
      </c>
      <c r="H327" s="6" t="inlineStr">
        <is>
          <t>ver</t>
        </is>
      </c>
    </row>
    <row r="328">
      <c r="A328" s="15" t="n">
        <v>46318</v>
      </c>
      <c r="B328" s="5" t="inlineStr">
        <is>
          <t>eBay</t>
        </is>
      </c>
      <c r="C328" s="5" t="inlineStr">
        <is>
          <t>Ryzen 5 7600</t>
        </is>
      </c>
      <c r="D328" s="5" t="inlineStr">
        <is>
          <t>nuevo</t>
        </is>
      </c>
      <c r="E328" s="11" t="n">
        <v>199.99</v>
      </c>
      <c r="F328" s="5" t="inlineStr">
        <is>
          <t>USD</t>
        </is>
      </c>
      <c r="G328" s="5" t="inlineStr">
        <is>
          <t xml:space="preserve">eBay API; vendedor collect_n_tech 99.4%; AMD Ryzen 5 7600 AMD Ryzen™ 7000 Series Processor Heat Sink </t>
        </is>
      </c>
      <c r="H328" s="6" t="inlineStr">
        <is>
          <t>ver</t>
        </is>
      </c>
    </row>
    <row r="329">
      <c r="A329" s="15" t="n">
        <v>46318</v>
      </c>
      <c r="B329" s="5" t="inlineStr">
        <is>
          <t>eBay</t>
        </is>
      </c>
      <c r="C329" s="5" t="inlineStr">
        <is>
          <t>Ryzen 7 7800X3D</t>
        </is>
      </c>
      <c r="D329" s="5" t="inlineStr">
        <is>
          <t>nuevo</t>
        </is>
      </c>
      <c r="E329" s="11" t="n">
        <v>299.99</v>
      </c>
      <c r="F329" s="5" t="inlineStr">
        <is>
          <t>USD</t>
        </is>
      </c>
      <c r="G329" s="5" t="inlineStr">
        <is>
          <t>eBay API; vendedor paymore_anaheim 99.5%; New AMD Ryzen 7 7800X3D 4.20GHz 8 Core 16 Thread 100-0000009</t>
        </is>
      </c>
      <c r="H329" s="6" t="inlineStr">
        <is>
          <t>ver</t>
        </is>
      </c>
    </row>
    <row r="330">
      <c r="A330" s="15" t="n">
        <v>46318</v>
      </c>
      <c r="B330" s="5" t="inlineStr">
        <is>
          <t>eBay</t>
        </is>
      </c>
      <c r="C330" s="5" t="inlineStr">
        <is>
          <t>Ryzen 9 9950X</t>
        </is>
      </c>
      <c r="D330" s="5" t="inlineStr">
        <is>
          <t>nuevo</t>
        </is>
      </c>
      <c r="E330" s="11" t="n">
        <v>549.99</v>
      </c>
      <c r="F330" s="5" t="inlineStr">
        <is>
          <t>USD</t>
        </is>
      </c>
      <c r="G330" s="5" t="inlineStr">
        <is>
          <t>eBay API; vendedor newegg 99.6%; AMD Ryzen 9 9950X - Ryzen 9 9000 Series Granite Ridge (Zen 5</t>
        </is>
      </c>
      <c r="H330" s="6" t="inlineStr">
        <is>
          <t>ver</t>
        </is>
      </c>
    </row>
    <row r="331">
      <c r="A331" s="15" t="n">
        <v>46318</v>
      </c>
      <c r="B331" s="5" t="inlineStr">
        <is>
          <t>eBay</t>
        </is>
      </c>
      <c r="C331" s="5" t="inlineStr">
        <is>
          <t>Intel Core i5-12400F</t>
        </is>
      </c>
      <c r="D331" s="5" t="inlineStr">
        <is>
          <t>nuevo</t>
        </is>
      </c>
      <c r="E331" s="11" t="n">
        <v>145</v>
      </c>
      <c r="F331" s="5" t="inlineStr">
        <is>
          <t>USD</t>
        </is>
      </c>
      <c r="G331" s="5" t="inlineStr">
        <is>
          <t>eBay API; vendedor picturesofheaven 99.8%; NEW - INTEL CPU Core i5-12400F / 6/12 / 2.5GHz / BX807151240</t>
        </is>
      </c>
      <c r="H331" s="6" t="inlineStr">
        <is>
          <t>ver</t>
        </is>
      </c>
    </row>
    <row r="332">
      <c r="A332" s="15" t="n">
        <v>46318</v>
      </c>
      <c r="B332" s="5" t="inlineStr">
        <is>
          <t>eBay</t>
        </is>
      </c>
      <c r="C332" s="5" t="inlineStr">
        <is>
          <t>Intel Core i5-14400F</t>
        </is>
      </c>
      <c r="D332" s="5" t="inlineStr">
        <is>
          <t>nuevo</t>
        </is>
      </c>
      <c r="E332" s="11" t="n">
        <v>164.49</v>
      </c>
      <c r="F332" s="5" t="inlineStr">
        <is>
          <t>USD</t>
        </is>
      </c>
      <c r="G332" s="5" t="inlineStr">
        <is>
          <t xml:space="preserve">eBay API; vendedor newegg 99.6%; Intel Core i5-14400F - Core i5 14th Gen Raptor Lake 10-Core </t>
        </is>
      </c>
      <c r="H332" s="6" t="inlineStr">
        <is>
          <t>ver</t>
        </is>
      </c>
    </row>
    <row r="333">
      <c r="A333" s="15" t="n">
        <v>46318</v>
      </c>
      <c r="B333" s="5" t="inlineStr">
        <is>
          <t>eBay</t>
        </is>
      </c>
      <c r="C333" s="5" t="inlineStr">
        <is>
          <t>Intel Core Ultra 7 265K</t>
        </is>
      </c>
      <c r="D333" s="5" t="inlineStr">
        <is>
          <t>nuevo</t>
        </is>
      </c>
      <c r="E333" s="11" t="n">
        <v>259.99</v>
      </c>
      <c r="F333" s="5" t="inlineStr">
        <is>
          <t>USD</t>
        </is>
      </c>
      <c r="G333" s="5" t="inlineStr">
        <is>
          <t>eBay API; vendedor luis11389 99.1%; Intel Core Ultra 7 265K 20-Core LGA 1851 Unlocked CPU BX8076; envío no indicado</t>
        </is>
      </c>
      <c r="H333" s="6" t="inlineStr">
        <is>
          <t>ver</t>
        </is>
      </c>
    </row>
    <row r="334">
      <c r="A334" s="15" t="n">
        <v>46318</v>
      </c>
      <c r="B334" s="5" t="inlineStr">
        <is>
          <t>eBay</t>
        </is>
      </c>
      <c r="C334" s="5" t="inlineStr">
        <is>
          <t>Corsair Vengeance RGB DDR5 32GB (2x16) 5600</t>
        </is>
      </c>
      <c r="D334" s="5" t="inlineStr">
        <is>
          <t>nuevo</t>
        </is>
      </c>
      <c r="E334" s="11" t="n">
        <v>465</v>
      </c>
      <c r="F334" s="5" t="inlineStr">
        <is>
          <t>USD</t>
        </is>
      </c>
      <c r="G334" s="5" t="inlineStr">
        <is>
          <t>eBay API; vendedor restoredglory 100.0%; CORSAIR Vengeance RGB 32GB (2x16GB) DDR5 5600MHz CL40 AMD EX</t>
        </is>
      </c>
      <c r="H334" s="6" t="inlineStr">
        <is>
          <t>ver</t>
        </is>
      </c>
    </row>
    <row r="335">
      <c r="A335" s="15" t="n">
        <v>46318</v>
      </c>
      <c r="B335" s="5" t="inlineStr">
        <is>
          <t>eBay</t>
        </is>
      </c>
      <c r="C335" s="5" t="inlineStr">
        <is>
          <t>Corsair Vengeance RGB DDR5 32GB (2x16) 6000</t>
        </is>
      </c>
      <c r="D335" s="5" t="inlineStr">
        <is>
          <t>nuevo</t>
        </is>
      </c>
      <c r="E335" s="11" t="n">
        <v>465</v>
      </c>
      <c r="F335" s="5" t="inlineStr">
        <is>
          <t>USD</t>
        </is>
      </c>
      <c r="G335" s="5" t="inlineStr">
        <is>
          <t>eBay API; vendedor mtsbiz 100.0%; Corsair Vengeance RGB DDR5 32GB (2x16GB) 6000MHz CL36 Deskto</t>
        </is>
      </c>
      <c r="H335" s="6" t="inlineStr">
        <is>
          <t>ver</t>
        </is>
      </c>
    </row>
    <row r="336">
      <c r="A336" s="15" t="n">
        <v>46318</v>
      </c>
      <c r="B336" s="5" t="inlineStr">
        <is>
          <t>eBay</t>
        </is>
      </c>
      <c r="C336" s="5" t="inlineStr">
        <is>
          <t>RAM DDR4 16GB (2x8) 3200</t>
        </is>
      </c>
      <c r="D336" s="5" t="inlineStr">
        <is>
          <t>nuevo</t>
        </is>
      </c>
      <c r="E336" s="11" t="n">
        <v>98.66</v>
      </c>
      <c r="F336" s="5" t="inlineStr">
        <is>
          <t>USD</t>
        </is>
      </c>
      <c r="G336" s="5" t="inlineStr">
        <is>
          <t>eBay API; vendedor derkaraj0 99.2%; TECMIYO 16GB (2x 8GB) DDR4 3200MHz PC4-25600 DDR4-3200 RAM 1</t>
        </is>
      </c>
      <c r="H336" s="6" t="inlineStr">
        <is>
          <t>ver</t>
        </is>
      </c>
    </row>
    <row r="337">
      <c r="A337" s="15" t="n">
        <v>46318</v>
      </c>
      <c r="B337" s="5" t="inlineStr">
        <is>
          <t>eBay</t>
        </is>
      </c>
      <c r="C337" s="5" t="inlineStr">
        <is>
          <t>SSD NVMe 1TB</t>
        </is>
      </c>
      <c r="D337" s="5" t="inlineStr">
        <is>
          <t>nuevo</t>
        </is>
      </c>
      <c r="E337" s="11" t="n">
        <v>114.99</v>
      </c>
      <c r="F337" s="5" t="inlineStr">
        <is>
          <t>USD</t>
        </is>
      </c>
      <c r="G337" s="5" t="inlineStr">
        <is>
          <t>eBay API; vendedor gadgetworld03 98.9%; Derlar DN-850Q 1TB M.2 NVME PCIe 4.0 SSD - New</t>
        </is>
      </c>
      <c r="H337" s="6" t="inlineStr">
        <is>
          <t>ver</t>
        </is>
      </c>
    </row>
    <row r="338">
      <c r="A338" s="15" t="n">
        <v>46318</v>
      </c>
      <c r="B338" s="5" t="inlineStr">
        <is>
          <t>eBay</t>
        </is>
      </c>
      <c r="C338" s="5" t="inlineStr">
        <is>
          <t>SSD NVMe 2TB</t>
        </is>
      </c>
      <c r="D338" s="5" t="inlineStr">
        <is>
          <t>nuevo</t>
        </is>
      </c>
      <c r="E338" s="11" t="n">
        <v>200</v>
      </c>
      <c r="F338" s="5" t="inlineStr">
        <is>
          <t>USD</t>
        </is>
      </c>
      <c r="G338" s="5" t="inlineStr">
        <is>
          <t>eBay API; vendedor tuppymahar 100.0%; XOC 2TB SP900 Internal M.2 NVME SSD (Up to 7500MB/s Read Spe; envío no indicado</t>
        </is>
      </c>
      <c r="H338" s="6" t="inlineStr">
        <is>
          <t>ver</t>
        </is>
      </c>
    </row>
    <row r="339">
      <c r="A339" s="15" t="n">
        <v>46318</v>
      </c>
      <c r="B339" s="5" t="inlineStr">
        <is>
          <t>eBay</t>
        </is>
      </c>
      <c r="C339" s="5" t="inlineStr">
        <is>
          <t>Ryzen 7 7700X</t>
        </is>
      </c>
      <c r="D339" s="5" t="inlineStr">
        <is>
          <t>nuevo</t>
        </is>
      </c>
      <c r="E339" s="11" t="n">
        <v>212</v>
      </c>
      <c r="F339" s="5" t="inlineStr">
        <is>
          <t>USD</t>
        </is>
      </c>
      <c r="G339" s="5" t="inlineStr">
        <is>
          <t>eBay API; vendedor irepaircellphone 99.6%; AMD Ryzen 7 7700x Processor (5.4 GHz, 8 Cores, LGA 1718/Sock</t>
        </is>
      </c>
      <c r="H339" s="6" t="inlineStr">
        <is>
          <t>ver</t>
        </is>
      </c>
    </row>
    <row r="340">
      <c r="A340" s="15" t="n">
        <v>46318</v>
      </c>
      <c r="B340" s="5" t="inlineStr">
        <is>
          <t>eBay</t>
        </is>
      </c>
      <c r="C340" s="5" t="inlineStr">
        <is>
          <t>Ryzen 5 7500F</t>
        </is>
      </c>
      <c r="D340" s="5" t="inlineStr">
        <is>
          <t>nuevo</t>
        </is>
      </c>
      <c r="E340" s="11" t="n">
        <v>135.99</v>
      </c>
      <c r="F340" s="5" t="inlineStr">
        <is>
          <t>USD</t>
        </is>
      </c>
      <c r="G340" s="5" t="inlineStr">
        <is>
          <t>eBay API; vendedor technological-trend 99.3%; AMD 100-000000597 Socket AM5 Without Cooler AMD Ryzen 5 7500</t>
        </is>
      </c>
      <c r="H340" s="6" t="inlineStr">
        <is>
          <t>ver</t>
        </is>
      </c>
    </row>
    <row r="341">
      <c r="A341" s="15" t="n">
        <v>46318</v>
      </c>
      <c r="B341" s="5" t="inlineStr">
        <is>
          <t>eBay</t>
        </is>
      </c>
      <c r="C341" s="5" t="inlineStr">
        <is>
          <t>Ryzen 5 5600</t>
        </is>
      </c>
      <c r="D341" s="5" t="inlineStr">
        <is>
          <t>usado</t>
        </is>
      </c>
      <c r="E341" s="11" t="n">
        <v>129.99</v>
      </c>
      <c r="F341" s="5" t="inlineStr">
        <is>
          <t>USD</t>
        </is>
      </c>
      <c r="G341" s="5" t="inlineStr">
        <is>
          <t>eBay API; vendedor paymore_cary 99.7%; AMD Ryzen 5 5600 3.50GHz 6 Core 100-000000927 12 Thread AM4</t>
        </is>
      </c>
      <c r="H341" s="6" t="inlineStr">
        <is>
          <t>ver</t>
        </is>
      </c>
    </row>
    <row r="342">
      <c r="A342" s="15" t="n">
        <v>46318</v>
      </c>
      <c r="B342" s="5" t="inlineStr">
        <is>
          <t>eBay</t>
        </is>
      </c>
      <c r="C342" s="5" t="inlineStr">
        <is>
          <t>Ryzen 7 5700X3D</t>
        </is>
      </c>
      <c r="D342" s="5" t="inlineStr">
        <is>
          <t>usado</t>
        </is>
      </c>
      <c r="E342" s="11" t="n">
        <v>304.95</v>
      </c>
      <c r="F342" s="5" t="inlineStr">
        <is>
          <t>USD</t>
        </is>
      </c>
      <c r="G342" s="5" t="inlineStr">
        <is>
          <t>eBay API; vendedor rolamoto 100.0%; AMD Ryzen 7 5700X3D 3.00GHz 8 Core 100-000001503 16 Thread A</t>
        </is>
      </c>
      <c r="H342" s="6" t="inlineStr">
        <is>
          <t>ver</t>
        </is>
      </c>
    </row>
    <row r="343">
      <c r="A343" s="15" t="n">
        <v>46318</v>
      </c>
      <c r="B343" s="5" t="inlineStr">
        <is>
          <t>eBay</t>
        </is>
      </c>
      <c r="C343" s="5" t="inlineStr">
        <is>
          <t>Ryzen 5 7600</t>
        </is>
      </c>
      <c r="D343" s="5" t="inlineStr">
        <is>
          <t>usado</t>
        </is>
      </c>
      <c r="E343" s="11" t="n">
        <v>119</v>
      </c>
      <c r="F343" s="5" t="inlineStr">
        <is>
          <t>USD</t>
        </is>
      </c>
      <c r="G343" s="5" t="inlineStr">
        <is>
          <t xml:space="preserve">eBay API; vendedor piedmontreeltimemovies 99.6%; AMD Ryzen 5 7600 6-Core 3.8GHz Desktop CPU Processor Socket </t>
        </is>
      </c>
      <c r="H343" s="6" t="inlineStr">
        <is>
          <t>ver</t>
        </is>
      </c>
    </row>
    <row r="344">
      <c r="A344" s="15" t="n">
        <v>46318</v>
      </c>
      <c r="B344" s="5" t="inlineStr">
        <is>
          <t>eBay</t>
        </is>
      </c>
      <c r="C344" s="5" t="inlineStr">
        <is>
          <t>Ryzen 7 7800X3D</t>
        </is>
      </c>
      <c r="D344" s="5" t="inlineStr">
        <is>
          <t>usado</t>
        </is>
      </c>
      <c r="E344" s="11" t="n">
        <v>279.95</v>
      </c>
      <c r="F344" s="5" t="inlineStr">
        <is>
          <t>USD</t>
        </is>
      </c>
      <c r="G344" s="5" t="inlineStr">
        <is>
          <t>eBay API; vendedor catalinapawncp2 100.0%; AMD Ryzen 7 7800X3D 8-Core 16-Thread Desktop Processor 100-1</t>
        </is>
      </c>
      <c r="H344" s="6" t="inlineStr">
        <is>
          <t>ver</t>
        </is>
      </c>
    </row>
    <row r="345">
      <c r="A345" s="15" t="n">
        <v>46318</v>
      </c>
      <c r="B345" s="5" t="inlineStr">
        <is>
          <t>eBay</t>
        </is>
      </c>
      <c r="C345" s="5" t="inlineStr">
        <is>
          <t>Ryzen 9 9950X</t>
        </is>
      </c>
      <c r="D345" s="5" t="inlineStr">
        <is>
          <t>usado</t>
        </is>
      </c>
      <c r="E345" s="11" t="n">
        <v>454.99</v>
      </c>
      <c r="F345" s="5" t="inlineStr">
        <is>
          <t>USD</t>
        </is>
      </c>
      <c r="G345" s="5" t="inlineStr">
        <is>
          <t>eBay API; vendedor goodios_direct 99.6%; **  AMD Ryzen 9 9950X Processor - USED  **</t>
        </is>
      </c>
      <c r="H345" s="6" t="inlineStr">
        <is>
          <t>ver</t>
        </is>
      </c>
    </row>
    <row r="346">
      <c r="A346" s="15" t="n">
        <v>46318</v>
      </c>
      <c r="B346" s="5" t="inlineStr">
        <is>
          <t>eBay</t>
        </is>
      </c>
      <c r="C346" s="5" t="inlineStr">
        <is>
          <t>Intel Core i5-12400F</t>
        </is>
      </c>
      <c r="D346" s="5" t="inlineStr">
        <is>
          <t>usado</t>
        </is>
      </c>
      <c r="E346" s="11" t="n">
        <v>119.99</v>
      </c>
      <c r="F346" s="5" t="inlineStr">
        <is>
          <t>USD</t>
        </is>
      </c>
      <c r="G346" s="5" t="inlineStr">
        <is>
          <t>eBay API; vendedor paymore_arcadia_arizona 99.3%; Intel Core i5-12400F 2.50GHz 6 Core SRL4W 12 Thread LGA 1700</t>
        </is>
      </c>
      <c r="H346" s="6" t="inlineStr">
        <is>
          <t>ver</t>
        </is>
      </c>
    </row>
    <row r="347">
      <c r="A347" s="15" t="n">
        <v>46318</v>
      </c>
      <c r="B347" s="5" t="inlineStr">
        <is>
          <t>eBay</t>
        </is>
      </c>
      <c r="C347" s="5" t="inlineStr">
        <is>
          <t>Intel Core i5-13400</t>
        </is>
      </c>
      <c r="D347" s="5" t="inlineStr">
        <is>
          <t>usado</t>
        </is>
      </c>
      <c r="E347" s="11" t="n">
        <v>145</v>
      </c>
      <c r="F347" s="5" t="inlineStr">
        <is>
          <t>USD</t>
        </is>
      </c>
      <c r="G347" s="5" t="inlineStr">
        <is>
          <t>eBay API; vendedor cnil1635 99.8%; Intel Core i5-13400 - SRMBP - 10-Core - LGA1700 - Desktop CP</t>
        </is>
      </c>
      <c r="H347" s="6" t="inlineStr">
        <is>
          <t>ver</t>
        </is>
      </c>
    </row>
    <row r="348">
      <c r="A348" s="15" t="n">
        <v>46318</v>
      </c>
      <c r="B348" s="5" t="inlineStr">
        <is>
          <t>eBay</t>
        </is>
      </c>
      <c r="C348" s="5" t="inlineStr">
        <is>
          <t>Intel Core i5-14400F</t>
        </is>
      </c>
      <c r="D348" s="5" t="inlineStr">
        <is>
          <t>usado</t>
        </is>
      </c>
      <c r="E348" s="11" t="n">
        <v>130</v>
      </c>
      <c r="F348" s="5" t="inlineStr">
        <is>
          <t>USD</t>
        </is>
      </c>
      <c r="G348" s="5" t="inlineStr">
        <is>
          <t>eBay API; vendedor 19jdmcrx91 100.0%; Intel Core I5-14400F Desktop Processor ; envío no indicado</t>
        </is>
      </c>
      <c r="H348" s="6" t="inlineStr">
        <is>
          <t>ver</t>
        </is>
      </c>
    </row>
    <row r="349">
      <c r="A349" s="15" t="n">
        <v>46318</v>
      </c>
      <c r="B349" s="5" t="inlineStr">
        <is>
          <t>eBay</t>
        </is>
      </c>
      <c r="C349" s="5" t="inlineStr">
        <is>
          <t>Corsair Vengeance RGB DDR5 32GB (2x16) 5600</t>
        </is>
      </c>
      <c r="D349" s="5" t="inlineStr">
        <is>
          <t>usado</t>
        </is>
      </c>
      <c r="E349" s="11" t="n">
        <v>399.99</v>
      </c>
      <c r="F349" s="5" t="inlineStr">
        <is>
          <t>USD</t>
        </is>
      </c>
      <c r="G349" s="5" t="inlineStr">
        <is>
          <t>eBay API; vendedor wazno 99.7%; Corsair Vengeance RGB 32GB 2x16GB DDR5 RAM 5600MHz CMH32GX5M</t>
        </is>
      </c>
      <c r="H349" s="6" t="inlineStr">
        <is>
          <t>ver</t>
        </is>
      </c>
    </row>
    <row r="350">
      <c r="A350" s="15" t="n">
        <v>46318</v>
      </c>
      <c r="B350" s="5" t="inlineStr">
        <is>
          <t>eBay</t>
        </is>
      </c>
      <c r="C350" s="5" t="inlineStr">
        <is>
          <t>Corsair Vengeance RGB DDR5 32GB (2x16) 6000</t>
        </is>
      </c>
      <c r="D350" s="5" t="inlineStr">
        <is>
          <t>usado</t>
        </is>
      </c>
      <c r="E350" s="11" t="n">
        <v>389.99</v>
      </c>
      <c r="F350" s="5" t="inlineStr">
        <is>
          <t>USD</t>
        </is>
      </c>
      <c r="G350" s="5" t="inlineStr">
        <is>
          <t>eBay API; vendedor vindya123 100.0%; CORSAIR VENGEANCE RGB 32GB (2 x 16GB) DDR5-6000 cmh32gx5m2m6; envío no indicado</t>
        </is>
      </c>
      <c r="H350" s="6" t="inlineStr">
        <is>
          <t>ver</t>
        </is>
      </c>
    </row>
    <row r="351">
      <c r="A351" s="15" t="n">
        <v>46318</v>
      </c>
      <c r="B351" s="5" t="inlineStr">
        <is>
          <t>eBay</t>
        </is>
      </c>
      <c r="C351" s="5" t="inlineStr">
        <is>
          <t>RAM DDR4 16GB (2x8) 3200</t>
        </is>
      </c>
      <c r="D351" s="5" t="inlineStr">
        <is>
          <t>usado</t>
        </is>
      </c>
      <c r="E351" s="11" t="n">
        <v>64.98999999999999</v>
      </c>
      <c r="F351" s="5" t="inlineStr">
        <is>
          <t>USD</t>
        </is>
      </c>
      <c r="G351" s="5" t="inlineStr">
        <is>
          <t>eBay API; vendedor nextcycledepot 100.0%; Micron 16GB (2x8GB) DDR4-3200 DIMM Desktop Memory RAM MTA4AT; envío no indicado</t>
        </is>
      </c>
      <c r="H351" s="6" t="inlineStr">
        <is>
          <t>ver</t>
        </is>
      </c>
    </row>
    <row r="352">
      <c r="A352" s="15" t="n">
        <v>46318</v>
      </c>
      <c r="B352" s="5" t="inlineStr">
        <is>
          <t>eBay</t>
        </is>
      </c>
      <c r="C352" s="5" t="inlineStr">
        <is>
          <t>SSD NVMe 1TB</t>
        </is>
      </c>
      <c r="D352" s="5" t="inlineStr">
        <is>
          <t>usado</t>
        </is>
      </c>
      <c r="E352" s="11" t="n">
        <v>85</v>
      </c>
      <c r="F352" s="5" t="inlineStr">
        <is>
          <t>USD</t>
        </is>
      </c>
      <c r="G352" s="5" t="inlineStr">
        <is>
          <t>eBay API; vendedor friendlyearth206 99.1%; Timetec MS10 1TB SSD NVMe PCIe Gen3x4 3D NAND SSD 35TTFP6PCI; envío no indicado</t>
        </is>
      </c>
      <c r="H352" s="6" t="inlineStr">
        <is>
          <t>ver</t>
        </is>
      </c>
    </row>
    <row r="353">
      <c r="A353" s="15" t="n">
        <v>46318</v>
      </c>
      <c r="B353" s="5" t="inlineStr">
        <is>
          <t>eBay</t>
        </is>
      </c>
      <c r="C353" s="5" t="inlineStr">
        <is>
          <t>SSD NVMe 2TB</t>
        </is>
      </c>
      <c r="D353" s="5" t="inlineStr">
        <is>
          <t>usado</t>
        </is>
      </c>
      <c r="E353" s="11" t="n">
        <v>179.99</v>
      </c>
      <c r="F353" s="5" t="inlineStr">
        <is>
          <t>USD</t>
        </is>
      </c>
      <c r="G353" s="5" t="inlineStr">
        <is>
          <t>eBay API; vendedor wazno 99.7%; Western Digital SN530 2TB SSD PCIe Gen4 NVMe 2280 SSD SDBPNP</t>
        </is>
      </c>
      <c r="H353" s="6" t="inlineStr">
        <is>
          <t>ver</t>
        </is>
      </c>
    </row>
    <row r="354">
      <c r="A354" s="15" t="n">
        <v>46318</v>
      </c>
      <c r="B354" s="5" t="inlineStr">
        <is>
          <t>eBay</t>
        </is>
      </c>
      <c r="C354" s="5" t="inlineStr">
        <is>
          <t>Ryzen 7 7700X</t>
        </is>
      </c>
      <c r="D354" s="5" t="inlineStr">
        <is>
          <t>usado</t>
        </is>
      </c>
      <c r="E354" s="11" t="n">
        <v>189.99</v>
      </c>
      <c r="F354" s="5" t="inlineStr">
        <is>
          <t>USD</t>
        </is>
      </c>
      <c r="G354" s="5" t="inlineStr">
        <is>
          <t>eBay API; vendedor g-electronic 99.7%; AMD Ryzen 7 7700X Desktop Processor 8-Core, 16-Thread 4.5GHz</t>
        </is>
      </c>
      <c r="H354" s="6" t="inlineStr">
        <is>
          <t>ver</t>
        </is>
      </c>
    </row>
    <row r="355">
      <c r="A355" s="15" t="n">
        <v>46318</v>
      </c>
      <c r="B355" s="5" t="inlineStr">
        <is>
          <t>eBay</t>
        </is>
      </c>
      <c r="C355" s="5" t="inlineStr">
        <is>
          <t>Ryzen 5 7500F</t>
        </is>
      </c>
      <c r="D355" s="5" t="inlineStr">
        <is>
          <t>usado</t>
        </is>
      </c>
      <c r="E355" s="11" t="n">
        <v>129.99</v>
      </c>
      <c r="F355" s="5" t="inlineStr">
        <is>
          <t>USD</t>
        </is>
      </c>
      <c r="G355" s="5" t="inlineStr">
        <is>
          <t>eBay API; vendedor jorgejhj 100.0%; AMD Ryzen 5 7500F Ryzen 5 6-Core 3.7GHz Socket AM5; envío no indicado</t>
        </is>
      </c>
      <c r="H355" s="6" t="inlineStr">
        <is>
          <t>ver</t>
        </is>
      </c>
    </row>
    <row r="356">
      <c r="A356" s="15" t="n">
        <v>46319</v>
      </c>
      <c r="B356" s="5" t="inlineStr">
        <is>
          <t>eBay</t>
        </is>
      </c>
      <c r="C356" s="5" t="inlineStr">
        <is>
          <t>Ryzen 5 5600</t>
        </is>
      </c>
      <c r="D356" s="5" t="inlineStr">
        <is>
          <t>nuevo</t>
        </is>
      </c>
      <c r="E356" s="11" t="n">
        <v>135.98</v>
      </c>
      <c r="F356" s="5" t="inlineStr">
        <is>
          <t>USD</t>
        </is>
      </c>
      <c r="G356" s="5" t="inlineStr">
        <is>
          <t>eBay API; vendedor desolate_puppy 99.9%; (New) AMD Ryzen 5 5600 Vermeer Zen3 6-Core 12-Thread AM4 CPU</t>
        </is>
      </c>
      <c r="H356" s="6" t="inlineStr">
        <is>
          <t>ver</t>
        </is>
      </c>
    </row>
    <row r="357">
      <c r="A357" s="15" t="n">
        <v>46319</v>
      </c>
      <c r="B357" s="5" t="inlineStr">
        <is>
          <t>eBay</t>
        </is>
      </c>
      <c r="C357" s="5" t="inlineStr">
        <is>
          <t>Ryzen 5 7600</t>
        </is>
      </c>
      <c r="D357" s="5" t="inlineStr">
        <is>
          <t>nuevo</t>
        </is>
      </c>
      <c r="E357" s="11" t="n">
        <v>199.99</v>
      </c>
      <c r="F357" s="5" t="inlineStr">
        <is>
          <t>USD</t>
        </is>
      </c>
      <c r="G357" s="5" t="inlineStr">
        <is>
          <t xml:space="preserve">eBay API; vendedor collect_n_tech 99.4%; AMD Ryzen 5 7600 AMD Ryzen™ 7000 Series Processor Heat Sink </t>
        </is>
      </c>
      <c r="H357" s="6" t="inlineStr">
        <is>
          <t>ver</t>
        </is>
      </c>
    </row>
    <row r="358">
      <c r="A358" s="15" t="n">
        <v>46319</v>
      </c>
      <c r="B358" s="5" t="inlineStr">
        <is>
          <t>eBay</t>
        </is>
      </c>
      <c r="C358" s="5" t="inlineStr">
        <is>
          <t>Ryzen 7 7800X3D</t>
        </is>
      </c>
      <c r="D358" s="5" t="inlineStr">
        <is>
          <t>nuevo</t>
        </is>
      </c>
      <c r="E358" s="11" t="n">
        <v>329</v>
      </c>
      <c r="F358" s="5" t="inlineStr">
        <is>
          <t>USD</t>
        </is>
      </c>
      <c r="G358" s="5" t="inlineStr">
        <is>
          <t>eBay API; vendedor aaawavecom 99.8%; AMD Ryzen 7 7800X3D Processor Zen 4 8-Core 4.2GHz AM5 CPU (N</t>
        </is>
      </c>
      <c r="H358" s="6" t="inlineStr">
        <is>
          <t>ver</t>
        </is>
      </c>
    </row>
    <row r="359">
      <c r="A359" s="15" t="n">
        <v>46319</v>
      </c>
      <c r="B359" s="5" t="inlineStr">
        <is>
          <t>eBay</t>
        </is>
      </c>
      <c r="C359" s="5" t="inlineStr">
        <is>
          <t>Ryzen 9 9950X</t>
        </is>
      </c>
      <c r="D359" s="5" t="inlineStr">
        <is>
          <t>nuevo</t>
        </is>
      </c>
      <c r="E359" s="11" t="n">
        <v>549.99</v>
      </c>
      <c r="F359" s="5" t="inlineStr">
        <is>
          <t>USD</t>
        </is>
      </c>
      <c r="G359" s="5" t="inlineStr">
        <is>
          <t>eBay API; vendedor newegg 99.6%; AMD Ryzen 9 9950X - Ryzen 9 9000 Series Granite Ridge (Zen 5</t>
        </is>
      </c>
      <c r="H359" s="6" t="inlineStr">
        <is>
          <t>ver</t>
        </is>
      </c>
    </row>
    <row r="360">
      <c r="A360" s="15" t="n">
        <v>46319</v>
      </c>
      <c r="B360" s="5" t="inlineStr">
        <is>
          <t>eBay</t>
        </is>
      </c>
      <c r="C360" s="5" t="inlineStr">
        <is>
          <t>Intel Core i5-12400F</t>
        </is>
      </c>
      <c r="D360" s="5" t="inlineStr">
        <is>
          <t>nuevo</t>
        </is>
      </c>
      <c r="E360" s="11" t="n">
        <v>145</v>
      </c>
      <c r="F360" s="5" t="inlineStr">
        <is>
          <t>USD</t>
        </is>
      </c>
      <c r="G360" s="5" t="inlineStr">
        <is>
          <t>eBay API; vendedor picturesofheaven 99.8%; NEW - INTEL CPU Core i5-12400F / 6/12 / 2.5GHz / BX807151240</t>
        </is>
      </c>
      <c r="H360" s="6" t="inlineStr">
        <is>
          <t>ver</t>
        </is>
      </c>
    </row>
    <row r="361">
      <c r="A361" s="15" t="n">
        <v>46319</v>
      </c>
      <c r="B361" s="5" t="inlineStr">
        <is>
          <t>eBay</t>
        </is>
      </c>
      <c r="C361" s="5" t="inlineStr">
        <is>
          <t>Intel Core i5-14400F</t>
        </is>
      </c>
      <c r="D361" s="5" t="inlineStr">
        <is>
          <t>nuevo</t>
        </is>
      </c>
      <c r="E361" s="11" t="n">
        <v>164.49</v>
      </c>
      <c r="F361" s="5" t="inlineStr">
        <is>
          <t>USD</t>
        </is>
      </c>
      <c r="G361" s="5" t="inlineStr">
        <is>
          <t xml:space="preserve">eBay API; vendedor newegg 99.6%; Intel Core i5-14400F - Core i5 14th Gen Raptor Lake 10-Core </t>
        </is>
      </c>
      <c r="H361" s="6" t="inlineStr">
        <is>
          <t>ver</t>
        </is>
      </c>
    </row>
    <row r="362">
      <c r="A362" s="15" t="n">
        <v>46319</v>
      </c>
      <c r="B362" s="5" t="inlineStr">
        <is>
          <t>eBay</t>
        </is>
      </c>
      <c r="C362" s="5" t="inlineStr">
        <is>
          <t>Intel Core Ultra 7 265K</t>
        </is>
      </c>
      <c r="D362" s="5" t="inlineStr">
        <is>
          <t>nuevo</t>
        </is>
      </c>
      <c r="E362" s="11" t="n">
        <v>259.99</v>
      </c>
      <c r="F362" s="5" t="inlineStr">
        <is>
          <t>USD</t>
        </is>
      </c>
      <c r="G362" s="5" t="inlineStr">
        <is>
          <t>eBay API; vendedor luis11389 99.1%; Intel Core Ultra 7 265K 20-Core LGA 1851 Unlocked CPU BX8076; envío no indicado</t>
        </is>
      </c>
      <c r="H362" s="6" t="inlineStr">
        <is>
          <t>ver</t>
        </is>
      </c>
    </row>
    <row r="363">
      <c r="A363" s="15" t="n">
        <v>46319</v>
      </c>
      <c r="B363" s="5" t="inlineStr">
        <is>
          <t>eBay</t>
        </is>
      </c>
      <c r="C363" s="5" t="inlineStr">
        <is>
          <t>Corsair Vengeance RGB DDR5 32GB (2x16) 5600</t>
        </is>
      </c>
      <c r="D363" s="5" t="inlineStr">
        <is>
          <t>nuevo</t>
        </is>
      </c>
      <c r="E363" s="11" t="n">
        <v>459</v>
      </c>
      <c r="F363" s="5" t="inlineStr">
        <is>
          <t>USD</t>
        </is>
      </c>
      <c r="G363" s="5" t="inlineStr">
        <is>
          <t>eBay API; vendedor 2012roms 100.0%; Corsair Vengeance 32GB (2x16GB) DDR5 5600MHz CL36 Desktop RA; envío no indicado</t>
        </is>
      </c>
      <c r="H363" s="6" t="inlineStr">
        <is>
          <t>ver</t>
        </is>
      </c>
    </row>
    <row r="364">
      <c r="A364" s="15" t="n">
        <v>46319</v>
      </c>
      <c r="B364" s="5" t="inlineStr">
        <is>
          <t>eBay</t>
        </is>
      </c>
      <c r="C364" s="5" t="inlineStr">
        <is>
          <t>Corsair Vengeance RGB DDR5 32GB (2x16) 6000</t>
        </is>
      </c>
      <c r="D364" s="5" t="inlineStr">
        <is>
          <t>nuevo</t>
        </is>
      </c>
      <c r="E364" s="11" t="n">
        <v>450</v>
      </c>
      <c r="F364" s="5" t="inlineStr">
        <is>
          <t>USD</t>
        </is>
      </c>
      <c r="G364" s="5" t="inlineStr">
        <is>
          <t>eBay API; vendedor andreschneidernyc 100.0%; Corsair Vengeance RGB 32GB (2x16GB) DDR5-6000 DIMM AMD EXPO ; envío no indicado</t>
        </is>
      </c>
      <c r="H364" s="6" t="inlineStr">
        <is>
          <t>ver</t>
        </is>
      </c>
    </row>
    <row r="365">
      <c r="A365" s="15" t="n">
        <v>46319</v>
      </c>
      <c r="B365" s="5" t="inlineStr">
        <is>
          <t>eBay</t>
        </is>
      </c>
      <c r="C365" s="5" t="inlineStr">
        <is>
          <t>RAM DDR4 16GB (2x8) 3200</t>
        </is>
      </c>
      <c r="D365" s="5" t="inlineStr">
        <is>
          <t>nuevo</t>
        </is>
      </c>
      <c r="E365" s="11" t="n">
        <v>109</v>
      </c>
      <c r="F365" s="5" t="inlineStr">
        <is>
          <t>USD</t>
        </is>
      </c>
      <c r="G365" s="5" t="inlineStr">
        <is>
          <t>eBay API; vendedor memorymasters 99.7%; 16GB 2x 8GB PC4-25600 Desktop DIMM DDR4 3200MHz Non-ECC Memo</t>
        </is>
      </c>
      <c r="H365" s="6" t="inlineStr">
        <is>
          <t>ver</t>
        </is>
      </c>
    </row>
    <row r="366">
      <c r="A366" s="15" t="n">
        <v>46319</v>
      </c>
      <c r="B366" s="5" t="inlineStr">
        <is>
          <t>eBay</t>
        </is>
      </c>
      <c r="C366" s="5" t="inlineStr">
        <is>
          <t>SSD NVMe 1TB</t>
        </is>
      </c>
      <c r="D366" s="5" t="inlineStr">
        <is>
          <t>nuevo</t>
        </is>
      </c>
      <c r="E366" s="11" t="n">
        <v>114.99</v>
      </c>
      <c r="F366" s="5" t="inlineStr">
        <is>
          <t>USD</t>
        </is>
      </c>
      <c r="G366" s="5" t="inlineStr">
        <is>
          <t>eBay API; vendedor gadgetworld03 99.0%; Derlar DN-850Q 1TB M.2 NVME PCIe 4.0 SSD - New</t>
        </is>
      </c>
      <c r="H366" s="6" t="inlineStr">
        <is>
          <t>ver</t>
        </is>
      </c>
    </row>
    <row r="367">
      <c r="A367" s="15" t="n">
        <v>46319</v>
      </c>
      <c r="B367" s="5" t="inlineStr">
        <is>
          <t>eBay</t>
        </is>
      </c>
      <c r="C367" s="5" t="inlineStr">
        <is>
          <t>SSD NVMe 2TB</t>
        </is>
      </c>
      <c r="D367" s="5" t="inlineStr">
        <is>
          <t>nuevo</t>
        </is>
      </c>
      <c r="E367" s="11" t="n">
        <v>185</v>
      </c>
      <c r="F367" s="5" t="inlineStr">
        <is>
          <t>USD</t>
        </is>
      </c>
      <c r="G367" s="5" t="inlineStr">
        <is>
          <t>eBay API; vendedor honestdeals 100.0%; 2TB Leven 2280mm Lares 2TB M.2 NVMe Gen 3.0 SSD JPS600-2TB T</t>
        </is>
      </c>
      <c r="H367" s="6" t="inlineStr">
        <is>
          <t>ver</t>
        </is>
      </c>
    </row>
    <row r="368">
      <c r="A368" s="15" t="n">
        <v>46319</v>
      </c>
      <c r="B368" s="5" t="inlineStr">
        <is>
          <t>eBay</t>
        </is>
      </c>
      <c r="C368" s="5" t="inlineStr">
        <is>
          <t>Ryzen 7 7700X</t>
        </is>
      </c>
      <c r="D368" s="5" t="inlineStr">
        <is>
          <t>nuevo</t>
        </is>
      </c>
      <c r="E368" s="11" t="n">
        <v>219</v>
      </c>
      <c r="F368" s="5" t="inlineStr">
        <is>
          <t>USD</t>
        </is>
      </c>
      <c r="G368" s="5" t="inlineStr">
        <is>
          <t>eBay API; vendedor greatdaytreasures 100.0%; AMD Ryzen 7 7700X CPU Processor - Brand New/Unopened</t>
        </is>
      </c>
      <c r="H368" s="6" t="inlineStr">
        <is>
          <t>ver</t>
        </is>
      </c>
    </row>
    <row r="369">
      <c r="A369" s="15" t="n">
        <v>46319</v>
      </c>
      <c r="B369" s="5" t="inlineStr">
        <is>
          <t>eBay</t>
        </is>
      </c>
      <c r="C369" s="5" t="inlineStr">
        <is>
          <t>Ryzen 5 7500F</t>
        </is>
      </c>
      <c r="D369" s="5" t="inlineStr">
        <is>
          <t>nuevo</t>
        </is>
      </c>
      <c r="E369" s="11" t="n">
        <v>135.99</v>
      </c>
      <c r="F369" s="5" t="inlineStr">
        <is>
          <t>USD</t>
        </is>
      </c>
      <c r="G369" s="5" t="inlineStr">
        <is>
          <t>eBay API; vendedor technological-trend 99.3%; AMD 100-000000597 Socket AM5 Without Cooler AMD Ryzen 5 7500</t>
        </is>
      </c>
      <c r="H369" s="6" t="inlineStr">
        <is>
          <t>ver</t>
        </is>
      </c>
    </row>
    <row r="370">
      <c r="A370" s="15" t="n">
        <v>46319</v>
      </c>
      <c r="B370" s="5" t="inlineStr">
        <is>
          <t>eBay</t>
        </is>
      </c>
      <c r="C370" s="5" t="inlineStr">
        <is>
          <t>Ryzen 5 5600</t>
        </is>
      </c>
      <c r="D370" s="5" t="inlineStr">
        <is>
          <t>usado</t>
        </is>
      </c>
      <c r="E370" s="11" t="n">
        <v>135.99</v>
      </c>
      <c r="F370" s="5" t="inlineStr">
        <is>
          <t>USD</t>
        </is>
      </c>
      <c r="G370" s="5" t="inlineStr">
        <is>
          <t>eBay API; vendedor damoses1 100.0%; AMD Ryzen 5 5600 6-Core 12-Thread Socket AM4 3.5GHz 4.4 Boos; envío no indicado</t>
        </is>
      </c>
      <c r="H370" s="6" t="inlineStr">
        <is>
          <t>ver</t>
        </is>
      </c>
    </row>
    <row r="371">
      <c r="A371" s="15" t="n">
        <v>46319</v>
      </c>
      <c r="B371" s="5" t="inlineStr">
        <is>
          <t>eBay</t>
        </is>
      </c>
      <c r="C371" s="5" t="inlineStr">
        <is>
          <t>Ryzen 7 5700X3D</t>
        </is>
      </c>
      <c r="D371" s="5" t="inlineStr">
        <is>
          <t>usado</t>
        </is>
      </c>
      <c r="E371" s="11" t="n">
        <v>299.99</v>
      </c>
      <c r="F371" s="5" t="inlineStr">
        <is>
          <t>USD</t>
        </is>
      </c>
      <c r="G371" s="5" t="inlineStr">
        <is>
          <t>eBay API; vendedor kjhutto1189 100.0%; AMD Ryzen 7 5700x3d AM4 Processor With Original Box 3.0GHz 4; envío no indicado</t>
        </is>
      </c>
      <c r="H371" s="6" t="inlineStr">
        <is>
          <t>ver</t>
        </is>
      </c>
    </row>
    <row r="372">
      <c r="A372" s="15" t="n">
        <v>46319</v>
      </c>
      <c r="B372" s="5" t="inlineStr">
        <is>
          <t>eBay</t>
        </is>
      </c>
      <c r="C372" s="5" t="inlineStr">
        <is>
          <t>Ryzen 5 7600</t>
        </is>
      </c>
      <c r="D372" s="5" t="inlineStr">
        <is>
          <t>usado</t>
        </is>
      </c>
      <c r="E372" s="11" t="n">
        <v>119</v>
      </c>
      <c r="F372" s="5" t="inlineStr">
        <is>
          <t>USD</t>
        </is>
      </c>
      <c r="G372" s="5" t="inlineStr">
        <is>
          <t xml:space="preserve">eBay API; vendedor piedmontreeltimemovies 99.6%; AMD Ryzen 5 7600 6-Core 3.8GHz Desktop CPU Processor Socket </t>
        </is>
      </c>
      <c r="H372" s="6" t="inlineStr">
        <is>
          <t>ver</t>
        </is>
      </c>
    </row>
    <row r="373">
      <c r="A373" s="15" t="n">
        <v>46319</v>
      </c>
      <c r="B373" s="5" t="inlineStr">
        <is>
          <t>eBay</t>
        </is>
      </c>
      <c r="C373" s="5" t="inlineStr">
        <is>
          <t>Ryzen 7 7800X3D</t>
        </is>
      </c>
      <c r="D373" s="5" t="inlineStr">
        <is>
          <t>usado</t>
        </is>
      </c>
      <c r="E373" s="11" t="n">
        <v>275</v>
      </c>
      <c r="F373" s="5" t="inlineStr">
        <is>
          <t>USD</t>
        </is>
      </c>
      <c r="G373" s="5" t="inlineStr">
        <is>
          <t>eBay API; vendedor kjhutto1189 100.0%; AMD Ryzen 7 7800X3D Processor (5 GHz, 8 Cores, Socket AM5) B; envío no indicado</t>
        </is>
      </c>
      <c r="H373" s="6" t="inlineStr">
        <is>
          <t>ver</t>
        </is>
      </c>
    </row>
    <row r="374">
      <c r="A374" s="15" t="n">
        <v>46319</v>
      </c>
      <c r="B374" s="5" t="inlineStr">
        <is>
          <t>eBay</t>
        </is>
      </c>
      <c r="C374" s="5" t="inlineStr">
        <is>
          <t>Ryzen 9 9950X</t>
        </is>
      </c>
      <c r="D374" s="5" t="inlineStr">
        <is>
          <t>usado</t>
        </is>
      </c>
      <c r="E374" s="11" t="n">
        <v>454.99</v>
      </c>
      <c r="F374" s="5" t="inlineStr">
        <is>
          <t>USD</t>
        </is>
      </c>
      <c r="G374" s="5" t="inlineStr">
        <is>
          <t>eBay API; vendedor goodios_direct 99.6%; **  AMD Ryzen 9 9950X Processor - USED  **</t>
        </is>
      </c>
      <c r="H374" s="6" t="inlineStr">
        <is>
          <t>ver</t>
        </is>
      </c>
    </row>
    <row r="375">
      <c r="A375" s="15" t="n">
        <v>46319</v>
      </c>
      <c r="B375" s="5" t="inlineStr">
        <is>
          <t>eBay</t>
        </is>
      </c>
      <c r="C375" s="5" t="inlineStr">
        <is>
          <t>Intel Core i5-12400F</t>
        </is>
      </c>
      <c r="D375" s="5" t="inlineStr">
        <is>
          <t>usado</t>
        </is>
      </c>
      <c r="E375" s="11" t="n">
        <v>112</v>
      </c>
      <c r="F375" s="5" t="inlineStr">
        <is>
          <t>USD</t>
        </is>
      </c>
      <c r="G375" s="5" t="inlineStr">
        <is>
          <t>eBay API; vendedor dakotascornershop 100.0%; Intel Core i5-12400F 2.50GHz 6 Core SRL4W 12 Thread LGA 1700</t>
        </is>
      </c>
      <c r="H375" s="6" t="inlineStr">
        <is>
          <t>ver</t>
        </is>
      </c>
    </row>
    <row r="376">
      <c r="A376" s="15" t="n">
        <v>46319</v>
      </c>
      <c r="B376" s="5" t="inlineStr">
        <is>
          <t>eBay</t>
        </is>
      </c>
      <c r="C376" s="5" t="inlineStr">
        <is>
          <t>Intel Core i5-13400</t>
        </is>
      </c>
      <c r="D376" s="5" t="inlineStr">
        <is>
          <t>usado</t>
        </is>
      </c>
      <c r="E376" s="11" t="n">
        <v>149.95</v>
      </c>
      <c r="F376" s="5" t="inlineStr">
        <is>
          <t>USD</t>
        </is>
      </c>
      <c r="G376" s="5" t="inlineStr">
        <is>
          <t>eBay API; vendedor cityewaste 99.4%; Intel Core i5-13400 2.50GHz 10-Core LGA1700 20MB SRMBP Deskt</t>
        </is>
      </c>
      <c r="H376" s="6" t="inlineStr">
        <is>
          <t>ver</t>
        </is>
      </c>
    </row>
    <row r="377">
      <c r="A377" s="15" t="n">
        <v>46319</v>
      </c>
      <c r="B377" s="5" t="inlineStr">
        <is>
          <t>eBay</t>
        </is>
      </c>
      <c r="C377" s="5" t="inlineStr">
        <is>
          <t>Intel Core i5-14400F</t>
        </is>
      </c>
      <c r="D377" s="5" t="inlineStr">
        <is>
          <t>usado</t>
        </is>
      </c>
      <c r="E377" s="11" t="n">
        <v>129.99</v>
      </c>
      <c r="F377" s="5" t="inlineStr">
        <is>
          <t>USD</t>
        </is>
      </c>
      <c r="G377" s="5" t="inlineStr">
        <is>
          <t>eBay API; vendedor paymore_south_san_francisco 99.5%; Intel Core i5-14400F 2.50GHz 10 Core SRN3R 16 Thread LGA 170</t>
        </is>
      </c>
      <c r="H377" s="6" t="inlineStr">
        <is>
          <t>ver</t>
        </is>
      </c>
    </row>
    <row r="378">
      <c r="A378" s="15" t="n">
        <v>46319</v>
      </c>
      <c r="B378" s="5" t="inlineStr">
        <is>
          <t>eBay</t>
        </is>
      </c>
      <c r="C378" s="5" t="inlineStr">
        <is>
          <t>Intel Core Ultra 7 265K</t>
        </is>
      </c>
      <c r="D378" s="5" t="inlineStr">
        <is>
          <t>usado</t>
        </is>
      </c>
      <c r="E378" s="11" t="n">
        <v>225</v>
      </c>
      <c r="F378" s="5" t="inlineStr">
        <is>
          <t>USD</t>
        </is>
      </c>
      <c r="G378" s="5" t="inlineStr">
        <is>
          <t>eBay API; vendedor wojiapanpan_4 100.0%; Intel Core Ultra 7 265K 3.90GHz 20 Core 20 Thread LGA 1851</t>
        </is>
      </c>
      <c r="H378" s="6" t="inlineStr">
        <is>
          <t>ver</t>
        </is>
      </c>
    </row>
    <row r="379">
      <c r="A379" s="15" t="n">
        <v>46319</v>
      </c>
      <c r="B379" s="5" t="inlineStr">
        <is>
          <t>eBay</t>
        </is>
      </c>
      <c r="C379" s="5" t="inlineStr">
        <is>
          <t>Corsair Vengeance RGB DDR5 32GB (2x16) 5600</t>
        </is>
      </c>
      <c r="D379" s="5" t="inlineStr">
        <is>
          <t>usado</t>
        </is>
      </c>
      <c r="E379" s="11" t="n">
        <v>389.99</v>
      </c>
      <c r="F379" s="5" t="inlineStr">
        <is>
          <t>USD</t>
        </is>
      </c>
      <c r="G379" s="5" t="inlineStr">
        <is>
          <t>eBay API; vendedor paymore_fredericksburg 99.5%; Corsair Vengeance RGB 32GB (2x16GB) RAM DDR5 5600MHz CMH32GX</t>
        </is>
      </c>
      <c r="H379" s="6" t="inlineStr">
        <is>
          <t>ver</t>
        </is>
      </c>
    </row>
    <row r="380">
      <c r="A380" s="15" t="n">
        <v>46319</v>
      </c>
      <c r="B380" s="5" t="inlineStr">
        <is>
          <t>eBay</t>
        </is>
      </c>
      <c r="C380" s="5" t="inlineStr">
        <is>
          <t>Corsair Vengeance RGB DDR5 32GB (2x16) 6000</t>
        </is>
      </c>
      <c r="D380" s="5" t="inlineStr">
        <is>
          <t>usado</t>
        </is>
      </c>
      <c r="E380" s="11" t="n">
        <v>389.99</v>
      </c>
      <c r="F380" s="5" t="inlineStr">
        <is>
          <t>USD</t>
        </is>
      </c>
      <c r="G380" s="5" t="inlineStr">
        <is>
          <t>eBay API; vendedor vindya123 100.0%; CORSAIR VENGEANCE RGB 32GB (2 x 16GB) DDR5-6000 cmh32gx5m2m6; envío no indicado</t>
        </is>
      </c>
      <c r="H380" s="6" t="inlineStr">
        <is>
          <t>ver</t>
        </is>
      </c>
    </row>
    <row r="381">
      <c r="A381" s="15" t="n">
        <v>46319</v>
      </c>
      <c r="B381" s="5" t="inlineStr">
        <is>
          <t>eBay</t>
        </is>
      </c>
      <c r="C381" s="5" t="inlineStr">
        <is>
          <t>RAM DDR4 16GB (2x8) 3200</t>
        </is>
      </c>
      <c r="D381" s="5" t="inlineStr">
        <is>
          <t>usado</t>
        </is>
      </c>
      <c r="E381" s="11" t="n">
        <v>69.98999999999999</v>
      </c>
      <c r="F381" s="5" t="inlineStr">
        <is>
          <t>USD</t>
        </is>
      </c>
      <c r="G381" s="5" t="inlineStr">
        <is>
          <t>eBay API; vendedor florida_pcsurplus 99.5%; SK Hynix 16GB (2x8GB) DDR4 3200MHz Desktop Ram Memory HMA81G; envío no indicado</t>
        </is>
      </c>
      <c r="H381" s="6" t="inlineStr">
        <is>
          <t>ver</t>
        </is>
      </c>
    </row>
    <row r="382">
      <c r="A382" s="15" t="n">
        <v>46319</v>
      </c>
      <c r="B382" s="5" t="inlineStr">
        <is>
          <t>eBay</t>
        </is>
      </c>
      <c r="C382" s="5" t="inlineStr">
        <is>
          <t>SSD NVMe 1TB</t>
        </is>
      </c>
      <c r="D382" s="5" t="inlineStr">
        <is>
          <t>usado</t>
        </is>
      </c>
      <c r="E382" s="11" t="n">
        <v>85</v>
      </c>
      <c r="F382" s="5" t="inlineStr">
        <is>
          <t>USD</t>
        </is>
      </c>
      <c r="G382" s="5" t="inlineStr">
        <is>
          <t>eBay API; vendedor friendlyearth206 99.2%; Timetec MS10 1TB SSD NVMe PCIe Gen3x4 3D NAND SSD 35TTFP6PCI; envío no indicado</t>
        </is>
      </c>
      <c r="H382" s="6" t="inlineStr">
        <is>
          <t>ver</t>
        </is>
      </c>
    </row>
    <row r="383">
      <c r="A383" s="15" t="n">
        <v>46319</v>
      </c>
      <c r="B383" s="5" t="inlineStr">
        <is>
          <t>eBay</t>
        </is>
      </c>
      <c r="C383" s="5" t="inlineStr">
        <is>
          <t>SSD NVMe 2TB</t>
        </is>
      </c>
      <c r="D383" s="5" t="inlineStr">
        <is>
          <t>usado</t>
        </is>
      </c>
      <c r="E383" s="11" t="n">
        <v>179.99</v>
      </c>
      <c r="F383" s="5" t="inlineStr">
        <is>
          <t>USD</t>
        </is>
      </c>
      <c r="G383" s="5" t="inlineStr">
        <is>
          <t>eBay API; vendedor wazno 99.7%; Western Digital SN530 2TB SSD PCIe Gen4 NVMe 2280 SSD SDBPNP</t>
        </is>
      </c>
      <c r="H383" s="6" t="inlineStr">
        <is>
          <t>ver</t>
        </is>
      </c>
    </row>
    <row r="384">
      <c r="A384" s="15" t="n">
        <v>46319</v>
      </c>
      <c r="B384" s="5" t="inlineStr">
        <is>
          <t>eBay</t>
        </is>
      </c>
      <c r="C384" s="5" t="inlineStr">
        <is>
          <t>Ryzen 7 7700X</t>
        </is>
      </c>
      <c r="D384" s="5" t="inlineStr">
        <is>
          <t>usado</t>
        </is>
      </c>
      <c r="E384" s="11" t="n">
        <v>189.99</v>
      </c>
      <c r="F384" s="5" t="inlineStr">
        <is>
          <t>USD</t>
        </is>
      </c>
      <c r="G384" s="5" t="inlineStr">
        <is>
          <t>eBay API; vendedor g-electronic 99.7%; AMD Ryzen 7 7700X Desktop Processor 8-Core, 16-Thread 4.5GHz</t>
        </is>
      </c>
      <c r="H384" s="6" t="inlineStr">
        <is>
          <t>ver</t>
        </is>
      </c>
    </row>
    <row r="385">
      <c r="A385" s="15" t="n">
        <v>46319</v>
      </c>
      <c r="B385" s="5" t="inlineStr">
        <is>
          <t>eBay</t>
        </is>
      </c>
      <c r="C385" s="5" t="inlineStr">
        <is>
          <t>Ryzen 5 7500F</t>
        </is>
      </c>
      <c r="D385" s="5" t="inlineStr">
        <is>
          <t>usado</t>
        </is>
      </c>
      <c r="E385" s="11" t="n">
        <v>129.99</v>
      </c>
      <c r="F385" s="5" t="inlineStr">
        <is>
          <t>USD</t>
        </is>
      </c>
      <c r="G385" s="5" t="inlineStr">
        <is>
          <t>eBay API; vendedor jorgejhj 100.0%; AMD Ryzen 5 7500F Ryzen 5 6-Core 3.7GHz Socket AM5; envío no indicado</t>
        </is>
      </c>
      <c r="H385" s="6" t="inlineStr">
        <is>
          <t>ver</t>
        </is>
      </c>
    </row>
    <row r="386">
      <c r="A386" s="15" t="n">
        <v>46320</v>
      </c>
      <c r="B386" s="5" t="inlineStr">
        <is>
          <t>eBay</t>
        </is>
      </c>
      <c r="C386" s="5" t="inlineStr">
        <is>
          <t>Ryzen 5 5600</t>
        </is>
      </c>
      <c r="D386" s="5" t="inlineStr">
        <is>
          <t>nuevo</t>
        </is>
      </c>
      <c r="E386" s="11" t="n">
        <v>135.98</v>
      </c>
      <c r="F386" s="5" t="inlineStr">
        <is>
          <t>USD</t>
        </is>
      </c>
      <c r="G386" s="5" t="inlineStr">
        <is>
          <t>eBay API; vendedor desolate_puppy 99.9%; (New) AMD Ryzen 5 5600 Vermeer Zen3 6-Core 12-Thread AM4 CPU</t>
        </is>
      </c>
      <c r="H386" s="6" t="inlineStr">
        <is>
          <t>ver</t>
        </is>
      </c>
    </row>
    <row r="387">
      <c r="A387" s="15" t="n">
        <v>46320</v>
      </c>
      <c r="B387" s="5" t="inlineStr">
        <is>
          <t>eBay</t>
        </is>
      </c>
      <c r="C387" s="5" t="inlineStr">
        <is>
          <t>Ryzen 5 7600</t>
        </is>
      </c>
      <c r="D387" s="5" t="inlineStr">
        <is>
          <t>nuevo</t>
        </is>
      </c>
      <c r="E387" s="11" t="n">
        <v>199.99</v>
      </c>
      <c r="F387" s="5" t="inlineStr">
        <is>
          <t>USD</t>
        </is>
      </c>
      <c r="G387" s="5" t="inlineStr">
        <is>
          <t xml:space="preserve">eBay API; vendedor collect_n_tech 99.4%; AMD Ryzen 5 7600 AMD Ryzen™ 7000 Series Processor Heat Sink </t>
        </is>
      </c>
      <c r="H387" s="6" t="inlineStr">
        <is>
          <t>ver</t>
        </is>
      </c>
    </row>
    <row r="388">
      <c r="A388" s="15" t="n">
        <v>46320</v>
      </c>
      <c r="B388" s="5" t="inlineStr">
        <is>
          <t>eBay</t>
        </is>
      </c>
      <c r="C388" s="5" t="inlineStr">
        <is>
          <t>Ryzen 7 7800X3D</t>
        </is>
      </c>
      <c r="D388" s="5" t="inlineStr">
        <is>
          <t>nuevo</t>
        </is>
      </c>
      <c r="E388" s="11" t="n">
        <v>329</v>
      </c>
      <c r="F388" s="5" t="inlineStr">
        <is>
          <t>USD</t>
        </is>
      </c>
      <c r="G388" s="5" t="inlineStr">
        <is>
          <t>eBay API; vendedor aaawavecom 99.8%; AMD Ryzen 7 7800X3D Processor Zen 4 8-Core 4.2GHz AM5 CPU (N</t>
        </is>
      </c>
      <c r="H388" s="6" t="inlineStr">
        <is>
          <t>ver</t>
        </is>
      </c>
    </row>
    <row r="389">
      <c r="A389" s="15" t="n">
        <v>46320</v>
      </c>
      <c r="B389" s="5" t="inlineStr">
        <is>
          <t>eBay</t>
        </is>
      </c>
      <c r="C389" s="5" t="inlineStr">
        <is>
          <t>Ryzen 9 9950X</t>
        </is>
      </c>
      <c r="D389" s="5" t="inlineStr">
        <is>
          <t>nuevo</t>
        </is>
      </c>
      <c r="E389" s="11" t="n">
        <v>549.99</v>
      </c>
      <c r="F389" s="5" t="inlineStr">
        <is>
          <t>USD</t>
        </is>
      </c>
      <c r="G389" s="5" t="inlineStr">
        <is>
          <t>eBay API; vendedor newegg 99.6%; AMD Ryzen 9 9950X - Ryzen 9 9000 Series Granite Ridge (Zen 5</t>
        </is>
      </c>
      <c r="H389" s="6" t="inlineStr">
        <is>
          <t>ver</t>
        </is>
      </c>
    </row>
    <row r="390">
      <c r="A390" s="15" t="n">
        <v>46320</v>
      </c>
      <c r="B390" s="5" t="inlineStr">
        <is>
          <t>eBay</t>
        </is>
      </c>
      <c r="C390" s="5" t="inlineStr">
        <is>
          <t>Intel Core i5-12400F</t>
        </is>
      </c>
      <c r="D390" s="5" t="inlineStr">
        <is>
          <t>nuevo</t>
        </is>
      </c>
      <c r="E390" s="11" t="n">
        <v>145</v>
      </c>
      <c r="F390" s="5" t="inlineStr">
        <is>
          <t>USD</t>
        </is>
      </c>
      <c r="G390" s="5" t="inlineStr">
        <is>
          <t>eBay API; vendedor picturesofheaven 99.8%; NEW - INTEL CPU Core i5-12400F / 6/12 / 2.5GHz / BX807151240</t>
        </is>
      </c>
      <c r="H390" s="6" t="inlineStr">
        <is>
          <t>ver</t>
        </is>
      </c>
    </row>
    <row r="391">
      <c r="A391" s="15" t="n">
        <v>46320</v>
      </c>
      <c r="B391" s="5" t="inlineStr">
        <is>
          <t>eBay</t>
        </is>
      </c>
      <c r="C391" s="5" t="inlineStr">
        <is>
          <t>Intel Core i5-14400F</t>
        </is>
      </c>
      <c r="D391" s="5" t="inlineStr">
        <is>
          <t>nuevo</t>
        </is>
      </c>
      <c r="E391" s="11" t="n">
        <v>164.49</v>
      </c>
      <c r="F391" s="5" t="inlineStr">
        <is>
          <t>USD</t>
        </is>
      </c>
      <c r="G391" s="5" t="inlineStr">
        <is>
          <t xml:space="preserve">eBay API; vendedor newegg 99.6%; Intel Core i5-14400F - Core i5 14th Gen Raptor Lake 10-Core </t>
        </is>
      </c>
      <c r="H391" s="6" t="inlineStr">
        <is>
          <t>ver</t>
        </is>
      </c>
    </row>
    <row r="392">
      <c r="A392" s="15" t="n">
        <v>46320</v>
      </c>
      <c r="B392" s="5" t="inlineStr">
        <is>
          <t>eBay</t>
        </is>
      </c>
      <c r="C392" s="5" t="inlineStr">
        <is>
          <t>Intel Core Ultra 7 265K</t>
        </is>
      </c>
      <c r="D392" s="5" t="inlineStr">
        <is>
          <t>nuevo</t>
        </is>
      </c>
      <c r="E392" s="11" t="n">
        <v>259.99</v>
      </c>
      <c r="F392" s="5" t="inlineStr">
        <is>
          <t>USD</t>
        </is>
      </c>
      <c r="G392" s="5" t="inlineStr">
        <is>
          <t>eBay API; vendedor luis11389 99.1%; Intel Core Ultra 7 265K 20-Core LGA 1851 Unlocked CPU BX8076; envío no indicado</t>
        </is>
      </c>
      <c r="H392" s="6" t="inlineStr">
        <is>
          <t>ver</t>
        </is>
      </c>
    </row>
    <row r="393">
      <c r="A393" s="15" t="n">
        <v>46320</v>
      </c>
      <c r="B393" s="5" t="inlineStr">
        <is>
          <t>eBay</t>
        </is>
      </c>
      <c r="C393" s="5" t="inlineStr">
        <is>
          <t>Corsair Vengeance RGB DDR5 32GB (2x16) 5600</t>
        </is>
      </c>
      <c r="D393" s="5" t="inlineStr">
        <is>
          <t>nuevo</t>
        </is>
      </c>
      <c r="E393" s="11" t="n">
        <v>459</v>
      </c>
      <c r="F393" s="5" t="inlineStr">
        <is>
          <t>USD</t>
        </is>
      </c>
      <c r="G393" s="5" t="inlineStr">
        <is>
          <t>eBay API; vendedor 2012roms 100.0%; Corsair Vengeance 32GB (2x16GB) DDR5 5600MHz CL36 Desktop RA; envío no indicado</t>
        </is>
      </c>
      <c r="H393" s="6" t="inlineStr">
        <is>
          <t>ver</t>
        </is>
      </c>
    </row>
    <row r="394">
      <c r="A394" s="15" t="n">
        <v>46320</v>
      </c>
      <c r="B394" s="5" t="inlineStr">
        <is>
          <t>eBay</t>
        </is>
      </c>
      <c r="C394" s="5" t="inlineStr">
        <is>
          <t>Corsair Vengeance RGB DDR5 32GB (2x16) 6000</t>
        </is>
      </c>
      <c r="D394" s="5" t="inlineStr">
        <is>
          <t>nuevo</t>
        </is>
      </c>
      <c r="E394" s="11" t="n">
        <v>450</v>
      </c>
      <c r="F394" s="5" t="inlineStr">
        <is>
          <t>USD</t>
        </is>
      </c>
      <c r="G394" s="5" t="inlineStr">
        <is>
          <t>eBay API; vendedor andreschneidernyc 100.0%; Corsair Vengeance RGB 32GB (2x16GB) DDR5-6000 DIMM AMD EXPO ; envío no indicado</t>
        </is>
      </c>
      <c r="H394" s="6" t="inlineStr">
        <is>
          <t>ver</t>
        </is>
      </c>
    </row>
    <row r="395">
      <c r="A395" s="15" t="n">
        <v>46320</v>
      </c>
      <c r="B395" s="5" t="inlineStr">
        <is>
          <t>eBay</t>
        </is>
      </c>
      <c r="C395" s="5" t="inlineStr">
        <is>
          <t>RAM DDR4 16GB (2x8) 3200</t>
        </is>
      </c>
      <c r="D395" s="5" t="inlineStr">
        <is>
          <t>nuevo</t>
        </is>
      </c>
      <c r="E395" s="11" t="n">
        <v>109</v>
      </c>
      <c r="F395" s="5" t="inlineStr">
        <is>
          <t>USD</t>
        </is>
      </c>
      <c r="G395" s="5" t="inlineStr">
        <is>
          <t>eBay API; vendedor memorymasters 99.7%; 16GB 2x 8GB PC4-25600 Desktop DIMM DDR4 3200MHz Non-ECC Memo</t>
        </is>
      </c>
      <c r="H395" s="6" t="inlineStr">
        <is>
          <t>ver</t>
        </is>
      </c>
    </row>
    <row r="396">
      <c r="A396" s="15" t="n">
        <v>46320</v>
      </c>
      <c r="B396" s="5" t="inlineStr">
        <is>
          <t>eBay</t>
        </is>
      </c>
      <c r="C396" s="5" t="inlineStr">
        <is>
          <t>SSD NVMe 1TB</t>
        </is>
      </c>
      <c r="D396" s="5" t="inlineStr">
        <is>
          <t>nuevo</t>
        </is>
      </c>
      <c r="E396" s="11" t="n">
        <v>114.99</v>
      </c>
      <c r="F396" s="5" t="inlineStr">
        <is>
          <t>USD</t>
        </is>
      </c>
      <c r="G396" s="5" t="inlineStr">
        <is>
          <t>eBay API; vendedor gadgetworld03 99.0%; Derlar DN-850Q 1TB M.2 NVME PCIe 4.0 SSD - New</t>
        </is>
      </c>
      <c r="H396" s="6" t="inlineStr">
        <is>
          <t>ver</t>
        </is>
      </c>
    </row>
    <row r="397">
      <c r="A397" s="15" t="n">
        <v>46320</v>
      </c>
      <c r="B397" s="5" t="inlineStr">
        <is>
          <t>eBay</t>
        </is>
      </c>
      <c r="C397" s="5" t="inlineStr">
        <is>
          <t>SSD NVMe 2TB</t>
        </is>
      </c>
      <c r="D397" s="5" t="inlineStr">
        <is>
          <t>nuevo</t>
        </is>
      </c>
      <c r="E397" s="11" t="n">
        <v>185</v>
      </c>
      <c r="F397" s="5" t="inlineStr">
        <is>
          <t>USD</t>
        </is>
      </c>
      <c r="G397" s="5" t="inlineStr">
        <is>
          <t>eBay API; vendedor honestdeals 100.0%; 2TB Leven 2280mm Lares 2TB M.2 NVMe Gen 3.0 SSD JPS600-2TB T</t>
        </is>
      </c>
      <c r="H397" s="6" t="inlineStr">
        <is>
          <t>ver</t>
        </is>
      </c>
    </row>
    <row r="398">
      <c r="A398" s="15" t="n">
        <v>46320</v>
      </c>
      <c r="B398" s="5" t="inlineStr">
        <is>
          <t>eBay</t>
        </is>
      </c>
      <c r="C398" s="5" t="inlineStr">
        <is>
          <t>Ryzen 7 7700X</t>
        </is>
      </c>
      <c r="D398" s="5" t="inlineStr">
        <is>
          <t>nuevo</t>
        </is>
      </c>
      <c r="E398" s="11" t="n">
        <v>219</v>
      </c>
      <c r="F398" s="5" t="inlineStr">
        <is>
          <t>USD</t>
        </is>
      </c>
      <c r="G398" s="5" t="inlineStr">
        <is>
          <t>eBay API; vendedor greatdaytreasures 100.0%; AMD Ryzen 7 7700X CPU Processor - Brand New/Unopened</t>
        </is>
      </c>
      <c r="H398" s="6" t="inlineStr">
        <is>
          <t>ver</t>
        </is>
      </c>
    </row>
    <row r="399">
      <c r="A399" s="15" t="n">
        <v>46320</v>
      </c>
      <c r="B399" s="5" t="inlineStr">
        <is>
          <t>eBay</t>
        </is>
      </c>
      <c r="C399" s="5" t="inlineStr">
        <is>
          <t>Ryzen 5 7500F</t>
        </is>
      </c>
      <c r="D399" s="5" t="inlineStr">
        <is>
          <t>nuevo</t>
        </is>
      </c>
      <c r="E399" s="11" t="n">
        <v>135.99</v>
      </c>
      <c r="F399" s="5" t="inlineStr">
        <is>
          <t>USD</t>
        </is>
      </c>
      <c r="G399" s="5" t="inlineStr">
        <is>
          <t>eBay API; vendedor technological-trend 99.3%; AMD 100-000000597 Socket AM5 Without Cooler AMD Ryzen 5 7500</t>
        </is>
      </c>
      <c r="H399" s="6" t="inlineStr">
        <is>
          <t>ver</t>
        </is>
      </c>
    </row>
    <row r="400">
      <c r="A400" s="15" t="n">
        <v>46320</v>
      </c>
      <c r="B400" s="5" t="inlineStr">
        <is>
          <t>eBay</t>
        </is>
      </c>
      <c r="C400" s="5" t="inlineStr">
        <is>
          <t>Ryzen 5 5600</t>
        </is>
      </c>
      <c r="D400" s="5" t="inlineStr">
        <is>
          <t>usado</t>
        </is>
      </c>
      <c r="E400" s="11" t="n">
        <v>120</v>
      </c>
      <c r="F400" s="5" t="inlineStr">
        <is>
          <t>USD</t>
        </is>
      </c>
      <c r="G400" s="5" t="inlineStr">
        <is>
          <t>eBay API; vendedor dress_girl_jess 100.0%; AMD Ryzen 5 5600 Processor (4.4 GHz, 6 Cores, Socket AM4)</t>
        </is>
      </c>
      <c r="H400" s="6" t="inlineStr">
        <is>
          <t>ver</t>
        </is>
      </c>
    </row>
    <row r="401">
      <c r="A401" s="15" t="n">
        <v>46320</v>
      </c>
      <c r="B401" s="5" t="inlineStr">
        <is>
          <t>eBay</t>
        </is>
      </c>
      <c r="C401" s="5" t="inlineStr">
        <is>
          <t>Ryzen 7 5700X3D</t>
        </is>
      </c>
      <c r="D401" s="5" t="inlineStr">
        <is>
          <t>usado</t>
        </is>
      </c>
      <c r="E401" s="11" t="n">
        <v>299.5</v>
      </c>
      <c r="F401" s="5" t="inlineStr">
        <is>
          <t>USD</t>
        </is>
      </c>
      <c r="G401" s="5" t="inlineStr">
        <is>
          <t>eBay API; vendedor phrygian_iii_c 100.0%; AMD Ryzen 7 5700X3D Processor (3 GHz, 4.1 GHz Boost, 8 Cores; envío no indicado</t>
        </is>
      </c>
      <c r="H401" s="6" t="inlineStr">
        <is>
          <t>ver</t>
        </is>
      </c>
    </row>
    <row r="402">
      <c r="A402" s="15" t="n">
        <v>46320</v>
      </c>
      <c r="B402" s="5" t="inlineStr">
        <is>
          <t>eBay</t>
        </is>
      </c>
      <c r="C402" s="5" t="inlineStr">
        <is>
          <t>Ryzen 5 7600</t>
        </is>
      </c>
      <c r="D402" s="5" t="inlineStr">
        <is>
          <t>usado</t>
        </is>
      </c>
      <c r="E402" s="11" t="n">
        <v>119</v>
      </c>
      <c r="F402" s="5" t="inlineStr">
        <is>
          <t>USD</t>
        </is>
      </c>
      <c r="G402" s="5" t="inlineStr">
        <is>
          <t xml:space="preserve">eBay API; vendedor piedmontreeltimemovies 99.6%; AMD Ryzen 5 7600 6-Core 3.8GHz Desktop CPU Processor Socket </t>
        </is>
      </c>
      <c r="H402" s="6" t="inlineStr">
        <is>
          <t>ver</t>
        </is>
      </c>
    </row>
    <row r="403">
      <c r="A403" s="15" t="n">
        <v>46320</v>
      </c>
      <c r="B403" s="5" t="inlineStr">
        <is>
          <t>eBay</t>
        </is>
      </c>
      <c r="C403" s="5" t="inlineStr">
        <is>
          <t>Ryzen 7 7800X3D</t>
        </is>
      </c>
      <c r="D403" s="5" t="inlineStr">
        <is>
          <t>usado</t>
        </is>
      </c>
      <c r="E403" s="11" t="n">
        <v>275</v>
      </c>
      <c r="F403" s="5" t="inlineStr">
        <is>
          <t>USD</t>
        </is>
      </c>
      <c r="G403" s="5" t="inlineStr">
        <is>
          <t>eBay API; vendedor kjhutto1189 100.0%; AMD Ryzen 7 7800X3D Processor (5 GHz, 8 Cores, Socket AM5) B; envío no indicado</t>
        </is>
      </c>
      <c r="H403" s="6" t="inlineStr">
        <is>
          <t>ver</t>
        </is>
      </c>
    </row>
    <row r="404">
      <c r="A404" s="15" t="n">
        <v>46320</v>
      </c>
      <c r="B404" s="5" t="inlineStr">
        <is>
          <t>eBay</t>
        </is>
      </c>
      <c r="C404" s="5" t="inlineStr">
        <is>
          <t>Ryzen 9 9950X</t>
        </is>
      </c>
      <c r="D404" s="5" t="inlineStr">
        <is>
          <t>usado</t>
        </is>
      </c>
      <c r="E404" s="11" t="n">
        <v>454.99</v>
      </c>
      <c r="F404" s="5" t="inlineStr">
        <is>
          <t>USD</t>
        </is>
      </c>
      <c r="G404" s="5" t="inlineStr">
        <is>
          <t>eBay API; vendedor goodios_direct 99.6%; **  AMD Ryzen 9 9950X Processor - USED  **</t>
        </is>
      </c>
      <c r="H404" s="6" t="inlineStr">
        <is>
          <t>ver</t>
        </is>
      </c>
    </row>
    <row r="405">
      <c r="A405" s="15" t="n">
        <v>46320</v>
      </c>
      <c r="B405" s="5" t="inlineStr">
        <is>
          <t>eBay</t>
        </is>
      </c>
      <c r="C405" s="5" t="inlineStr">
        <is>
          <t>Intel Core i5-12400F</t>
        </is>
      </c>
      <c r="D405" s="5" t="inlineStr">
        <is>
          <t>usado</t>
        </is>
      </c>
      <c r="E405" s="11" t="n">
        <v>112</v>
      </c>
      <c r="F405" s="5" t="inlineStr">
        <is>
          <t>USD</t>
        </is>
      </c>
      <c r="G405" s="5" t="inlineStr">
        <is>
          <t>eBay API; vendedor dakotascornershop 100.0%; Intel Core i5-12400F 2.50GHz 6 Core SRL4W 12 Thread LGA 1700</t>
        </is>
      </c>
      <c r="H405" s="6" t="inlineStr">
        <is>
          <t>ver</t>
        </is>
      </c>
    </row>
    <row r="406">
      <c r="A406" s="15" t="n">
        <v>46320</v>
      </c>
      <c r="B406" s="5" t="inlineStr">
        <is>
          <t>eBay</t>
        </is>
      </c>
      <c r="C406" s="5" t="inlineStr">
        <is>
          <t>Intel Core i5-13400</t>
        </is>
      </c>
      <c r="D406" s="5" t="inlineStr">
        <is>
          <t>usado</t>
        </is>
      </c>
      <c r="E406" s="11" t="n">
        <v>149.95</v>
      </c>
      <c r="F406" s="5" t="inlineStr">
        <is>
          <t>USD</t>
        </is>
      </c>
      <c r="G406" s="5" t="inlineStr">
        <is>
          <t>eBay API; vendedor cityewaste 99.4%; Intel Core i5-13400 2.50GHz 10-Core LGA1700 20MB SRMBP Deskt</t>
        </is>
      </c>
      <c r="H406" s="6" t="inlineStr">
        <is>
          <t>ver</t>
        </is>
      </c>
    </row>
    <row r="407">
      <c r="A407" s="15" t="n">
        <v>46320</v>
      </c>
      <c r="B407" s="5" t="inlineStr">
        <is>
          <t>eBay</t>
        </is>
      </c>
      <c r="C407" s="5" t="inlineStr">
        <is>
          <t>Intel Core i5-14400F</t>
        </is>
      </c>
      <c r="D407" s="5" t="inlineStr">
        <is>
          <t>usado</t>
        </is>
      </c>
      <c r="E407" s="11" t="n">
        <v>129.99</v>
      </c>
      <c r="F407" s="5" t="inlineStr">
        <is>
          <t>USD</t>
        </is>
      </c>
      <c r="G407" s="5" t="inlineStr">
        <is>
          <t>eBay API; vendedor paymore_south_san_francisco 99.5%; Intel Core i5-14400F 2.50GHz 10 Core SRN3R 16 Thread LGA 170</t>
        </is>
      </c>
      <c r="H407" s="6" t="inlineStr">
        <is>
          <t>ver</t>
        </is>
      </c>
    </row>
    <row r="408">
      <c r="A408" s="15" t="n">
        <v>46320</v>
      </c>
      <c r="B408" s="5" t="inlineStr">
        <is>
          <t>eBay</t>
        </is>
      </c>
      <c r="C408" s="5" t="inlineStr">
        <is>
          <t>Intel Core Ultra 7 265K</t>
        </is>
      </c>
      <c r="D408" s="5" t="inlineStr">
        <is>
          <t>usado</t>
        </is>
      </c>
      <c r="E408" s="11" t="n">
        <v>238</v>
      </c>
      <c r="F408" s="5" t="inlineStr">
        <is>
          <t>USD</t>
        </is>
      </c>
      <c r="G408" s="5" t="inlineStr">
        <is>
          <t>eBay API; vendedor macmarket_llc 99.7%; Intel Core Ultra 7 265K Series 2 Unlocked CPU LGA1851 20-Cor; envío no indicado</t>
        </is>
      </c>
      <c r="H408" s="6" t="inlineStr">
        <is>
          <t>ver</t>
        </is>
      </c>
    </row>
    <row r="409">
      <c r="A409" s="15" t="n">
        <v>46320</v>
      </c>
      <c r="B409" s="5" t="inlineStr">
        <is>
          <t>eBay</t>
        </is>
      </c>
      <c r="C409" s="5" t="inlineStr">
        <is>
          <t>Corsair Vengeance RGB DDR5 32GB (2x16) 5600</t>
        </is>
      </c>
      <c r="D409" s="5" t="inlineStr">
        <is>
          <t>usado</t>
        </is>
      </c>
      <c r="E409" s="11" t="n">
        <v>389.99</v>
      </c>
      <c r="F409" s="5" t="inlineStr">
        <is>
          <t>USD</t>
        </is>
      </c>
      <c r="G409" s="5" t="inlineStr">
        <is>
          <t>eBay API; vendedor paymore_fredericksburg 99.5%; Corsair Vengeance RGB 32GB (2x16GB) RAM DDR5 5600MHz CMH32GX</t>
        </is>
      </c>
      <c r="H409" s="6" t="inlineStr">
        <is>
          <t>ver</t>
        </is>
      </c>
    </row>
    <row r="410">
      <c r="A410" s="15" t="n">
        <v>46320</v>
      </c>
      <c r="B410" s="5" t="inlineStr">
        <is>
          <t>eBay</t>
        </is>
      </c>
      <c r="C410" s="5" t="inlineStr">
        <is>
          <t>Corsair Vengeance RGB DDR5 32GB (2x16) 6000</t>
        </is>
      </c>
      <c r="D410" s="5" t="inlineStr">
        <is>
          <t>usado</t>
        </is>
      </c>
      <c r="E410" s="11" t="n">
        <v>389.99</v>
      </c>
      <c r="F410" s="5" t="inlineStr">
        <is>
          <t>USD</t>
        </is>
      </c>
      <c r="G410" s="5" t="inlineStr">
        <is>
          <t>eBay API; vendedor vindya123 100.0%; CORSAIR VENGEANCE RGB 32GB (2 x 16GB) DDR5-6000 cmh32gx5m2m6; envío no indicado</t>
        </is>
      </c>
      <c r="H410" s="6" t="inlineStr">
        <is>
          <t>ver</t>
        </is>
      </c>
    </row>
    <row r="411">
      <c r="A411" s="15" t="n">
        <v>46320</v>
      </c>
      <c r="B411" s="5" t="inlineStr">
        <is>
          <t>eBay</t>
        </is>
      </c>
      <c r="C411" s="5" t="inlineStr">
        <is>
          <t>RAM DDR4 16GB (2x8) 3200</t>
        </is>
      </c>
      <c r="D411" s="5" t="inlineStr">
        <is>
          <t>usado</t>
        </is>
      </c>
      <c r="E411" s="11" t="n">
        <v>59.99</v>
      </c>
      <c r="F411" s="5" t="inlineStr">
        <is>
          <t>USD</t>
        </is>
      </c>
      <c r="G411" s="5" t="inlineStr">
        <is>
          <t>eBay API; vendedor lowwvoltage 100.0%; MICRON 16GB (2x8GB) RAM DDR4 3200 Desktop DIMM RAM 1Rx16 PC4; envío no indicado</t>
        </is>
      </c>
      <c r="H411" s="6" t="inlineStr">
        <is>
          <t>ver</t>
        </is>
      </c>
    </row>
    <row r="412">
      <c r="A412" s="15" t="n">
        <v>46320</v>
      </c>
      <c r="B412" s="5" t="inlineStr">
        <is>
          <t>eBay</t>
        </is>
      </c>
      <c r="C412" s="5" t="inlineStr">
        <is>
          <t>SSD NVMe 1TB</t>
        </is>
      </c>
      <c r="D412" s="5" t="inlineStr">
        <is>
          <t>usado</t>
        </is>
      </c>
      <c r="E412" s="11" t="n">
        <v>85</v>
      </c>
      <c r="F412" s="5" t="inlineStr">
        <is>
          <t>USD</t>
        </is>
      </c>
      <c r="G412" s="5" t="inlineStr">
        <is>
          <t>eBay API; vendedor friendlyearth206 99.2%; Timetec MS10 1TB SSD NVMe PCIe Gen3x4 3D NAND SSD 35TTFP6PCI; envío no indicado</t>
        </is>
      </c>
      <c r="H412" s="6" t="inlineStr">
        <is>
          <t>ver</t>
        </is>
      </c>
    </row>
    <row r="413">
      <c r="A413" s="15" t="n">
        <v>46320</v>
      </c>
      <c r="B413" s="5" t="inlineStr">
        <is>
          <t>eBay</t>
        </is>
      </c>
      <c r="C413" s="5" t="inlineStr">
        <is>
          <t>SSD NVMe 2TB</t>
        </is>
      </c>
      <c r="D413" s="5" t="inlineStr">
        <is>
          <t>usado</t>
        </is>
      </c>
      <c r="E413" s="11" t="n">
        <v>169.99</v>
      </c>
      <c r="F413" s="5" t="inlineStr">
        <is>
          <t>USD</t>
        </is>
      </c>
      <c r="G413" s="5" t="inlineStr">
        <is>
          <t>eBay API; vendedor allnighter1994 99.7%; Sabrent 2280mm Rocket 2TB M.2 NVMe Gen 3.0 x 4 SSD SB-ROCKET</t>
        </is>
      </c>
      <c r="H413" s="6" t="inlineStr">
        <is>
          <t>ver</t>
        </is>
      </c>
    </row>
    <row r="414">
      <c r="A414" s="15" t="n">
        <v>46320</v>
      </c>
      <c r="B414" s="5" t="inlineStr">
        <is>
          <t>eBay</t>
        </is>
      </c>
      <c r="C414" s="5" t="inlineStr">
        <is>
          <t>Ryzen 7 7700X</t>
        </is>
      </c>
      <c r="D414" s="5" t="inlineStr">
        <is>
          <t>usado</t>
        </is>
      </c>
      <c r="E414" s="11" t="n">
        <v>149</v>
      </c>
      <c r="F414" s="5" t="inlineStr">
        <is>
          <t>USD</t>
        </is>
      </c>
      <c r="G414" s="5" t="inlineStr">
        <is>
          <t>eBay API; vendedor mab2671_4 100.0%; AMD Ryzen 7 7700x Processor (5.4 GHz, 8 Cores, LGA 1718/Sock</t>
        </is>
      </c>
      <c r="H414" s="6" t="inlineStr">
        <is>
          <t>ver</t>
        </is>
      </c>
    </row>
    <row r="415">
      <c r="A415" s="15" t="n">
        <v>46320</v>
      </c>
      <c r="B415" s="5" t="inlineStr">
        <is>
          <t>eBay</t>
        </is>
      </c>
      <c r="C415" s="5" t="inlineStr">
        <is>
          <t>Ryzen 5 7500F</t>
        </is>
      </c>
      <c r="D415" s="5" t="inlineStr">
        <is>
          <t>usado</t>
        </is>
      </c>
      <c r="E415" s="11" t="n">
        <v>129.99</v>
      </c>
      <c r="F415" s="5" t="inlineStr">
        <is>
          <t>USD</t>
        </is>
      </c>
      <c r="G415" s="5" t="inlineStr">
        <is>
          <t>eBay API; vendedor jorgejhj 100.0%; AMD Ryzen 5 7500F Ryzen 5 6-Core 3.7GHz Socket AM5; envío no indicado</t>
        </is>
      </c>
      <c r="H415" s="6" t="inlineStr">
        <is>
          <t>ver</t>
        </is>
      </c>
    </row>
    <row r="416">
      <c r="A416" s="15" t="n">
        <v>46321</v>
      </c>
      <c r="B416" s="5" t="inlineStr">
        <is>
          <t>eBay</t>
        </is>
      </c>
      <c r="C416" s="5" t="inlineStr">
        <is>
          <t>Ryzen 5 5600</t>
        </is>
      </c>
      <c r="D416" s="5" t="inlineStr">
        <is>
          <t>nuevo</t>
        </is>
      </c>
      <c r="E416" s="11" t="n">
        <v>138.9</v>
      </c>
      <c r="F416" s="5" t="inlineStr">
        <is>
          <t>USD</t>
        </is>
      </c>
      <c r="G416" s="5" t="inlineStr">
        <is>
          <t>eBay API; vendedor 3c_wholesaler 99.1%; (New) AMD Ryzen 5 5600 Vermeer Zen3 6-Core 12-Thread AM4 CPU</t>
        </is>
      </c>
      <c r="H416" s="6" t="inlineStr">
        <is>
          <t>ver</t>
        </is>
      </c>
    </row>
    <row r="417">
      <c r="A417" s="15" t="n">
        <v>46321</v>
      </c>
      <c r="B417" s="5" t="inlineStr">
        <is>
          <t>eBay</t>
        </is>
      </c>
      <c r="C417" s="5" t="inlineStr">
        <is>
          <t>Ryzen 5 7600</t>
        </is>
      </c>
      <c r="D417" s="5" t="inlineStr">
        <is>
          <t>nuevo</t>
        </is>
      </c>
      <c r="E417" s="11" t="n">
        <v>199.99</v>
      </c>
      <c r="F417" s="5" t="inlineStr">
        <is>
          <t>USD</t>
        </is>
      </c>
      <c r="G417" s="5" t="inlineStr">
        <is>
          <t xml:space="preserve">eBay API; vendedor collect_n_tech 99.4%; AMD Ryzen 5 7600 AMD Ryzen™ 7000 Series Processor Heat Sink </t>
        </is>
      </c>
      <c r="H417" s="6" t="inlineStr">
        <is>
          <t>ver</t>
        </is>
      </c>
    </row>
    <row r="418">
      <c r="A418" s="15" t="n">
        <v>46321</v>
      </c>
      <c r="B418" s="5" t="inlineStr">
        <is>
          <t>eBay</t>
        </is>
      </c>
      <c r="C418" s="5" t="inlineStr">
        <is>
          <t>Ryzen 7 7800X3D</t>
        </is>
      </c>
      <c r="D418" s="5" t="inlineStr">
        <is>
          <t>nuevo</t>
        </is>
      </c>
      <c r="E418" s="11" t="n">
        <v>329</v>
      </c>
      <c r="F418" s="5" t="inlineStr">
        <is>
          <t>USD</t>
        </is>
      </c>
      <c r="G418" s="5" t="inlineStr">
        <is>
          <t>eBay API; vendedor aaawavecom 99.8%; AMD Ryzen 7 7800X3D Processor Zen 4 8-Core 4.2GHz AM5 CPU (N</t>
        </is>
      </c>
      <c r="H418" s="6" t="inlineStr">
        <is>
          <t>ver</t>
        </is>
      </c>
    </row>
    <row r="419">
      <c r="A419" s="15" t="n">
        <v>46321</v>
      </c>
      <c r="B419" s="5" t="inlineStr">
        <is>
          <t>eBay</t>
        </is>
      </c>
      <c r="C419" s="5" t="inlineStr">
        <is>
          <t>Ryzen 9 9950X</t>
        </is>
      </c>
      <c r="D419" s="5" t="inlineStr">
        <is>
          <t>nuevo</t>
        </is>
      </c>
      <c r="E419" s="11" t="n">
        <v>549.99</v>
      </c>
      <c r="F419" s="5" t="inlineStr">
        <is>
          <t>USD</t>
        </is>
      </c>
      <c r="G419" s="5" t="inlineStr">
        <is>
          <t>eBay API; vendedor newegg 99.6%; AMD Ryzen 9 9950X - Ryzen 9 9000 Series Granite Ridge (Zen 5</t>
        </is>
      </c>
      <c r="H419" s="6" t="inlineStr">
        <is>
          <t>ver</t>
        </is>
      </c>
    </row>
    <row r="420">
      <c r="A420" s="15" t="n">
        <v>46321</v>
      </c>
      <c r="B420" s="5" t="inlineStr">
        <is>
          <t>eBay</t>
        </is>
      </c>
      <c r="C420" s="5" t="inlineStr">
        <is>
          <t>Intel Core i5-12400F</t>
        </is>
      </c>
      <c r="D420" s="5" t="inlineStr">
        <is>
          <t>nuevo</t>
        </is>
      </c>
      <c r="E420" s="11" t="n">
        <v>140</v>
      </c>
      <c r="F420" s="5" t="inlineStr">
        <is>
          <t>USD</t>
        </is>
      </c>
      <c r="G420" s="5" t="inlineStr">
        <is>
          <t>eBay API; vendedor amar.215 100.0%; Intel Core i5-12400F Processor (4.4 GHz, 6 Cores, LGA 1700) ; envío no indicado</t>
        </is>
      </c>
      <c r="H420" s="6" t="inlineStr">
        <is>
          <t>ver</t>
        </is>
      </c>
    </row>
    <row r="421">
      <c r="A421" s="15" t="n">
        <v>46321</v>
      </c>
      <c r="B421" s="5" t="inlineStr">
        <is>
          <t>eBay</t>
        </is>
      </c>
      <c r="C421" s="5" t="inlineStr">
        <is>
          <t>Intel Core i5-14400F</t>
        </is>
      </c>
      <c r="D421" s="5" t="inlineStr">
        <is>
          <t>nuevo</t>
        </is>
      </c>
      <c r="E421" s="11" t="n">
        <v>164.49</v>
      </c>
      <c r="F421" s="5" t="inlineStr">
        <is>
          <t>USD</t>
        </is>
      </c>
      <c r="G421" s="5" t="inlineStr">
        <is>
          <t xml:space="preserve">eBay API; vendedor newegg 99.6%; Intel Core i5-14400F - Core i5 14th Gen Raptor Lake 10-Core </t>
        </is>
      </c>
      <c r="H421" s="6" t="inlineStr">
        <is>
          <t>ver</t>
        </is>
      </c>
    </row>
    <row r="422">
      <c r="A422" s="15" t="n">
        <v>46321</v>
      </c>
      <c r="B422" s="5" t="inlineStr">
        <is>
          <t>eBay</t>
        </is>
      </c>
      <c r="C422" s="5" t="inlineStr">
        <is>
          <t>Intel Core Ultra 7 265K</t>
        </is>
      </c>
      <c r="D422" s="5" t="inlineStr">
        <is>
          <t>nuevo</t>
        </is>
      </c>
      <c r="E422" s="11" t="n">
        <v>259.99</v>
      </c>
      <c r="F422" s="5" t="inlineStr">
        <is>
          <t>USD</t>
        </is>
      </c>
      <c r="G422" s="5" t="inlineStr">
        <is>
          <t>eBay API; vendedor luis11389 99.1%; Intel Core Ultra 7 265K 20-Core LGA 1851 Unlocked CPU BX8076; envío no indicado</t>
        </is>
      </c>
      <c r="H422" s="6" t="inlineStr">
        <is>
          <t>ver</t>
        </is>
      </c>
    </row>
    <row r="423">
      <c r="A423" s="15" t="n">
        <v>46321</v>
      </c>
      <c r="B423" s="5" t="inlineStr">
        <is>
          <t>eBay</t>
        </is>
      </c>
      <c r="C423" s="5" t="inlineStr">
        <is>
          <t>Corsair Vengeance RGB DDR5 32GB (2x16) 5600</t>
        </is>
      </c>
      <c r="D423" s="5" t="inlineStr">
        <is>
          <t>nuevo</t>
        </is>
      </c>
      <c r="E423" s="11" t="n">
        <v>459</v>
      </c>
      <c r="F423" s="5" t="inlineStr">
        <is>
          <t>USD</t>
        </is>
      </c>
      <c r="G423" s="5" t="inlineStr">
        <is>
          <t>eBay API; vendedor 2012roms 100.0%; Corsair Vengeance 32GB (2x16GB) DDR5 5600MHz CL36 Desktop RA; envío no indicado</t>
        </is>
      </c>
      <c r="H423" s="6" t="inlineStr">
        <is>
          <t>ver</t>
        </is>
      </c>
    </row>
    <row r="424">
      <c r="A424" s="15" t="n">
        <v>46321</v>
      </c>
      <c r="B424" s="5" t="inlineStr">
        <is>
          <t>eBay</t>
        </is>
      </c>
      <c r="C424" s="5" t="inlineStr">
        <is>
          <t>Corsair Vengeance RGB DDR5 32GB (2x16) 6000</t>
        </is>
      </c>
      <c r="D424" s="5" t="inlineStr">
        <is>
          <t>nuevo</t>
        </is>
      </c>
      <c r="E424" s="11" t="n">
        <v>450</v>
      </c>
      <c r="F424" s="5" t="inlineStr">
        <is>
          <t>USD</t>
        </is>
      </c>
      <c r="G424" s="5" t="inlineStr">
        <is>
          <t>eBay API; vendedor kn32451 99.9%; CORSAIR Vengeance RGB 32GB (2x16GB) DDR5 6000MHz CL36 AMD EX</t>
        </is>
      </c>
      <c r="H424" s="6" t="inlineStr">
        <is>
          <t>ver</t>
        </is>
      </c>
    </row>
    <row r="425">
      <c r="A425" s="15" t="n">
        <v>46321</v>
      </c>
      <c r="B425" s="5" t="inlineStr">
        <is>
          <t>eBay</t>
        </is>
      </c>
      <c r="C425" s="5" t="inlineStr">
        <is>
          <t>RAM DDR4 16GB (2x8) 3200</t>
        </is>
      </c>
      <c r="D425" s="5" t="inlineStr">
        <is>
          <t>nuevo</t>
        </is>
      </c>
      <c r="E425" s="11" t="n">
        <v>109</v>
      </c>
      <c r="F425" s="5" t="inlineStr">
        <is>
          <t>USD</t>
        </is>
      </c>
      <c r="G425" s="5" t="inlineStr">
        <is>
          <t>eBay API; vendedor memorymasters 99.7%; 16GB 2x 8GB PC4-25600 Desktop DIMM DDR4 3200MHz Non-ECC Memo</t>
        </is>
      </c>
      <c r="H425" s="6" t="inlineStr">
        <is>
          <t>ver</t>
        </is>
      </c>
    </row>
    <row r="426">
      <c r="A426" s="15" t="n">
        <v>46321</v>
      </c>
      <c r="B426" s="5" t="inlineStr">
        <is>
          <t>eBay</t>
        </is>
      </c>
      <c r="C426" s="5" t="inlineStr">
        <is>
          <t>SSD NVMe 1TB</t>
        </is>
      </c>
      <c r="D426" s="5" t="inlineStr">
        <is>
          <t>nuevo</t>
        </is>
      </c>
      <c r="E426" s="11" t="n">
        <v>114.99</v>
      </c>
      <c r="F426" s="5" t="inlineStr">
        <is>
          <t>USD</t>
        </is>
      </c>
      <c r="G426" s="5" t="inlineStr">
        <is>
          <t>eBay API; vendedor gadgetworld03 99.0%; Derlar DN-850Q 1TB M.2 NVME PCIe 4.0 SSD - New</t>
        </is>
      </c>
      <c r="H426" s="6" t="inlineStr">
        <is>
          <t>ver</t>
        </is>
      </c>
    </row>
    <row r="427">
      <c r="A427" s="15" t="n">
        <v>46321</v>
      </c>
      <c r="B427" s="5" t="inlineStr">
        <is>
          <t>eBay</t>
        </is>
      </c>
      <c r="C427" s="5" t="inlineStr">
        <is>
          <t>SSD NVMe 2TB</t>
        </is>
      </c>
      <c r="D427" s="5" t="inlineStr">
        <is>
          <t>nuevo</t>
        </is>
      </c>
      <c r="E427" s="11" t="n">
        <v>185</v>
      </c>
      <c r="F427" s="5" t="inlineStr">
        <is>
          <t>USD</t>
        </is>
      </c>
      <c r="G427" s="5" t="inlineStr">
        <is>
          <t>eBay API; vendedor honestdeals 100.0%; 2TB Leven 2280mm Lares 2TB M.2 NVMe Gen 3.0 SSD JPS600-2TB T</t>
        </is>
      </c>
      <c r="H427" s="6" t="inlineStr">
        <is>
          <t>ver</t>
        </is>
      </c>
    </row>
    <row r="428">
      <c r="A428" s="15" t="n">
        <v>46321</v>
      </c>
      <c r="B428" s="5" t="inlineStr">
        <is>
          <t>eBay</t>
        </is>
      </c>
      <c r="C428" s="5" t="inlineStr">
        <is>
          <t>Ryzen 7 7700X</t>
        </is>
      </c>
      <c r="D428" s="5" t="inlineStr">
        <is>
          <t>nuevo</t>
        </is>
      </c>
      <c r="E428" s="11" t="n">
        <v>219</v>
      </c>
      <c r="F428" s="5" t="inlineStr">
        <is>
          <t>USD</t>
        </is>
      </c>
      <c r="G428" s="5" t="inlineStr">
        <is>
          <t>eBay API; vendedor greatdaytreasures 100.0%; AMD Ryzen 7 7700X CPU Processor - Brand New/Unopened</t>
        </is>
      </c>
      <c r="H428" s="6" t="inlineStr">
        <is>
          <t>ver</t>
        </is>
      </c>
    </row>
    <row r="429">
      <c r="A429" s="15" t="n">
        <v>46321</v>
      </c>
      <c r="B429" s="5" t="inlineStr">
        <is>
          <t>eBay</t>
        </is>
      </c>
      <c r="C429" s="5" t="inlineStr">
        <is>
          <t>Ryzen 5 7500F</t>
        </is>
      </c>
      <c r="D429" s="5" t="inlineStr">
        <is>
          <t>nuevo</t>
        </is>
      </c>
      <c r="E429" s="11" t="n">
        <v>135.6</v>
      </c>
      <c r="F429" s="5" t="inlineStr">
        <is>
          <t>USD</t>
        </is>
      </c>
      <c r="G429" s="5" t="inlineStr">
        <is>
          <t>eBay API; vendedor technological-trend 99.3%; AMD Ryzen 5 7500F - Ryzen 5 7000 Series Zen 4 6-Core 3.7 GHz</t>
        </is>
      </c>
      <c r="H429" s="6" t="inlineStr">
        <is>
          <t>ver</t>
        </is>
      </c>
    </row>
    <row r="430">
      <c r="A430" s="15" t="n">
        <v>46321</v>
      </c>
      <c r="B430" s="5" t="inlineStr">
        <is>
          <t>eBay</t>
        </is>
      </c>
      <c r="C430" s="5" t="inlineStr">
        <is>
          <t>Ryzen 5 5600</t>
        </is>
      </c>
      <c r="D430" s="5" t="inlineStr">
        <is>
          <t>usado</t>
        </is>
      </c>
      <c r="E430" s="11" t="n">
        <v>135.99</v>
      </c>
      <c r="F430" s="5" t="inlineStr">
        <is>
          <t>USD</t>
        </is>
      </c>
      <c r="G430" s="5" t="inlineStr">
        <is>
          <t>eBay API; vendedor damoses1 100.0%; AMD Ryzen 5 5600 6-Core 12-Thread Socket AM4 3.5GHz 4.4 Boos; envío no indicado</t>
        </is>
      </c>
      <c r="H430" s="6" t="inlineStr">
        <is>
          <t>ver</t>
        </is>
      </c>
    </row>
    <row r="431">
      <c r="A431" s="15" t="n">
        <v>46321</v>
      </c>
      <c r="B431" s="5" t="inlineStr">
        <is>
          <t>eBay</t>
        </is>
      </c>
      <c r="C431" s="5" t="inlineStr">
        <is>
          <t>Ryzen 7 5700X3D</t>
        </is>
      </c>
      <c r="D431" s="5" t="inlineStr">
        <is>
          <t>usado</t>
        </is>
      </c>
      <c r="E431" s="11" t="n">
        <v>336</v>
      </c>
      <c r="F431" s="5" t="inlineStr">
        <is>
          <t>USD</t>
        </is>
      </c>
      <c r="G431" s="5" t="inlineStr">
        <is>
          <t>eBay API; vendedor jariah_tomko 100.0%; AMD Ryzen 7 5700X3D 8-Core 16-Thread AM4 CPU | 96MB 3D V-Cac; envío no indicado</t>
        </is>
      </c>
      <c r="H431" s="6" t="inlineStr">
        <is>
          <t>ver</t>
        </is>
      </c>
    </row>
    <row r="432">
      <c r="A432" s="15" t="n">
        <v>46321</v>
      </c>
      <c r="B432" s="5" t="inlineStr">
        <is>
          <t>eBay</t>
        </is>
      </c>
      <c r="C432" s="5" t="inlineStr">
        <is>
          <t>Ryzen 5 7600</t>
        </is>
      </c>
      <c r="D432" s="5" t="inlineStr">
        <is>
          <t>usado</t>
        </is>
      </c>
      <c r="E432" s="11" t="n">
        <v>119</v>
      </c>
      <c r="F432" s="5" t="inlineStr">
        <is>
          <t>USD</t>
        </is>
      </c>
      <c r="G432" s="5" t="inlineStr">
        <is>
          <t xml:space="preserve">eBay API; vendedor piedmontreeltimemovies 99.6%; AMD Ryzen 5 7600 6-Core 3.8GHz Desktop CPU Processor Socket </t>
        </is>
      </c>
      <c r="H432" s="6" t="inlineStr">
        <is>
          <t>ver</t>
        </is>
      </c>
    </row>
    <row r="433">
      <c r="A433" s="15" t="n">
        <v>46321</v>
      </c>
      <c r="B433" s="5" t="inlineStr">
        <is>
          <t>eBay</t>
        </is>
      </c>
      <c r="C433" s="5" t="inlineStr">
        <is>
          <t>Ryzen 7 7800X3D</t>
        </is>
      </c>
      <c r="D433" s="5" t="inlineStr">
        <is>
          <t>usado</t>
        </is>
      </c>
      <c r="E433" s="11" t="n">
        <v>269.99</v>
      </c>
      <c r="F433" s="5" t="inlineStr">
        <is>
          <t>USD</t>
        </is>
      </c>
      <c r="G433" s="5" t="inlineStr">
        <is>
          <t>eBay API; vendedor allnighter1994 99.7%; AMD Ryzen 7 7800X3D 4.20 GHz 8 Core 16 Thread Desktop CPU AM</t>
        </is>
      </c>
      <c r="H433" s="6" t="inlineStr">
        <is>
          <t>ver</t>
        </is>
      </c>
    </row>
    <row r="434">
      <c r="A434" s="15" t="n">
        <v>46321</v>
      </c>
      <c r="B434" s="5" t="inlineStr">
        <is>
          <t>eBay</t>
        </is>
      </c>
      <c r="C434" s="5" t="inlineStr">
        <is>
          <t>Ryzen 9 9950X</t>
        </is>
      </c>
      <c r="D434" s="5" t="inlineStr">
        <is>
          <t>usado</t>
        </is>
      </c>
      <c r="E434" s="11" t="n">
        <v>454.99</v>
      </c>
      <c r="F434" s="5" t="inlineStr">
        <is>
          <t>USD</t>
        </is>
      </c>
      <c r="G434" s="5" t="inlineStr">
        <is>
          <t>eBay API; vendedor goodios_direct 99.6%; **  AMD Ryzen 9 9950X Processor - USED  **</t>
        </is>
      </c>
      <c r="H434" s="6" t="inlineStr">
        <is>
          <t>ver</t>
        </is>
      </c>
    </row>
    <row r="435">
      <c r="A435" s="15" t="n">
        <v>46321</v>
      </c>
      <c r="B435" s="5" t="inlineStr">
        <is>
          <t>eBay</t>
        </is>
      </c>
      <c r="C435" s="5" t="inlineStr">
        <is>
          <t>Intel Core i5-12400F</t>
        </is>
      </c>
      <c r="D435" s="5" t="inlineStr">
        <is>
          <t>usado</t>
        </is>
      </c>
      <c r="E435" s="11" t="n">
        <v>119.99</v>
      </c>
      <c r="F435" s="5" t="inlineStr">
        <is>
          <t>USD</t>
        </is>
      </c>
      <c r="G435" s="5" t="inlineStr">
        <is>
          <t>eBay API; vendedor ermerl-5mq1rn 99.6%; Intel Core i5-12400F 2.50GHz 6 Core SRL5Z 12 Thread LGA 1700</t>
        </is>
      </c>
      <c r="H435" s="6" t="inlineStr">
        <is>
          <t>ver</t>
        </is>
      </c>
    </row>
    <row r="436">
      <c r="A436" s="15" t="n">
        <v>46321</v>
      </c>
      <c r="B436" s="5" t="inlineStr">
        <is>
          <t>eBay</t>
        </is>
      </c>
      <c r="C436" s="5" t="inlineStr">
        <is>
          <t>Intel Core i5-13400</t>
        </is>
      </c>
      <c r="D436" s="5" t="inlineStr">
        <is>
          <t>usado</t>
        </is>
      </c>
      <c r="E436" s="11" t="n">
        <v>150</v>
      </c>
      <c r="F436" s="5" t="inlineStr">
        <is>
          <t>USD</t>
        </is>
      </c>
      <c r="G436" s="5" t="inlineStr">
        <is>
          <t>eBay API; vendedor bargdeals65 99.7%; Intel Core i5-13400 SRMBP 2.5GHz 10-Cores 16 Threads 20MB Ca; envío no indicado</t>
        </is>
      </c>
      <c r="H436" s="6" t="inlineStr">
        <is>
          <t>ver</t>
        </is>
      </c>
    </row>
    <row r="437">
      <c r="A437" s="15" t="n">
        <v>46321</v>
      </c>
      <c r="B437" s="5" t="inlineStr">
        <is>
          <t>eBay</t>
        </is>
      </c>
      <c r="C437" s="5" t="inlineStr">
        <is>
          <t>Intel Core i5-14400F</t>
        </is>
      </c>
      <c r="D437" s="5" t="inlineStr">
        <is>
          <t>usado</t>
        </is>
      </c>
      <c r="E437" s="11" t="n">
        <v>129.99</v>
      </c>
      <c r="F437" s="5" t="inlineStr">
        <is>
          <t>USD</t>
        </is>
      </c>
      <c r="G437" s="5" t="inlineStr">
        <is>
          <t>eBay API; vendedor paymore_south_san_francisco 99.5%; Intel Core i5-14400F 2.50GHz 10 Core SRN3R 16 Thread LGA 170</t>
        </is>
      </c>
      <c r="H437" s="6" t="inlineStr">
        <is>
          <t>ver</t>
        </is>
      </c>
    </row>
    <row r="438">
      <c r="A438" s="15" t="n">
        <v>46321</v>
      </c>
      <c r="B438" s="5" t="inlineStr">
        <is>
          <t>eBay</t>
        </is>
      </c>
      <c r="C438" s="5" t="inlineStr">
        <is>
          <t>Corsair Vengeance RGB DDR5 32GB (2x16) 5600</t>
        </is>
      </c>
      <c r="D438" s="5" t="inlineStr">
        <is>
          <t>usado</t>
        </is>
      </c>
      <c r="E438" s="11" t="n">
        <v>389.99</v>
      </c>
      <c r="F438" s="5" t="inlineStr">
        <is>
          <t>USD</t>
        </is>
      </c>
      <c r="G438" s="5" t="inlineStr">
        <is>
          <t>eBay API; vendedor paymore_fredericksburg 99.5%; Corsair Vengeance RGB 32GB (2x16GB) RAM DDR5 5600MHz CMH32GX</t>
        </is>
      </c>
      <c r="H438" s="6" t="inlineStr">
        <is>
          <t>ver</t>
        </is>
      </c>
    </row>
    <row r="439">
      <c r="A439" s="15" t="n">
        <v>46321</v>
      </c>
      <c r="B439" s="5" t="inlineStr">
        <is>
          <t>eBay</t>
        </is>
      </c>
      <c r="C439" s="5" t="inlineStr">
        <is>
          <t>Corsair Vengeance RGB DDR5 32GB (2x16) 6000</t>
        </is>
      </c>
      <c r="D439" s="5" t="inlineStr">
        <is>
          <t>usado</t>
        </is>
      </c>
      <c r="E439" s="11" t="n">
        <v>399.99</v>
      </c>
      <c r="F439" s="5" t="inlineStr">
        <is>
          <t>USD</t>
        </is>
      </c>
      <c r="G439" s="5" t="inlineStr">
        <is>
          <t>eBay API; vendedor paymore_mira_mesa 98.5%; Corsair Vengeance RGB 32GB (2x16GB) RAM DDR5 6000MHz CMH32GX</t>
        </is>
      </c>
      <c r="H439" s="6" t="inlineStr">
        <is>
          <t>ver</t>
        </is>
      </c>
    </row>
    <row r="440">
      <c r="A440" s="15" t="n">
        <v>46321</v>
      </c>
      <c r="B440" s="5" t="inlineStr">
        <is>
          <t>eBay</t>
        </is>
      </c>
      <c r="C440" s="5" t="inlineStr">
        <is>
          <t>RAM DDR4 16GB (2x8) 3200</t>
        </is>
      </c>
      <c r="D440" s="5" t="inlineStr">
        <is>
          <t>usado</t>
        </is>
      </c>
      <c r="E440" s="11" t="n">
        <v>59.99</v>
      </c>
      <c r="F440" s="5" t="inlineStr">
        <is>
          <t>USD</t>
        </is>
      </c>
      <c r="G440" s="5" t="inlineStr">
        <is>
          <t>eBay API; vendedor lowwvoltage 100.0%; MICRON 16GB (2x8GB) RAM DDR4 3200 Desktop DIMM RAM 1Rx16 PC4; envío no indicado</t>
        </is>
      </c>
      <c r="H440" s="6" t="inlineStr">
        <is>
          <t>ver</t>
        </is>
      </c>
    </row>
    <row r="441">
      <c r="A441" s="15" t="n">
        <v>46321</v>
      </c>
      <c r="B441" s="5" t="inlineStr">
        <is>
          <t>eBay</t>
        </is>
      </c>
      <c r="C441" s="5" t="inlineStr">
        <is>
          <t>SSD NVMe 1TB</t>
        </is>
      </c>
      <c r="D441" s="5" t="inlineStr">
        <is>
          <t>usado</t>
        </is>
      </c>
      <c r="E441" s="11" t="n">
        <v>85</v>
      </c>
      <c r="F441" s="5" t="inlineStr">
        <is>
          <t>USD</t>
        </is>
      </c>
      <c r="G441" s="5" t="inlineStr">
        <is>
          <t>eBay API; vendedor friendlyearth206 99.2%; Timetec MS10 1TB SSD NVMe PCIe Gen3x4 3D NAND SSD 35TTFP6PCI; envío no indicado</t>
        </is>
      </c>
      <c r="H441" s="6" t="inlineStr">
        <is>
          <t>ver</t>
        </is>
      </c>
    </row>
    <row r="442">
      <c r="A442" s="15" t="n">
        <v>46321</v>
      </c>
      <c r="B442" s="5" t="inlineStr">
        <is>
          <t>eBay</t>
        </is>
      </c>
      <c r="C442" s="5" t="inlineStr">
        <is>
          <t>SSD NVMe 2TB</t>
        </is>
      </c>
      <c r="D442" s="5" t="inlineStr">
        <is>
          <t>usado</t>
        </is>
      </c>
      <c r="E442" s="11" t="n">
        <v>154.99</v>
      </c>
      <c r="F442" s="5" t="inlineStr">
        <is>
          <t>USD</t>
        </is>
      </c>
      <c r="G442" s="5" t="inlineStr">
        <is>
          <t>eBay API; vendedor nixs-surplus 100.0%; WD Black SN750 2TB NVMe PCIe3.0 M.2 2280 Internal SSD WDBRPG</t>
        </is>
      </c>
      <c r="H442" s="6" t="inlineStr">
        <is>
          <t>ver</t>
        </is>
      </c>
    </row>
    <row r="443">
      <c r="A443" s="15" t="n">
        <v>46321</v>
      </c>
      <c r="B443" s="5" t="inlineStr">
        <is>
          <t>eBay</t>
        </is>
      </c>
      <c r="C443" s="5" t="inlineStr">
        <is>
          <t>Ryzen 7 7700X</t>
        </is>
      </c>
      <c r="D443" s="5" t="inlineStr">
        <is>
          <t>usado</t>
        </is>
      </c>
      <c r="E443" s="11" t="n">
        <v>189.99</v>
      </c>
      <c r="F443" s="5" t="inlineStr">
        <is>
          <t>USD</t>
        </is>
      </c>
      <c r="G443" s="5" t="inlineStr">
        <is>
          <t>eBay API; vendedor g-electronic 99.7%; AMD Ryzen 7 7700X Desktop Processor 8-Core, 16-Thread 4.5GHz</t>
        </is>
      </c>
      <c r="H443" s="6" t="inlineStr">
        <is>
          <t>ver</t>
        </is>
      </c>
    </row>
    <row r="444">
      <c r="A444" s="15" t="n">
        <v>46321</v>
      </c>
      <c r="B444" s="5" t="inlineStr">
        <is>
          <t>eBay</t>
        </is>
      </c>
      <c r="C444" s="5" t="inlineStr">
        <is>
          <t>Ryzen 5 7500F</t>
        </is>
      </c>
      <c r="D444" s="5" t="inlineStr">
        <is>
          <t>usado</t>
        </is>
      </c>
      <c r="E444" s="11" t="n">
        <v>129.99</v>
      </c>
      <c r="F444" s="5" t="inlineStr">
        <is>
          <t>USD</t>
        </is>
      </c>
      <c r="G444" s="5" t="inlineStr">
        <is>
          <t>eBay API; vendedor jorgejhj 100.0%; AMD Ryzen 5 7500F Ryzen 5 6-Core 3.7GHz Socket AM5; envío no indicado</t>
        </is>
      </c>
      <c r="H444" s="6" t="inlineStr">
        <is>
          <t>ver</t>
        </is>
      </c>
    </row>
    <row r="445">
      <c r="A445" s="15" t="n">
        <v>46322</v>
      </c>
      <c r="B445" s="5" t="inlineStr">
        <is>
          <t>eBay</t>
        </is>
      </c>
      <c r="C445" s="5" t="inlineStr">
        <is>
          <t>Ryzen 5 5600</t>
        </is>
      </c>
      <c r="D445" s="5" t="inlineStr">
        <is>
          <t>nuevo</t>
        </is>
      </c>
      <c r="E445" s="11" t="n">
        <v>159.99</v>
      </c>
      <c r="F445" s="5" t="inlineStr">
        <is>
          <t>USD</t>
        </is>
      </c>
      <c r="G445" s="5" t="inlineStr">
        <is>
          <t>eBay API; vendedor aaawavecom 99.8%; AMD Ryzen 5 5600 Processor (Zen 3) 6-Core 3.5GHz AM4 65W CPU</t>
        </is>
      </c>
      <c r="H445" s="6" t="inlineStr">
        <is>
          <t>ver</t>
        </is>
      </c>
    </row>
    <row r="446">
      <c r="A446" s="15" t="n">
        <v>46322</v>
      </c>
      <c r="B446" s="5" t="inlineStr">
        <is>
          <t>eBay</t>
        </is>
      </c>
      <c r="C446" s="5" t="inlineStr">
        <is>
          <t>Ryzen 5 7600</t>
        </is>
      </c>
      <c r="D446" s="5" t="inlineStr">
        <is>
          <t>nuevo</t>
        </is>
      </c>
      <c r="E446" s="11" t="n">
        <v>146.98</v>
      </c>
      <c r="F446" s="5" t="inlineStr">
        <is>
          <t>USD</t>
        </is>
      </c>
      <c r="G446" s="5" t="inlineStr">
        <is>
          <t>eBay API; vendedor setbuy 98.7%; AMD Ryzen 5 7600 6-Core 12-Thread AM5 CPU 5.1GHz 100-0000010</t>
        </is>
      </c>
      <c r="H446" s="6" t="inlineStr">
        <is>
          <t>ver</t>
        </is>
      </c>
    </row>
    <row r="447">
      <c r="A447" s="15" t="n">
        <v>46322</v>
      </c>
      <c r="B447" s="5" t="inlineStr">
        <is>
          <t>eBay</t>
        </is>
      </c>
      <c r="C447" s="5" t="inlineStr">
        <is>
          <t>Ryzen 7 7800X3D</t>
        </is>
      </c>
      <c r="D447" s="5" t="inlineStr">
        <is>
          <t>nuevo</t>
        </is>
      </c>
      <c r="E447" s="11" t="n">
        <v>325</v>
      </c>
      <c r="F447" s="5" t="inlineStr">
        <is>
          <t>USD</t>
        </is>
      </c>
      <c r="G447" s="5" t="inlineStr">
        <is>
          <t>eBay API; vendedor thegoodzvault 99.2%; AMD Ryzen 7 7800X3D 8-Core 5.0GHz Turbo 4.2GHz Base Desktop ; envío no indicado</t>
        </is>
      </c>
      <c r="H447" s="6" t="inlineStr">
        <is>
          <t>ver</t>
        </is>
      </c>
    </row>
    <row r="448">
      <c r="A448" s="15" t="n">
        <v>46322</v>
      </c>
      <c r="B448" s="5" t="inlineStr">
        <is>
          <t>eBay</t>
        </is>
      </c>
      <c r="C448" s="5" t="inlineStr">
        <is>
          <t>Ryzen 9 9950X</t>
        </is>
      </c>
      <c r="D448" s="5" t="inlineStr">
        <is>
          <t>nuevo</t>
        </is>
      </c>
      <c r="E448" s="11" t="n">
        <v>549.99</v>
      </c>
      <c r="F448" s="5" t="inlineStr">
        <is>
          <t>USD</t>
        </is>
      </c>
      <c r="G448" s="5" t="inlineStr">
        <is>
          <t>eBay API; vendedor newegg 99.6%; AMD Ryzen 9 9950X - Ryzen 9 9000 Series Granite Ridge (Zen 5</t>
        </is>
      </c>
      <c r="H448" s="6" t="inlineStr">
        <is>
          <t>ver</t>
        </is>
      </c>
    </row>
    <row r="449">
      <c r="A449" s="15" t="n">
        <v>46322</v>
      </c>
      <c r="B449" s="5" t="inlineStr">
        <is>
          <t>eBay</t>
        </is>
      </c>
      <c r="C449" s="5" t="inlineStr">
        <is>
          <t>Intel Core i5-12400F</t>
        </is>
      </c>
      <c r="D449" s="5" t="inlineStr">
        <is>
          <t>nuevo</t>
        </is>
      </c>
      <c r="E449" s="11" t="n">
        <v>140</v>
      </c>
      <c r="F449" s="5" t="inlineStr">
        <is>
          <t>USD</t>
        </is>
      </c>
      <c r="G449" s="5" t="inlineStr">
        <is>
          <t>eBay API; vendedor picturesofheaven 99.8%; NEW - INTEL CPU Core i5-12400F / 6/12 / 2.5GHz / BX807151240</t>
        </is>
      </c>
      <c r="H449" s="6" t="inlineStr">
        <is>
          <t>ver</t>
        </is>
      </c>
    </row>
    <row r="450">
      <c r="A450" s="15" t="n">
        <v>46322</v>
      </c>
      <c r="B450" s="5" t="inlineStr">
        <is>
          <t>eBay</t>
        </is>
      </c>
      <c r="C450" s="5" t="inlineStr">
        <is>
          <t>Intel Core i5-14400F</t>
        </is>
      </c>
      <c r="D450" s="5" t="inlineStr">
        <is>
          <t>nuevo</t>
        </is>
      </c>
      <c r="E450" s="11" t="n">
        <v>164.49</v>
      </c>
      <c r="F450" s="5" t="inlineStr">
        <is>
          <t>USD</t>
        </is>
      </c>
      <c r="G450" s="5" t="inlineStr">
        <is>
          <t xml:space="preserve">eBay API; vendedor newegg 99.6%; Intel Core i5-14400F - Core i5 14th Gen Raptor Lake 10-Core </t>
        </is>
      </c>
      <c r="H450" s="6" t="inlineStr">
        <is>
          <t>ver</t>
        </is>
      </c>
    </row>
    <row r="451">
      <c r="A451" s="15" t="n">
        <v>46322</v>
      </c>
      <c r="B451" s="5" t="inlineStr">
        <is>
          <t>eBay</t>
        </is>
      </c>
      <c r="C451" s="5" t="inlineStr">
        <is>
          <t>Intel Core Ultra 7 265K</t>
        </is>
      </c>
      <c r="D451" s="5" t="inlineStr">
        <is>
          <t>nuevo</t>
        </is>
      </c>
      <c r="E451" s="11" t="n">
        <v>259.99</v>
      </c>
      <c r="F451" s="5" t="inlineStr">
        <is>
          <t>USD</t>
        </is>
      </c>
      <c r="G451" s="5" t="inlineStr">
        <is>
          <t>eBay API; vendedor luis11389 99.1%; Intel Core Ultra 7 265K 20-Core LGA 1851 Unlocked CPU BX8076; envío no indicado</t>
        </is>
      </c>
      <c r="H451" s="6" t="inlineStr">
        <is>
          <t>ver</t>
        </is>
      </c>
    </row>
    <row r="452">
      <c r="A452" s="15" t="n">
        <v>46322</v>
      </c>
      <c r="B452" s="5" t="inlineStr">
        <is>
          <t>eBay</t>
        </is>
      </c>
      <c r="C452" s="5" t="inlineStr">
        <is>
          <t>Corsair Vengeance RGB DDR5 32GB (2x16) 5600</t>
        </is>
      </c>
      <c r="D452" s="5" t="inlineStr">
        <is>
          <t>nuevo</t>
        </is>
      </c>
      <c r="E452" s="11" t="n">
        <v>459</v>
      </c>
      <c r="F452" s="5" t="inlineStr">
        <is>
          <t>USD</t>
        </is>
      </c>
      <c r="G452" s="5" t="inlineStr">
        <is>
          <t>eBay API; vendedor 2012roms 100.0%; Corsair Vengeance 32GB (2x16GB) DDR5 5600MHz CL36 Desktop RA; envío no indicado</t>
        </is>
      </c>
      <c r="H452" s="6" t="inlineStr">
        <is>
          <t>ver</t>
        </is>
      </c>
    </row>
    <row r="453">
      <c r="A453" s="15" t="n">
        <v>46322</v>
      </c>
      <c r="B453" s="5" t="inlineStr">
        <is>
          <t>eBay</t>
        </is>
      </c>
      <c r="C453" s="5" t="inlineStr">
        <is>
          <t>Corsair Vengeance RGB DDR5 32GB (2x16) 6000</t>
        </is>
      </c>
      <c r="D453" s="5" t="inlineStr">
        <is>
          <t>nuevo</t>
        </is>
      </c>
      <c r="E453" s="11" t="n">
        <v>450</v>
      </c>
      <c r="F453" s="5" t="inlineStr">
        <is>
          <t>USD</t>
        </is>
      </c>
      <c r="G453" s="5" t="inlineStr">
        <is>
          <t>eBay API; vendedor kn32451 99.9%; CORSAIR Vengeance RGB 32GB (2x16GB) DDR5 6000MHz CL36 AMD EX</t>
        </is>
      </c>
      <c r="H453" s="6" t="inlineStr">
        <is>
          <t>ver</t>
        </is>
      </c>
    </row>
    <row r="454">
      <c r="A454" s="15" t="n">
        <v>46322</v>
      </c>
      <c r="B454" s="5" t="inlineStr">
        <is>
          <t>eBay</t>
        </is>
      </c>
      <c r="C454" s="5" t="inlineStr">
        <is>
          <t>RAM DDR4 16GB (2x8) 3200</t>
        </is>
      </c>
      <c r="D454" s="5" t="inlineStr">
        <is>
          <t>nuevo</t>
        </is>
      </c>
      <c r="E454" s="11" t="n">
        <v>109</v>
      </c>
      <c r="F454" s="5" t="inlineStr">
        <is>
          <t>USD</t>
        </is>
      </c>
      <c r="G454" s="5" t="inlineStr">
        <is>
          <t>eBay API; vendedor memorymasters 99.6%; 16GB 2x 8GB PC4-25600 Desktop DIMM DDR4 3200MHz Non-ECC Memo</t>
        </is>
      </c>
      <c r="H454" s="6" t="inlineStr">
        <is>
          <t>ver</t>
        </is>
      </c>
    </row>
    <row r="455">
      <c r="A455" s="15" t="n">
        <v>46322</v>
      </c>
      <c r="B455" s="5" t="inlineStr">
        <is>
          <t>eBay</t>
        </is>
      </c>
      <c r="C455" s="5" t="inlineStr">
        <is>
          <t>SSD NVMe 1TB</t>
        </is>
      </c>
      <c r="D455" s="5" t="inlineStr">
        <is>
          <t>nuevo</t>
        </is>
      </c>
      <c r="E455" s="11" t="n">
        <v>114.99</v>
      </c>
      <c r="F455" s="5" t="inlineStr">
        <is>
          <t>USD</t>
        </is>
      </c>
      <c r="G455" s="5" t="inlineStr">
        <is>
          <t>eBay API; vendedor gadgetworld03 99.0%; Derlar DN-850Q 1TB M.2 NVME PCIe 4.0 SSD - New</t>
        </is>
      </c>
      <c r="H455" s="6" t="inlineStr">
        <is>
          <t>ver</t>
        </is>
      </c>
    </row>
    <row r="456">
      <c r="A456" s="15" t="n">
        <v>46322</v>
      </c>
      <c r="B456" s="5" t="inlineStr">
        <is>
          <t>eBay</t>
        </is>
      </c>
      <c r="C456" s="5" t="inlineStr">
        <is>
          <t>SSD NVMe 2TB</t>
        </is>
      </c>
      <c r="D456" s="5" t="inlineStr">
        <is>
          <t>nuevo</t>
        </is>
      </c>
      <c r="E456" s="11" t="n">
        <v>185</v>
      </c>
      <c r="F456" s="5" t="inlineStr">
        <is>
          <t>USD</t>
        </is>
      </c>
      <c r="G456" s="5" t="inlineStr">
        <is>
          <t>eBay API; vendedor honestdeals 100.0%; 2TB Leven 2280mm Lares 2TB M.2 NVMe Gen 3.0 SSD JPS600-2TB T</t>
        </is>
      </c>
      <c r="H456" s="6" t="inlineStr">
        <is>
          <t>ver</t>
        </is>
      </c>
    </row>
    <row r="457">
      <c r="A457" s="15" t="n">
        <v>46322</v>
      </c>
      <c r="B457" s="5" t="inlineStr">
        <is>
          <t>eBay</t>
        </is>
      </c>
      <c r="C457" s="5" t="inlineStr">
        <is>
          <t>Ryzen 7 7700X</t>
        </is>
      </c>
      <c r="D457" s="5" t="inlineStr">
        <is>
          <t>nuevo</t>
        </is>
      </c>
      <c r="E457" s="11" t="n">
        <v>219</v>
      </c>
      <c r="F457" s="5" t="inlineStr">
        <is>
          <t>USD</t>
        </is>
      </c>
      <c r="G457" s="5" t="inlineStr">
        <is>
          <t>eBay API; vendedor greatdaytreasures 100.0%; AMD Ryzen 7 7700X CPU Processor - Brand New/Unopened</t>
        </is>
      </c>
      <c r="H457" s="6" t="inlineStr">
        <is>
          <t>ver</t>
        </is>
      </c>
    </row>
    <row r="458">
      <c r="A458" s="15" t="n">
        <v>46322</v>
      </c>
      <c r="B458" s="5" t="inlineStr">
        <is>
          <t>eBay</t>
        </is>
      </c>
      <c r="C458" s="5" t="inlineStr">
        <is>
          <t>Ryzen 5 7500F</t>
        </is>
      </c>
      <c r="D458" s="5" t="inlineStr">
        <is>
          <t>nuevo</t>
        </is>
      </c>
      <c r="E458" s="11" t="n">
        <v>135.6</v>
      </c>
      <c r="F458" s="5" t="inlineStr">
        <is>
          <t>USD</t>
        </is>
      </c>
      <c r="G458" s="5" t="inlineStr">
        <is>
          <t>eBay API; vendedor technological-trend 99.3%; AMD Ryzen 5 7500F - Ryzen 5 7000 Series Zen 4 6-Core 3.7 GHz</t>
        </is>
      </c>
      <c r="H458" s="6" t="inlineStr">
        <is>
          <t>ver</t>
        </is>
      </c>
    </row>
    <row r="459">
      <c r="A459" s="15" t="n">
        <v>46322</v>
      </c>
      <c r="B459" s="5" t="inlineStr">
        <is>
          <t>eBay</t>
        </is>
      </c>
      <c r="C459" s="5" t="inlineStr">
        <is>
          <t>Ryzen 5 5600</t>
        </is>
      </c>
      <c r="D459" s="5" t="inlineStr">
        <is>
          <t>usado</t>
        </is>
      </c>
      <c r="E459" s="11" t="n">
        <v>133.99</v>
      </c>
      <c r="F459" s="5" t="inlineStr">
        <is>
          <t>USD</t>
        </is>
      </c>
      <c r="G459" s="5" t="inlineStr">
        <is>
          <t>eBay API; vendedor damoses1 100.0%; AMD Ryzen 5 5600 6-Core 12-Thread Socket AM4 3.5GHz 4.4 Boos; envío no indicado</t>
        </is>
      </c>
      <c r="H459" s="6" t="inlineStr">
        <is>
          <t>ver</t>
        </is>
      </c>
    </row>
    <row r="460">
      <c r="A460" s="15" t="n">
        <v>46322</v>
      </c>
      <c r="B460" s="5" t="inlineStr">
        <is>
          <t>eBay</t>
        </is>
      </c>
      <c r="C460" s="5" t="inlineStr">
        <is>
          <t>Ryzen 7 5700X3D</t>
        </is>
      </c>
      <c r="D460" s="5" t="inlineStr">
        <is>
          <t>usado</t>
        </is>
      </c>
      <c r="E460" s="11" t="n">
        <v>319.99</v>
      </c>
      <c r="F460" s="5" t="inlineStr">
        <is>
          <t>USD</t>
        </is>
      </c>
      <c r="G460" s="5" t="inlineStr">
        <is>
          <t>eBay API; vendedor bradvallier-0 100.0%; AMD Ryzen 7 5700X3D R7 CPU Socket AM4 Zen 3 96MB L3 Desktop ; envío no indicado</t>
        </is>
      </c>
      <c r="H460" s="6" t="inlineStr">
        <is>
          <t>ver</t>
        </is>
      </c>
    </row>
    <row r="461">
      <c r="A461" s="15" t="n">
        <v>46322</v>
      </c>
      <c r="B461" s="5" t="inlineStr">
        <is>
          <t>eBay</t>
        </is>
      </c>
      <c r="C461" s="5" t="inlineStr">
        <is>
          <t>Ryzen 5 7600</t>
        </is>
      </c>
      <c r="D461" s="5" t="inlineStr">
        <is>
          <t>usado</t>
        </is>
      </c>
      <c r="E461" s="11" t="n">
        <v>119</v>
      </c>
      <c r="F461" s="5" t="inlineStr">
        <is>
          <t>USD</t>
        </is>
      </c>
      <c r="G461" s="5" t="inlineStr">
        <is>
          <t xml:space="preserve">eBay API; vendedor piedmontreeltimemovies 99.6%; AMD Ryzen 5 7600 6-Core 3.8GHz Desktop CPU Processor Socket </t>
        </is>
      </c>
      <c r="H461" s="6" t="inlineStr">
        <is>
          <t>ver</t>
        </is>
      </c>
    </row>
    <row r="462">
      <c r="A462" s="15" t="n">
        <v>46322</v>
      </c>
      <c r="B462" s="5" t="inlineStr">
        <is>
          <t>eBay</t>
        </is>
      </c>
      <c r="C462" s="5" t="inlineStr">
        <is>
          <t>Ryzen 7 7800X3D</t>
        </is>
      </c>
      <c r="D462" s="5" t="inlineStr">
        <is>
          <t>usado</t>
        </is>
      </c>
      <c r="E462" s="11" t="n">
        <v>275</v>
      </c>
      <c r="F462" s="5" t="inlineStr">
        <is>
          <t>USD</t>
        </is>
      </c>
      <c r="G462" s="5" t="inlineStr">
        <is>
          <t>eBay API; vendedor kjhutto1189 100.0%; AMD Ryzen 7 7800X3D Processor (5 GHz, 8 Cores, Socket AM5) B; envío no indicado</t>
        </is>
      </c>
      <c r="H462" s="6" t="inlineStr">
        <is>
          <t>ver</t>
        </is>
      </c>
    </row>
    <row r="463">
      <c r="A463" s="15" t="n">
        <v>46322</v>
      </c>
      <c r="B463" s="5" t="inlineStr">
        <is>
          <t>eBay</t>
        </is>
      </c>
      <c r="C463" s="5" t="inlineStr">
        <is>
          <t>Ryzen 9 9950X</t>
        </is>
      </c>
      <c r="D463" s="5" t="inlineStr">
        <is>
          <t>usado</t>
        </is>
      </c>
      <c r="E463" s="11" t="n">
        <v>430</v>
      </c>
      <c r="F463" s="5" t="inlineStr">
        <is>
          <t>USD</t>
        </is>
      </c>
      <c r="G463" s="5" t="inlineStr">
        <is>
          <t>eBay API; vendedor whoismoses 98.0%; AMD Ryzen 9 9950X Processor (5.7 GHz, 16 Cores, LGA 1718/Soc; envío no indicado</t>
        </is>
      </c>
      <c r="H463" s="6" t="inlineStr">
        <is>
          <t>ver</t>
        </is>
      </c>
    </row>
    <row r="464">
      <c r="A464" s="15" t="n">
        <v>46322</v>
      </c>
      <c r="B464" s="5" t="inlineStr">
        <is>
          <t>eBay</t>
        </is>
      </c>
      <c r="C464" s="5" t="inlineStr">
        <is>
          <t>Intel Core i5-12400F</t>
        </is>
      </c>
      <c r="D464" s="5" t="inlineStr">
        <is>
          <t>usado</t>
        </is>
      </c>
      <c r="E464" s="11" t="n">
        <v>119.89</v>
      </c>
      <c r="F464" s="5" t="inlineStr">
        <is>
          <t>USD</t>
        </is>
      </c>
      <c r="G464" s="5" t="inlineStr">
        <is>
          <t>eBay API; vendedor madebycelsius 99.3%; Intel Core i5-12400F 2.50GHz 6 Core SRL4W 12 Thread LGA 1700</t>
        </is>
      </c>
      <c r="H464" s="6" t="inlineStr">
        <is>
          <t>ver</t>
        </is>
      </c>
    </row>
    <row r="465">
      <c r="A465" s="15" t="n">
        <v>46322</v>
      </c>
      <c r="B465" s="5" t="inlineStr">
        <is>
          <t>eBay</t>
        </is>
      </c>
      <c r="C465" s="5" t="inlineStr">
        <is>
          <t>Intel Core i5-13400</t>
        </is>
      </c>
      <c r="D465" s="5" t="inlineStr">
        <is>
          <t>usado</t>
        </is>
      </c>
      <c r="E465" s="11" t="n">
        <v>150</v>
      </c>
      <c r="F465" s="5" t="inlineStr">
        <is>
          <t>USD</t>
        </is>
      </c>
      <c r="G465" s="5" t="inlineStr">
        <is>
          <t>eBay API; vendedor bargdeals65 99.7%; Intel Core i5-13400 SRMBP 2.5GHz 10-Cores 16 Threads 20MB Ca; envío no indicado</t>
        </is>
      </c>
      <c r="H465" s="6" t="inlineStr">
        <is>
          <t>ver</t>
        </is>
      </c>
    </row>
    <row r="466">
      <c r="A466" s="15" t="n">
        <v>46322</v>
      </c>
      <c r="B466" s="5" t="inlineStr">
        <is>
          <t>eBay</t>
        </is>
      </c>
      <c r="C466" s="5" t="inlineStr">
        <is>
          <t>Intel Core i5-14400F</t>
        </is>
      </c>
      <c r="D466" s="5" t="inlineStr">
        <is>
          <t>usado</t>
        </is>
      </c>
      <c r="E466" s="11" t="n">
        <v>129.99</v>
      </c>
      <c r="F466" s="5" t="inlineStr">
        <is>
          <t>USD</t>
        </is>
      </c>
      <c r="G466" s="5" t="inlineStr">
        <is>
          <t>eBay API; vendedor paymore_south_san_francisco 99.5%; Intel Core i5-14400F 2.50GHz 10 Core SRN3R 16 Thread LGA 170</t>
        </is>
      </c>
      <c r="H466" s="6" t="inlineStr">
        <is>
          <t>ver</t>
        </is>
      </c>
    </row>
    <row r="467">
      <c r="A467" s="15" t="n">
        <v>46322</v>
      </c>
      <c r="B467" s="5" t="inlineStr">
        <is>
          <t>eBay</t>
        </is>
      </c>
      <c r="C467" s="5" t="inlineStr">
        <is>
          <t>Corsair Vengeance RGB DDR5 32GB (2x16) 5600</t>
        </is>
      </c>
      <c r="D467" s="5" t="inlineStr">
        <is>
          <t>usado</t>
        </is>
      </c>
      <c r="E467" s="11" t="n">
        <v>399.99</v>
      </c>
      <c r="F467" s="5" t="inlineStr">
        <is>
          <t>USD</t>
        </is>
      </c>
      <c r="G467" s="5" t="inlineStr">
        <is>
          <t>eBay API; vendedor wazno 99.7%; Corsair Vengeance RGB 32GB 2x16GB DDR5 RAM 5600MHz CMH32GX5M</t>
        </is>
      </c>
      <c r="H467" s="6" t="inlineStr">
        <is>
          <t>ver</t>
        </is>
      </c>
    </row>
    <row r="468">
      <c r="A468" s="15" t="n">
        <v>46322</v>
      </c>
      <c r="B468" s="5" t="inlineStr">
        <is>
          <t>eBay</t>
        </is>
      </c>
      <c r="C468" s="5" t="inlineStr">
        <is>
          <t>Corsair Vengeance RGB DDR5 32GB (2x16) 6000</t>
        </is>
      </c>
      <c r="D468" s="5" t="inlineStr">
        <is>
          <t>usado</t>
        </is>
      </c>
      <c r="E468" s="11" t="n">
        <v>399.99</v>
      </c>
      <c r="F468" s="5" t="inlineStr">
        <is>
          <t>USD</t>
        </is>
      </c>
      <c r="G468" s="5" t="inlineStr">
        <is>
          <t>eBay API; vendedor paymore_mira_mesa 98.5%; Corsair Vengeance RGB 32GB (2x16GB) RAM DDR5 6000MHz CMH32GX</t>
        </is>
      </c>
      <c r="H468" s="6" t="inlineStr">
        <is>
          <t>ver</t>
        </is>
      </c>
    </row>
    <row r="469">
      <c r="A469" s="15" t="n">
        <v>46322</v>
      </c>
      <c r="B469" s="5" t="inlineStr">
        <is>
          <t>eBay</t>
        </is>
      </c>
      <c r="C469" s="5" t="inlineStr">
        <is>
          <t>RAM DDR4 16GB (2x8) 3200</t>
        </is>
      </c>
      <c r="D469" s="5" t="inlineStr">
        <is>
          <t>usado</t>
        </is>
      </c>
      <c r="E469" s="11" t="n">
        <v>59.95</v>
      </c>
      <c r="F469" s="5" t="inlineStr">
        <is>
          <t>USD</t>
        </is>
      </c>
      <c r="G469" s="5" t="inlineStr">
        <is>
          <t>eBay API; vendedor chynco_outlet 100.0%; Micron 16GB (2x8GB) DDR4-3200 DIMM Desktop Memory RAM MTA4AT</t>
        </is>
      </c>
      <c r="H469" s="6" t="inlineStr">
        <is>
          <t>ver</t>
        </is>
      </c>
    </row>
    <row r="470">
      <c r="A470" s="15" t="n">
        <v>46322</v>
      </c>
      <c r="B470" s="5" t="inlineStr">
        <is>
          <t>eBay</t>
        </is>
      </c>
      <c r="C470" s="5" t="inlineStr">
        <is>
          <t>SSD NVMe 1TB</t>
        </is>
      </c>
      <c r="D470" s="5" t="inlineStr">
        <is>
          <t>usado</t>
        </is>
      </c>
      <c r="E470" s="11" t="n">
        <v>89.95</v>
      </c>
      <c r="F470" s="5" t="inlineStr">
        <is>
          <t>USD</t>
        </is>
      </c>
      <c r="G470" s="5" t="inlineStr">
        <is>
          <t>eBay API; vendedor toyarcade 99.2%; Super Talent EX 1TB NVMe PCIe Gen3 x4 M.2 2280 SSD (FPI1TBMW</t>
        </is>
      </c>
      <c r="H470" s="6" t="inlineStr">
        <is>
          <t>ver</t>
        </is>
      </c>
    </row>
    <row r="471">
      <c r="A471" s="15" t="n">
        <v>46322</v>
      </c>
      <c r="B471" s="5" t="inlineStr">
        <is>
          <t>eBay</t>
        </is>
      </c>
      <c r="C471" s="5" t="inlineStr">
        <is>
          <t>SSD NVMe 2TB</t>
        </is>
      </c>
      <c r="D471" s="5" t="inlineStr">
        <is>
          <t>usado</t>
        </is>
      </c>
      <c r="E471" s="11" t="n">
        <v>179.99</v>
      </c>
      <c r="F471" s="5" t="inlineStr">
        <is>
          <t>USD</t>
        </is>
      </c>
      <c r="G471" s="5" t="inlineStr">
        <is>
          <t>eBay API; vendedor wazno 99.7%; Western Digital SN530 2TB SSD PCIe Gen4 NVMe 2280 SSD SDBPNP</t>
        </is>
      </c>
      <c r="H471" s="6" t="inlineStr">
        <is>
          <t>ver</t>
        </is>
      </c>
    </row>
    <row r="472">
      <c r="A472" s="15" t="n">
        <v>46322</v>
      </c>
      <c r="B472" s="5" t="inlineStr">
        <is>
          <t>eBay</t>
        </is>
      </c>
      <c r="C472" s="5" t="inlineStr">
        <is>
          <t>Ryzen 7 7700X</t>
        </is>
      </c>
      <c r="D472" s="5" t="inlineStr">
        <is>
          <t>usado</t>
        </is>
      </c>
      <c r="E472" s="11" t="n">
        <v>189.99</v>
      </c>
      <c r="F472" s="5" t="inlineStr">
        <is>
          <t>USD</t>
        </is>
      </c>
      <c r="G472" s="5" t="inlineStr">
        <is>
          <t>eBay API; vendedor g-electronic 99.7%; AMD Ryzen 7 7700X Desktop Processor 8-Core, 16-Thread 4.5GHz</t>
        </is>
      </c>
      <c r="H472" s="6" t="inlineStr">
        <is>
          <t>ver</t>
        </is>
      </c>
    </row>
    <row r="473">
      <c r="A473" s="15" t="n">
        <v>46322</v>
      </c>
      <c r="B473" s="5" t="inlineStr">
        <is>
          <t>eBay</t>
        </is>
      </c>
      <c r="C473" s="5" t="inlineStr">
        <is>
          <t>Ryzen 5 7500F</t>
        </is>
      </c>
      <c r="D473" s="5" t="inlineStr">
        <is>
          <t>usado</t>
        </is>
      </c>
      <c r="E473" s="11" t="n">
        <v>129.99</v>
      </c>
      <c r="F473" s="5" t="inlineStr">
        <is>
          <t>USD</t>
        </is>
      </c>
      <c r="G473" s="5" t="inlineStr">
        <is>
          <t>eBay API; vendedor jorgejhj 100.0%; AMD Ryzen 5 7500F Ryzen 5 6-Core 3.7GHz Socket AM5; envío no indicado</t>
        </is>
      </c>
      <c r="H473" s="6" t="inlineStr">
        <is>
          <t>ver</t>
        </is>
      </c>
    </row>
    <row r="474">
      <c r="A474" s="15" t="n">
        <v>46323</v>
      </c>
      <c r="B474" s="5" t="inlineStr">
        <is>
          <t>eBay</t>
        </is>
      </c>
      <c r="C474" s="5" t="inlineStr">
        <is>
          <t>Ryzen 5 5600</t>
        </is>
      </c>
      <c r="D474" s="5" t="inlineStr">
        <is>
          <t>nuevo</t>
        </is>
      </c>
      <c r="E474" s="11" t="n">
        <v>138.9</v>
      </c>
      <c r="F474" s="5" t="inlineStr">
        <is>
          <t>USD</t>
        </is>
      </c>
      <c r="G474" s="5" t="inlineStr">
        <is>
          <t>eBay API; vendedor 3c_wholesaler 99.5%; (New) AMD Ryzen 5 5600 Vermeer Zen3 6-Core 12-Thread AM4 CPU</t>
        </is>
      </c>
      <c r="H474" s="6" t="inlineStr">
        <is>
          <t>ver</t>
        </is>
      </c>
    </row>
    <row r="475">
      <c r="A475" s="15" t="n">
        <v>46323</v>
      </c>
      <c r="B475" s="5" t="inlineStr">
        <is>
          <t>eBay</t>
        </is>
      </c>
      <c r="C475" s="5" t="inlineStr">
        <is>
          <t>Ryzen 5 7600</t>
        </is>
      </c>
      <c r="D475" s="5" t="inlineStr">
        <is>
          <t>nuevo</t>
        </is>
      </c>
      <c r="E475" s="11" t="n">
        <v>146.98</v>
      </c>
      <c r="F475" s="5" t="inlineStr">
        <is>
          <t>USD</t>
        </is>
      </c>
      <c r="G475" s="5" t="inlineStr">
        <is>
          <t>eBay API; vendedor setbuy 98.7%; AMD Ryzen 5 7600 6-Core 12-Thread AM5 CPU 5.1GHz 100-0000010</t>
        </is>
      </c>
      <c r="H475" s="6" t="inlineStr">
        <is>
          <t>ver</t>
        </is>
      </c>
    </row>
    <row r="476">
      <c r="A476" s="15" t="n">
        <v>46323</v>
      </c>
      <c r="B476" s="5" t="inlineStr">
        <is>
          <t>eBay</t>
        </is>
      </c>
      <c r="C476" s="5" t="inlineStr">
        <is>
          <t>Ryzen 7 7800X3D</t>
        </is>
      </c>
      <c r="D476" s="5" t="inlineStr">
        <is>
          <t>nuevo</t>
        </is>
      </c>
      <c r="E476" s="11" t="n">
        <v>325</v>
      </c>
      <c r="F476" s="5" t="inlineStr">
        <is>
          <t>USD</t>
        </is>
      </c>
      <c r="G476" s="5" t="inlineStr">
        <is>
          <t>eBay API; vendedor thegoodzvault 99.2%; AMD Ryzen 7 7800X3D 8-Core 5.0GHz Turbo 4.2GHz Base Desktop ; envío no indicado</t>
        </is>
      </c>
      <c r="H476" s="6" t="inlineStr">
        <is>
          <t>ver</t>
        </is>
      </c>
    </row>
    <row r="477">
      <c r="A477" s="15" t="n">
        <v>46323</v>
      </c>
      <c r="B477" s="5" t="inlineStr">
        <is>
          <t>eBay</t>
        </is>
      </c>
      <c r="C477" s="5" t="inlineStr">
        <is>
          <t>Ryzen 9 9950X</t>
        </is>
      </c>
      <c r="D477" s="5" t="inlineStr">
        <is>
          <t>nuevo</t>
        </is>
      </c>
      <c r="E477" s="11" t="n">
        <v>549.99</v>
      </c>
      <c r="F477" s="5" t="inlineStr">
        <is>
          <t>USD</t>
        </is>
      </c>
      <c r="G477" s="5" t="inlineStr">
        <is>
          <t>eBay API; vendedor newegg 99.6%; AMD Ryzen 9 9950X - Ryzen 9 9000 Series Granite Ridge (Zen 5</t>
        </is>
      </c>
      <c r="H477" s="6" t="inlineStr">
        <is>
          <t>ver</t>
        </is>
      </c>
    </row>
    <row r="478">
      <c r="A478" s="15" t="n">
        <v>46323</v>
      </c>
      <c r="B478" s="5" t="inlineStr">
        <is>
          <t>eBay</t>
        </is>
      </c>
      <c r="C478" s="5" t="inlineStr">
        <is>
          <t>Intel Core i5-12400F</t>
        </is>
      </c>
      <c r="D478" s="5" t="inlineStr">
        <is>
          <t>nuevo</t>
        </is>
      </c>
      <c r="E478" s="11" t="n">
        <v>140</v>
      </c>
      <c r="F478" s="5" t="inlineStr">
        <is>
          <t>USD</t>
        </is>
      </c>
      <c r="G478" s="5" t="inlineStr">
        <is>
          <t>eBay API; vendedor picturesofheaven 99.8%; NEW - INTEL CPU Core i5-12400F / 6/12 / 2.5GHz / BX807151240</t>
        </is>
      </c>
      <c r="H478" s="6" t="inlineStr">
        <is>
          <t>ver</t>
        </is>
      </c>
    </row>
    <row r="479">
      <c r="A479" s="15" t="n">
        <v>46323</v>
      </c>
      <c r="B479" s="5" t="inlineStr">
        <is>
          <t>eBay</t>
        </is>
      </c>
      <c r="C479" s="5" t="inlineStr">
        <is>
          <t>Intel Core i5-14400F</t>
        </is>
      </c>
      <c r="D479" s="5" t="inlineStr">
        <is>
          <t>nuevo</t>
        </is>
      </c>
      <c r="E479" s="11" t="n">
        <v>164.49</v>
      </c>
      <c r="F479" s="5" t="inlineStr">
        <is>
          <t>USD</t>
        </is>
      </c>
      <c r="G479" s="5" t="inlineStr">
        <is>
          <t xml:space="preserve">eBay API; vendedor newegg 99.6%; Intel Core i5-14400F - Core i5 14th Gen Raptor Lake 10-Core </t>
        </is>
      </c>
      <c r="H479" s="6" t="inlineStr">
        <is>
          <t>ver</t>
        </is>
      </c>
    </row>
    <row r="480">
      <c r="A480" s="15" t="n">
        <v>46323</v>
      </c>
      <c r="B480" s="5" t="inlineStr">
        <is>
          <t>eBay</t>
        </is>
      </c>
      <c r="C480" s="5" t="inlineStr">
        <is>
          <t>Intel Core Ultra 7 265K</t>
        </is>
      </c>
      <c r="D480" s="5" t="inlineStr">
        <is>
          <t>nuevo</t>
        </is>
      </c>
      <c r="E480" s="11" t="n">
        <v>250</v>
      </c>
      <c r="F480" s="5" t="inlineStr">
        <is>
          <t>USD</t>
        </is>
      </c>
      <c r="G480" s="5" t="inlineStr">
        <is>
          <t>eBay API; vendedor rean_55 100.0%; Intel Core ULTRA 7 265K 20-core CPU 5.5GHz ; envío no indicado</t>
        </is>
      </c>
      <c r="H480" s="6" t="inlineStr">
        <is>
          <t>ver</t>
        </is>
      </c>
    </row>
    <row r="481">
      <c r="A481" s="15" t="n">
        <v>46323</v>
      </c>
      <c r="B481" s="5" t="inlineStr">
        <is>
          <t>eBay</t>
        </is>
      </c>
      <c r="C481" s="5" t="inlineStr">
        <is>
          <t>Corsair Vengeance RGB DDR5 32GB (2x16) 5600</t>
        </is>
      </c>
      <c r="D481" s="5" t="inlineStr">
        <is>
          <t>nuevo</t>
        </is>
      </c>
      <c r="E481" s="11" t="n">
        <v>459</v>
      </c>
      <c r="F481" s="5" t="inlineStr">
        <is>
          <t>USD</t>
        </is>
      </c>
      <c r="G481" s="5" t="inlineStr">
        <is>
          <t>eBay API; vendedor 2012roms 100.0%; Corsair Vengeance 32GB (2x16GB) DDR5 5600MHz CL36 Desktop RA; envío no indicado</t>
        </is>
      </c>
      <c r="H481" s="6" t="inlineStr">
        <is>
          <t>ver</t>
        </is>
      </c>
    </row>
    <row r="482">
      <c r="A482" s="15" t="n">
        <v>46323</v>
      </c>
      <c r="B482" s="5" t="inlineStr">
        <is>
          <t>eBay</t>
        </is>
      </c>
      <c r="C482" s="5" t="inlineStr">
        <is>
          <t>Corsair Vengeance RGB DDR5 32GB (2x16) 6000</t>
        </is>
      </c>
      <c r="D482" s="5" t="inlineStr">
        <is>
          <t>nuevo</t>
        </is>
      </c>
      <c r="E482" s="11" t="n">
        <v>450</v>
      </c>
      <c r="F482" s="5" t="inlineStr">
        <is>
          <t>USD</t>
        </is>
      </c>
      <c r="G482" s="5" t="inlineStr">
        <is>
          <t>eBay API; vendedor andreschneidernyc 100.0%; Corsair Vengeance RGB 32GB (2x16GB) DDR5-6000 DIMM Intel XMP; envío no indicado</t>
        </is>
      </c>
      <c r="H482" s="6" t="inlineStr">
        <is>
          <t>ver</t>
        </is>
      </c>
    </row>
    <row r="483">
      <c r="A483" s="15" t="n">
        <v>46323</v>
      </c>
      <c r="B483" s="5" t="inlineStr">
        <is>
          <t>eBay</t>
        </is>
      </c>
      <c r="C483" s="5" t="inlineStr">
        <is>
          <t>RAM DDR4 16GB (2x8) 3200</t>
        </is>
      </c>
      <c r="D483" s="5" t="inlineStr">
        <is>
          <t>nuevo</t>
        </is>
      </c>
      <c r="E483" s="11" t="n">
        <v>100</v>
      </c>
      <c r="F483" s="5" t="inlineStr">
        <is>
          <t>USD</t>
        </is>
      </c>
      <c r="G483" s="5" t="inlineStr">
        <is>
          <t>eBay API; vendedor jiyuu_4 100.0%; Gloway 16GB (2x8GB) DDR4 3200MHz Desktop RAM CL18 Gaming Mem; envío no indicado</t>
        </is>
      </c>
      <c r="H483" s="6" t="inlineStr">
        <is>
          <t>ver</t>
        </is>
      </c>
    </row>
    <row r="484">
      <c r="A484" s="15" t="n">
        <v>46323</v>
      </c>
      <c r="B484" s="5" t="inlineStr">
        <is>
          <t>eBay</t>
        </is>
      </c>
      <c r="C484" s="5" t="inlineStr">
        <is>
          <t>SSD NVMe 1TB</t>
        </is>
      </c>
      <c r="D484" s="5" t="inlineStr">
        <is>
          <t>nuevo</t>
        </is>
      </c>
      <c r="E484" s="11" t="n">
        <v>114.99</v>
      </c>
      <c r="F484" s="5" t="inlineStr">
        <is>
          <t>USD</t>
        </is>
      </c>
      <c r="G484" s="5" t="inlineStr">
        <is>
          <t>eBay API; vendedor gadgetworld03 99.0%; Derlar DN-850Q 1TB M.2 NVME PCIe 4.0 SSD - New</t>
        </is>
      </c>
      <c r="H484" s="6" t="inlineStr">
        <is>
          <t>ver</t>
        </is>
      </c>
    </row>
    <row r="485">
      <c r="A485" s="15" t="n">
        <v>46323</v>
      </c>
      <c r="B485" s="5" t="inlineStr">
        <is>
          <t>eBay</t>
        </is>
      </c>
      <c r="C485" s="5" t="inlineStr">
        <is>
          <t>SSD NVMe 2TB</t>
        </is>
      </c>
      <c r="D485" s="5" t="inlineStr">
        <is>
          <t>nuevo</t>
        </is>
      </c>
      <c r="E485" s="11" t="n">
        <v>185</v>
      </c>
      <c r="F485" s="5" t="inlineStr">
        <is>
          <t>USD</t>
        </is>
      </c>
      <c r="G485" s="5" t="inlineStr">
        <is>
          <t>eBay API; vendedor honestdeals 100.0%; 2TB Leven 2280mm Lares 2TB M.2 NVMe Gen 3.0 SSD JPS600-2TB T</t>
        </is>
      </c>
      <c r="H485" s="6" t="inlineStr">
        <is>
          <t>ver</t>
        </is>
      </c>
    </row>
    <row r="486">
      <c r="A486" s="15" t="n">
        <v>46323</v>
      </c>
      <c r="B486" s="5" t="inlineStr">
        <is>
          <t>eBay</t>
        </is>
      </c>
      <c r="C486" s="5" t="inlineStr">
        <is>
          <t>Ryzen 7 7700X</t>
        </is>
      </c>
      <c r="D486" s="5" t="inlineStr">
        <is>
          <t>nuevo</t>
        </is>
      </c>
      <c r="E486" s="11" t="n">
        <v>219</v>
      </c>
      <c r="F486" s="5" t="inlineStr">
        <is>
          <t>USD</t>
        </is>
      </c>
      <c r="G486" s="5" t="inlineStr">
        <is>
          <t>eBay API; vendedor greatdaytreasures 100.0%; AMD Ryzen 7 7700X CPU Processor - Brand New/Unopened</t>
        </is>
      </c>
      <c r="H486" s="6" t="inlineStr">
        <is>
          <t>ver</t>
        </is>
      </c>
    </row>
    <row r="487">
      <c r="A487" s="15" t="n">
        <v>46323</v>
      </c>
      <c r="B487" s="5" t="inlineStr">
        <is>
          <t>eBay</t>
        </is>
      </c>
      <c r="C487" s="5" t="inlineStr">
        <is>
          <t>Ryzen 5 7500F</t>
        </is>
      </c>
      <c r="D487" s="5" t="inlineStr">
        <is>
          <t>nuevo</t>
        </is>
      </c>
      <c r="E487" s="11" t="n">
        <v>135.6</v>
      </c>
      <c r="F487" s="5" t="inlineStr">
        <is>
          <t>USD</t>
        </is>
      </c>
      <c r="G487" s="5" t="inlineStr">
        <is>
          <t>eBay API; vendedor technological-trend 99.3%; AMD Ryzen 5 7500F - Ryzen 5 7000 Series Zen 4 6-Core 3.7 GHz</t>
        </is>
      </c>
      <c r="H487" s="6" t="inlineStr">
        <is>
          <t>ver</t>
        </is>
      </c>
    </row>
    <row r="488">
      <c r="A488" s="15" t="n">
        <v>46323</v>
      </c>
      <c r="B488" s="5" t="inlineStr">
        <is>
          <t>eBay</t>
        </is>
      </c>
      <c r="C488" s="5" t="inlineStr">
        <is>
          <t>Ryzen 5 5600</t>
        </is>
      </c>
      <c r="D488" s="5" t="inlineStr">
        <is>
          <t>usado</t>
        </is>
      </c>
      <c r="E488" s="11" t="n">
        <v>131.99</v>
      </c>
      <c r="F488" s="5" t="inlineStr">
        <is>
          <t>USD</t>
        </is>
      </c>
      <c r="G488" s="5" t="inlineStr">
        <is>
          <t>eBay API; vendedor damoses1 100.0%; AMD Ryzen 5 5600 6-Core 12-Thread Socket AM4 3.5GHz 4.4 Boos; envío no indicado</t>
        </is>
      </c>
      <c r="H488" s="6" t="inlineStr">
        <is>
          <t>ver</t>
        </is>
      </c>
    </row>
    <row r="489">
      <c r="A489" s="15" t="n">
        <v>46323</v>
      </c>
      <c r="B489" s="5" t="inlineStr">
        <is>
          <t>eBay</t>
        </is>
      </c>
      <c r="C489" s="5" t="inlineStr">
        <is>
          <t>Ryzen 7 5700X3D</t>
        </is>
      </c>
      <c r="D489" s="5" t="inlineStr">
        <is>
          <t>usado</t>
        </is>
      </c>
      <c r="E489" s="11" t="n">
        <v>336</v>
      </c>
      <c r="F489" s="5" t="inlineStr">
        <is>
          <t>USD</t>
        </is>
      </c>
      <c r="G489" s="5" t="inlineStr">
        <is>
          <t>eBay API; vendedor jariah_tomko 100.0%; AMD Ryzen 7 5700X3D 8-Core 16-Thread AM4 CPU | 96MB 3D V-Cac; envío no indicado</t>
        </is>
      </c>
      <c r="H489" s="6" t="inlineStr">
        <is>
          <t>ver</t>
        </is>
      </c>
    </row>
    <row r="490">
      <c r="A490" s="15" t="n">
        <v>46323</v>
      </c>
      <c r="B490" s="5" t="inlineStr">
        <is>
          <t>eBay</t>
        </is>
      </c>
      <c r="C490" s="5" t="inlineStr">
        <is>
          <t>Ryzen 5 7600</t>
        </is>
      </c>
      <c r="D490" s="5" t="inlineStr">
        <is>
          <t>usado</t>
        </is>
      </c>
      <c r="E490" s="11" t="n">
        <v>119</v>
      </c>
      <c r="F490" s="5" t="inlineStr">
        <is>
          <t>USD</t>
        </is>
      </c>
      <c r="G490" s="5" t="inlineStr">
        <is>
          <t xml:space="preserve">eBay API; vendedor piedmontreeltimemovies 99.6%; AMD Ryzen 5 7600 6-Core 3.8GHz Desktop CPU Processor Socket </t>
        </is>
      </c>
      <c r="H490" s="6" t="inlineStr">
        <is>
          <t>ver</t>
        </is>
      </c>
    </row>
    <row r="491">
      <c r="A491" s="15" t="n">
        <v>46323</v>
      </c>
      <c r="B491" s="5" t="inlineStr">
        <is>
          <t>eBay</t>
        </is>
      </c>
      <c r="C491" s="5" t="inlineStr">
        <is>
          <t>Ryzen 7 7800X3D</t>
        </is>
      </c>
      <c r="D491" s="5" t="inlineStr">
        <is>
          <t>usado</t>
        </is>
      </c>
      <c r="E491" s="11" t="n">
        <v>275</v>
      </c>
      <c r="F491" s="5" t="inlineStr">
        <is>
          <t>USD</t>
        </is>
      </c>
      <c r="G491" s="5" t="inlineStr">
        <is>
          <t>eBay API; vendedor kjhutto1189 100.0%; AMD Ryzen 7 7800X3D Processor (5 GHz, 8 Cores, Socket AM5) B; envío no indicado</t>
        </is>
      </c>
      <c r="H491" s="6" t="inlineStr">
        <is>
          <t>ver</t>
        </is>
      </c>
    </row>
    <row r="492">
      <c r="A492" s="15" t="n">
        <v>46323</v>
      </c>
      <c r="B492" s="5" t="inlineStr">
        <is>
          <t>eBay</t>
        </is>
      </c>
      <c r="C492" s="5" t="inlineStr">
        <is>
          <t>Ryzen 9 9950X</t>
        </is>
      </c>
      <c r="D492" s="5" t="inlineStr">
        <is>
          <t>usado</t>
        </is>
      </c>
      <c r="E492" s="11" t="n">
        <v>454.99</v>
      </c>
      <c r="F492" s="5" t="inlineStr">
        <is>
          <t>USD</t>
        </is>
      </c>
      <c r="G492" s="5" t="inlineStr">
        <is>
          <t>eBay API; vendedor goodios_direct 99.6%; **  AMD Ryzen 9 9950X Processor - USED  **</t>
        </is>
      </c>
      <c r="H492" s="6" t="inlineStr">
        <is>
          <t>ver</t>
        </is>
      </c>
    </row>
    <row r="493">
      <c r="A493" s="15" t="n">
        <v>46323</v>
      </c>
      <c r="B493" s="5" t="inlineStr">
        <is>
          <t>eBay</t>
        </is>
      </c>
      <c r="C493" s="5" t="inlineStr">
        <is>
          <t>Intel Core i5-12400F</t>
        </is>
      </c>
      <c r="D493" s="5" t="inlineStr">
        <is>
          <t>usado</t>
        </is>
      </c>
      <c r="E493" s="11" t="n">
        <v>124.85</v>
      </c>
      <c r="F493" s="5" t="inlineStr">
        <is>
          <t>USD</t>
        </is>
      </c>
      <c r="G493" s="5" t="inlineStr">
        <is>
          <t>eBay API; vendedor techbargains2015 99.4%; 12th Gen Intel Core i5-12400F 2.50GHz 6-Core LGA 1700 Deskto</t>
        </is>
      </c>
      <c r="H493" s="6" t="inlineStr">
        <is>
          <t>ver</t>
        </is>
      </c>
    </row>
    <row r="494">
      <c r="A494" s="15" t="n">
        <v>46323</v>
      </c>
      <c r="B494" s="5" t="inlineStr">
        <is>
          <t>eBay</t>
        </is>
      </c>
      <c r="C494" s="5" t="inlineStr">
        <is>
          <t>Intel Core i5-13400</t>
        </is>
      </c>
      <c r="D494" s="5" t="inlineStr">
        <is>
          <t>usado</t>
        </is>
      </c>
      <c r="E494" s="11" t="n">
        <v>149.99</v>
      </c>
      <c r="F494" s="5" t="inlineStr">
        <is>
          <t>USD</t>
        </is>
      </c>
      <c r="G494" s="5" t="inlineStr">
        <is>
          <t>eBay API; vendedor komercos 98.7%; Intel Core i5-13400 / SRMBP CPU Processor - "A"</t>
        </is>
      </c>
      <c r="H494" s="6" t="inlineStr">
        <is>
          <t>ver</t>
        </is>
      </c>
    </row>
    <row r="495">
      <c r="A495" s="15" t="n">
        <v>46323</v>
      </c>
      <c r="B495" s="5" t="inlineStr">
        <is>
          <t>eBay</t>
        </is>
      </c>
      <c r="C495" s="5" t="inlineStr">
        <is>
          <t>Intel Core i5-14400F</t>
        </is>
      </c>
      <c r="D495" s="5" t="inlineStr">
        <is>
          <t>usado</t>
        </is>
      </c>
      <c r="E495" s="11" t="n">
        <v>129.99</v>
      </c>
      <c r="F495" s="5" t="inlineStr">
        <is>
          <t>USD</t>
        </is>
      </c>
      <c r="G495" s="5" t="inlineStr">
        <is>
          <t>eBay API; vendedor paymore_south_san_francisco 99.5%; Intel Core i5-14400F 2.50GHz 10 Core SRN3R 16 Thread LGA 170</t>
        </is>
      </c>
      <c r="H495" s="6" t="inlineStr">
        <is>
          <t>ver</t>
        </is>
      </c>
    </row>
    <row r="496">
      <c r="A496" s="15" t="n">
        <v>46323</v>
      </c>
      <c r="B496" s="5" t="inlineStr">
        <is>
          <t>eBay</t>
        </is>
      </c>
      <c r="C496" s="5" t="inlineStr">
        <is>
          <t>Corsair Vengeance RGB DDR5 32GB (2x16) 5600</t>
        </is>
      </c>
      <c r="D496" s="5" t="inlineStr">
        <is>
          <t>usado</t>
        </is>
      </c>
      <c r="E496" s="11" t="n">
        <v>399.99</v>
      </c>
      <c r="F496" s="5" t="inlineStr">
        <is>
          <t>USD</t>
        </is>
      </c>
      <c r="G496" s="5" t="inlineStr">
        <is>
          <t>eBay API; vendedor wazno 99.7%; Corsair Vengeance RGB 32GB 2x16GB DDR5 RAM 5600MHz CMH32GX5M</t>
        </is>
      </c>
      <c r="H496" s="6" t="inlineStr">
        <is>
          <t>ver</t>
        </is>
      </c>
    </row>
    <row r="497">
      <c r="A497" s="15" t="n">
        <v>46323</v>
      </c>
      <c r="B497" s="5" t="inlineStr">
        <is>
          <t>eBay</t>
        </is>
      </c>
      <c r="C497" s="5" t="inlineStr">
        <is>
          <t>Corsair Vengeance RGB DDR5 32GB (2x16) 6000</t>
        </is>
      </c>
      <c r="D497" s="5" t="inlineStr">
        <is>
          <t>usado</t>
        </is>
      </c>
      <c r="E497" s="11" t="n">
        <v>399.99</v>
      </c>
      <c r="F497" s="5" t="inlineStr">
        <is>
          <t>USD</t>
        </is>
      </c>
      <c r="G497" s="5" t="inlineStr">
        <is>
          <t>eBay API; vendedor paymore_mira_mesa 98.5%; Corsair Vengeance RGB 32GB (2x16GB) RAM DDR5 6000MHz CMH32GX</t>
        </is>
      </c>
      <c r="H497" s="6" t="inlineStr">
        <is>
          <t>ver</t>
        </is>
      </c>
    </row>
    <row r="498">
      <c r="A498" s="15" t="n">
        <v>46323</v>
      </c>
      <c r="B498" s="5" t="inlineStr">
        <is>
          <t>eBay</t>
        </is>
      </c>
      <c r="C498" s="5" t="inlineStr">
        <is>
          <t>RAM DDR4 16GB (2x8) 3200</t>
        </is>
      </c>
      <c r="D498" s="5" t="inlineStr">
        <is>
          <t>usado</t>
        </is>
      </c>
      <c r="E498" s="11" t="n">
        <v>59.99</v>
      </c>
      <c r="F498" s="5" t="inlineStr">
        <is>
          <t>USD</t>
        </is>
      </c>
      <c r="G498" s="5" t="inlineStr">
        <is>
          <t>eBay API; vendedor lowwvoltage 100.0%; MICRON 16GB (2x8GB) RAM DDR4 3200 Desktop DIMM RAM 1Rx16 PC4; envío no indicado</t>
        </is>
      </c>
      <c r="H498" s="6" t="inlineStr">
        <is>
          <t>ver</t>
        </is>
      </c>
    </row>
    <row r="499">
      <c r="A499" s="15" t="n">
        <v>46323</v>
      </c>
      <c r="B499" s="5" t="inlineStr">
        <is>
          <t>eBay</t>
        </is>
      </c>
      <c r="C499" s="5" t="inlineStr">
        <is>
          <t>SSD NVMe 1TB</t>
        </is>
      </c>
      <c r="D499" s="5" t="inlineStr">
        <is>
          <t>usado</t>
        </is>
      </c>
      <c r="E499" s="11" t="n">
        <v>85</v>
      </c>
      <c r="F499" s="5" t="inlineStr">
        <is>
          <t>USD</t>
        </is>
      </c>
      <c r="G499" s="5" t="inlineStr">
        <is>
          <t>eBay API; vendedor friendlyearth206 99.1%; Timetec MS10 1TB SSD NVMe PCIe Gen3x4 3D NAND SSD 35TTFP6PCI; envío no indicado</t>
        </is>
      </c>
      <c r="H499" s="6" t="inlineStr">
        <is>
          <t>ver</t>
        </is>
      </c>
    </row>
    <row r="500">
      <c r="A500" s="15" t="n">
        <v>46323</v>
      </c>
      <c r="B500" s="5" t="inlineStr">
        <is>
          <t>eBay</t>
        </is>
      </c>
      <c r="C500" s="5" t="inlineStr">
        <is>
          <t>SSD NVMe 2TB</t>
        </is>
      </c>
      <c r="D500" s="5" t="inlineStr">
        <is>
          <t>usado</t>
        </is>
      </c>
      <c r="E500" s="11" t="n">
        <v>179.99</v>
      </c>
      <c r="F500" s="5" t="inlineStr">
        <is>
          <t>USD</t>
        </is>
      </c>
      <c r="G500" s="5" t="inlineStr">
        <is>
          <t>eBay API; vendedor wazno 99.7%; Western Digital SN530 2TB SSD PCIe Gen4 NVMe 2280 SSD SDBPNP</t>
        </is>
      </c>
      <c r="H500" s="6" t="inlineStr">
        <is>
          <t>ver</t>
        </is>
      </c>
    </row>
    <row r="501">
      <c r="A501" s="15" t="n">
        <v>46323</v>
      </c>
      <c r="B501" s="5" t="inlineStr">
        <is>
          <t>eBay</t>
        </is>
      </c>
      <c r="C501" s="5" t="inlineStr">
        <is>
          <t>Ryzen 7 7700X</t>
        </is>
      </c>
      <c r="D501" s="5" t="inlineStr">
        <is>
          <t>usado</t>
        </is>
      </c>
      <c r="E501" s="11" t="n">
        <v>189.99</v>
      </c>
      <c r="F501" s="5" t="inlineStr">
        <is>
          <t>USD</t>
        </is>
      </c>
      <c r="G501" s="5" t="inlineStr">
        <is>
          <t>eBay API; vendedor g-electronic 99.7%; AMD Ryzen 7 7700X Desktop Processor 8-Core, 16-Thread 4.5GHz</t>
        </is>
      </c>
      <c r="H501" s="6" t="inlineStr">
        <is>
          <t>ver</t>
        </is>
      </c>
    </row>
    <row r="502">
      <c r="A502" s="15" t="n">
        <v>46323</v>
      </c>
      <c r="B502" s="5" t="inlineStr">
        <is>
          <t>eBay</t>
        </is>
      </c>
      <c r="C502" s="5" t="inlineStr">
        <is>
          <t>Ryzen 5 7500F</t>
        </is>
      </c>
      <c r="D502" s="5" t="inlineStr">
        <is>
          <t>usado</t>
        </is>
      </c>
      <c r="E502" s="11" t="n">
        <v>129.99</v>
      </c>
      <c r="F502" s="5" t="inlineStr">
        <is>
          <t>USD</t>
        </is>
      </c>
      <c r="G502" s="5" t="inlineStr">
        <is>
          <t>eBay API; vendedor jorgejhj 100.0%; AMD Ryzen 5 7500F Ryzen 5 6-Core 3.7GHz Socket AM5; envío no indicado</t>
        </is>
      </c>
      <c r="H502" s="6" t="inlineStr">
        <is>
          <t>ver</t>
        </is>
      </c>
    </row>
    <row r="503">
      <c r="A503" s="15" t="n">
        <v>46324</v>
      </c>
      <c r="B503" s="5" t="inlineStr">
        <is>
          <t>eBay</t>
        </is>
      </c>
      <c r="C503" s="5" t="inlineStr">
        <is>
          <t>Ryzen 5 5600</t>
        </is>
      </c>
      <c r="D503" s="5" t="inlineStr">
        <is>
          <t>nuevo</t>
        </is>
      </c>
      <c r="E503" s="11" t="n">
        <v>138.9</v>
      </c>
      <c r="F503" s="5" t="inlineStr">
        <is>
          <t>USD</t>
        </is>
      </c>
      <c r="G503" s="5" t="inlineStr">
        <is>
          <t>eBay API; vendedor 3c_wholesaler 99.5%; (New) AMD Ryzen 5 5600 Vermeer Zen3 6-Core 12-Thread AM4 CPU</t>
        </is>
      </c>
      <c r="H503" s="6" t="inlineStr">
        <is>
          <t>ver</t>
        </is>
      </c>
    </row>
    <row r="504">
      <c r="A504" s="15" t="n">
        <v>46324</v>
      </c>
      <c r="B504" s="5" t="inlineStr">
        <is>
          <t>eBay</t>
        </is>
      </c>
      <c r="C504" s="5" t="inlineStr">
        <is>
          <t>Ryzen 5 7600</t>
        </is>
      </c>
      <c r="D504" s="5" t="inlineStr">
        <is>
          <t>nuevo</t>
        </is>
      </c>
      <c r="E504" s="11" t="n">
        <v>199.99</v>
      </c>
      <c r="F504" s="5" t="inlineStr">
        <is>
          <t>USD</t>
        </is>
      </c>
      <c r="G504" s="5" t="inlineStr">
        <is>
          <t xml:space="preserve">eBay API; vendedor collect_n_tech 99.3%; AMD Ryzen 5 7600 AMD Ryzen™ 7000 Series Processor Heat Sink </t>
        </is>
      </c>
      <c r="H504" s="6" t="inlineStr">
        <is>
          <t>ver</t>
        </is>
      </c>
    </row>
    <row r="505">
      <c r="A505" s="15" t="n">
        <v>46324</v>
      </c>
      <c r="B505" s="5" t="inlineStr">
        <is>
          <t>eBay</t>
        </is>
      </c>
      <c r="C505" s="5" t="inlineStr">
        <is>
          <t>Ryzen 7 7800X3D</t>
        </is>
      </c>
      <c r="D505" s="5" t="inlineStr">
        <is>
          <t>nuevo</t>
        </is>
      </c>
      <c r="E505" s="11" t="n">
        <v>325</v>
      </c>
      <c r="F505" s="5" t="inlineStr">
        <is>
          <t>USD</t>
        </is>
      </c>
      <c r="G505" s="5" t="inlineStr">
        <is>
          <t>eBay API; vendedor thegoodzvault 99.2%; AMD Ryzen 7 7800X3D 8-Core 5.0GHz Turbo 4.2GHz Base Desktop ; envío no indicado</t>
        </is>
      </c>
      <c r="H505" s="6" t="inlineStr">
        <is>
          <t>ver</t>
        </is>
      </c>
    </row>
    <row r="506">
      <c r="A506" s="15" t="n">
        <v>46324</v>
      </c>
      <c r="B506" s="5" t="inlineStr">
        <is>
          <t>eBay</t>
        </is>
      </c>
      <c r="C506" s="5" t="inlineStr">
        <is>
          <t>Ryzen 9 9950X</t>
        </is>
      </c>
      <c r="D506" s="5" t="inlineStr">
        <is>
          <t>nuevo</t>
        </is>
      </c>
      <c r="E506" s="11" t="n">
        <v>549.99</v>
      </c>
      <c r="F506" s="5" t="inlineStr">
        <is>
          <t>USD</t>
        </is>
      </c>
      <c r="G506" s="5" t="inlineStr">
        <is>
          <t>eBay API; vendedor newegg 99.6%; AMD Ryzen 9 9950X - Ryzen 9 9000 Series Granite Ridge (Zen 5</t>
        </is>
      </c>
      <c r="H506" s="6" t="inlineStr">
        <is>
          <t>ver</t>
        </is>
      </c>
    </row>
    <row r="507">
      <c r="A507" s="15" t="n">
        <v>46324</v>
      </c>
      <c r="B507" s="5" t="inlineStr">
        <is>
          <t>eBay</t>
        </is>
      </c>
      <c r="C507" s="5" t="inlineStr">
        <is>
          <t>Intel Core i5-12400F</t>
        </is>
      </c>
      <c r="D507" s="5" t="inlineStr">
        <is>
          <t>nuevo</t>
        </is>
      </c>
      <c r="E507" s="11" t="n">
        <v>140</v>
      </c>
      <c r="F507" s="5" t="inlineStr">
        <is>
          <t>USD</t>
        </is>
      </c>
      <c r="G507" s="5" t="inlineStr">
        <is>
          <t>eBay API; vendedor picturesofheaven 99.8%; NEW - INTEL CPU Core i5-12400F / 6/12 / 2.5GHz / BX807151240</t>
        </is>
      </c>
      <c r="H507" s="6" t="inlineStr">
        <is>
          <t>ver</t>
        </is>
      </c>
    </row>
    <row r="508">
      <c r="A508" s="15" t="n">
        <v>46324</v>
      </c>
      <c r="B508" s="5" t="inlineStr">
        <is>
          <t>eBay</t>
        </is>
      </c>
      <c r="C508" s="5" t="inlineStr">
        <is>
          <t>Intel Core i5-14400F</t>
        </is>
      </c>
      <c r="D508" s="5" t="inlineStr">
        <is>
          <t>nuevo</t>
        </is>
      </c>
      <c r="E508" s="11" t="n">
        <v>164.49</v>
      </c>
      <c r="F508" s="5" t="inlineStr">
        <is>
          <t>USD</t>
        </is>
      </c>
      <c r="G508" s="5" t="inlineStr">
        <is>
          <t xml:space="preserve">eBay API; vendedor newegg 99.6%; Intel Core i5-14400F - Core i5 14th Gen Raptor Lake 10-Core </t>
        </is>
      </c>
      <c r="H508" s="6" t="inlineStr">
        <is>
          <t>ver</t>
        </is>
      </c>
    </row>
    <row r="509">
      <c r="A509" s="15" t="n">
        <v>46324</v>
      </c>
      <c r="B509" s="5" t="inlineStr">
        <is>
          <t>eBay</t>
        </is>
      </c>
      <c r="C509" s="5" t="inlineStr">
        <is>
          <t>Intel Core Ultra 7 265K</t>
        </is>
      </c>
      <c r="D509" s="5" t="inlineStr">
        <is>
          <t>nuevo</t>
        </is>
      </c>
      <c r="E509" s="11" t="n">
        <v>259.99</v>
      </c>
      <c r="F509" s="5" t="inlineStr">
        <is>
          <t>USD</t>
        </is>
      </c>
      <c r="G509" s="5" t="inlineStr">
        <is>
          <t>eBay API; vendedor luis11389 99.1%; Intel Core Ultra 7 265K 20-Core LGA 1851 Unlocked CPU BX8076; envío no indicado</t>
        </is>
      </c>
      <c r="H509" s="6" t="inlineStr">
        <is>
          <t>ver</t>
        </is>
      </c>
    </row>
    <row r="510">
      <c r="A510" s="15" t="n">
        <v>46324</v>
      </c>
      <c r="B510" s="5" t="inlineStr">
        <is>
          <t>eBay</t>
        </is>
      </c>
      <c r="C510" s="5" t="inlineStr">
        <is>
          <t>Corsair Vengeance RGB DDR5 32GB (2x16) 5600</t>
        </is>
      </c>
      <c r="D510" s="5" t="inlineStr">
        <is>
          <t>nuevo</t>
        </is>
      </c>
      <c r="E510" s="11" t="n">
        <v>459</v>
      </c>
      <c r="F510" s="5" t="inlineStr">
        <is>
          <t>USD</t>
        </is>
      </c>
      <c r="G510" s="5" t="inlineStr">
        <is>
          <t>eBay API; vendedor 2012roms 100.0%; Corsair Vengeance 32GB (2x16GB) DDR5 5600MHz CL36 Desktop RA; envío no indicado</t>
        </is>
      </c>
      <c r="H510" s="6" t="inlineStr">
        <is>
          <t>ver</t>
        </is>
      </c>
    </row>
    <row r="511">
      <c r="A511" s="15" t="n">
        <v>46324</v>
      </c>
      <c r="B511" s="5" t="inlineStr">
        <is>
          <t>eBay</t>
        </is>
      </c>
      <c r="C511" s="5" t="inlineStr">
        <is>
          <t>Corsair Vengeance RGB DDR5 32GB (2x16) 6000</t>
        </is>
      </c>
      <c r="D511" s="5" t="inlineStr">
        <is>
          <t>nuevo</t>
        </is>
      </c>
      <c r="E511" s="11" t="n">
        <v>450</v>
      </c>
      <c r="F511" s="5" t="inlineStr">
        <is>
          <t>USD</t>
        </is>
      </c>
      <c r="G511" s="5" t="inlineStr">
        <is>
          <t>eBay API; vendedor andreschneidernyc 100.0%; Corsair Vengeance RGB 32GB (2x16GB) DDR5-6000 DIMM AMD EXPO ; envío no indicado</t>
        </is>
      </c>
      <c r="H511" s="6" t="inlineStr">
        <is>
          <t>ver</t>
        </is>
      </c>
    </row>
    <row r="512">
      <c r="A512" s="15" t="n">
        <v>46324</v>
      </c>
      <c r="B512" s="5" t="inlineStr">
        <is>
          <t>eBay</t>
        </is>
      </c>
      <c r="C512" s="5" t="inlineStr">
        <is>
          <t>RAM DDR4 16GB (2x8) 3200</t>
        </is>
      </c>
      <c r="D512" s="5" t="inlineStr">
        <is>
          <t>nuevo</t>
        </is>
      </c>
      <c r="E512" s="11" t="n">
        <v>89.98999999999999</v>
      </c>
      <c r="F512" s="5" t="inlineStr">
        <is>
          <t>USD</t>
        </is>
      </c>
      <c r="G512" s="5" t="inlineStr">
        <is>
          <t xml:space="preserve">eBay API; vendedor wheat_farmer_99 99.8%; Crucial Ballistix 3200 DDR4 16GB (2 x 8GB) DRAM RGB Desktop </t>
        </is>
      </c>
      <c r="H512" s="6" t="inlineStr">
        <is>
          <t>ver</t>
        </is>
      </c>
    </row>
    <row r="513">
      <c r="A513" s="15" t="n">
        <v>46324</v>
      </c>
      <c r="B513" s="5" t="inlineStr">
        <is>
          <t>eBay</t>
        </is>
      </c>
      <c r="C513" s="5" t="inlineStr">
        <is>
          <t>SSD NVMe 1TB</t>
        </is>
      </c>
      <c r="D513" s="5" t="inlineStr">
        <is>
          <t>nuevo</t>
        </is>
      </c>
      <c r="E513" s="11" t="n">
        <v>135</v>
      </c>
      <c r="F513" s="5" t="inlineStr">
        <is>
          <t>USD</t>
        </is>
      </c>
      <c r="G513" s="5" t="inlineStr">
        <is>
          <t xml:space="preserve">eBay API; vendedor konronus 99.7%; Kingston 1TB NVMe M.2 2280 SSD PCIe Gen4 x4 OM8PGP41024Q-AA </t>
        </is>
      </c>
      <c r="H513" s="6" t="inlineStr">
        <is>
          <t>ver</t>
        </is>
      </c>
    </row>
    <row r="514">
      <c r="A514" s="15" t="n">
        <v>46324</v>
      </c>
      <c r="B514" s="5" t="inlineStr">
        <is>
          <t>eBay</t>
        </is>
      </c>
      <c r="C514" s="5" t="inlineStr">
        <is>
          <t>SSD NVMe 2TB</t>
        </is>
      </c>
      <c r="D514" s="5" t="inlineStr">
        <is>
          <t>nuevo</t>
        </is>
      </c>
      <c r="E514" s="11" t="n">
        <v>209.99</v>
      </c>
      <c r="F514" s="5" t="inlineStr">
        <is>
          <t>USD</t>
        </is>
      </c>
      <c r="G514" s="5" t="inlineStr">
        <is>
          <t>eBay API; vendedor ram_technologies 100.0%; RAM Tech 2TB NVMe SSD Gen4 M.2 2280 | 5000MB/s Read 4500MB/s</t>
        </is>
      </c>
      <c r="H514" s="6" t="inlineStr">
        <is>
          <t>ver</t>
        </is>
      </c>
    </row>
    <row r="515">
      <c r="A515" s="15" t="n">
        <v>46324</v>
      </c>
      <c r="B515" s="5" t="inlineStr">
        <is>
          <t>eBay</t>
        </is>
      </c>
      <c r="C515" s="5" t="inlineStr">
        <is>
          <t>Ryzen 7 7700X</t>
        </is>
      </c>
      <c r="D515" s="5" t="inlineStr">
        <is>
          <t>nuevo</t>
        </is>
      </c>
      <c r="E515" s="11" t="n">
        <v>219</v>
      </c>
      <c r="F515" s="5" t="inlineStr">
        <is>
          <t>USD</t>
        </is>
      </c>
      <c r="G515" s="5" t="inlineStr">
        <is>
          <t>eBay API; vendedor greatdaytreasures 100.0%; AMD Ryzen 7 7700X CPU Processor - Brand New/Unopened</t>
        </is>
      </c>
      <c r="H515" s="6" t="inlineStr">
        <is>
          <t>ver</t>
        </is>
      </c>
    </row>
    <row r="516">
      <c r="A516" s="15" t="n">
        <v>46324</v>
      </c>
      <c r="B516" s="5" t="inlineStr">
        <is>
          <t>eBay</t>
        </is>
      </c>
      <c r="C516" s="5" t="inlineStr">
        <is>
          <t>Ryzen 5 7500F</t>
        </is>
      </c>
      <c r="D516" s="5" t="inlineStr">
        <is>
          <t>nuevo</t>
        </is>
      </c>
      <c r="E516" s="11" t="n">
        <v>135.6</v>
      </c>
      <c r="F516" s="5" t="inlineStr">
        <is>
          <t>USD</t>
        </is>
      </c>
      <c r="G516" s="5" t="inlineStr">
        <is>
          <t>eBay API; vendedor technological-trend 99.3%; AMD Ryzen 5 7500F - Ryzen 5 7000 Series Zen 4 6-Core 3.7 GHz</t>
        </is>
      </c>
      <c r="H516" s="6" t="inlineStr">
        <is>
          <t>ver</t>
        </is>
      </c>
    </row>
    <row r="517">
      <c r="A517" s="15" t="n">
        <v>46324</v>
      </c>
      <c r="B517" s="5" t="inlineStr">
        <is>
          <t>eBay</t>
        </is>
      </c>
      <c r="C517" s="5" t="inlineStr">
        <is>
          <t>Ryzen 5 5600</t>
        </is>
      </c>
      <c r="D517" s="5" t="inlineStr">
        <is>
          <t>usado</t>
        </is>
      </c>
      <c r="E517" s="11" t="n">
        <v>131.99</v>
      </c>
      <c r="F517" s="5" t="inlineStr">
        <is>
          <t>USD</t>
        </is>
      </c>
      <c r="G517" s="5" t="inlineStr">
        <is>
          <t>eBay API; vendedor damoses1 100.0%; AMD Ryzen 5 5600 6-Core 12-Thread Socket AM4 3.5GHz 4.4 Boos; envío no indicado</t>
        </is>
      </c>
      <c r="H517" s="6" t="inlineStr">
        <is>
          <t>ver</t>
        </is>
      </c>
    </row>
    <row r="518">
      <c r="A518" s="15" t="n">
        <v>46324</v>
      </c>
      <c r="B518" s="5" t="inlineStr">
        <is>
          <t>eBay</t>
        </is>
      </c>
      <c r="C518" s="5" t="inlineStr">
        <is>
          <t>Ryzen 7 5700X3D</t>
        </is>
      </c>
      <c r="D518" s="5" t="inlineStr">
        <is>
          <t>usado</t>
        </is>
      </c>
      <c r="E518" s="11" t="n">
        <v>336</v>
      </c>
      <c r="F518" s="5" t="inlineStr">
        <is>
          <t>USD</t>
        </is>
      </c>
      <c r="G518" s="5" t="inlineStr">
        <is>
          <t>eBay API; vendedor jariah_tomko 100.0%; AMD Ryzen 7 5700X3D 8-Core 16-Thread AM4 CPU | 96MB 3D V-Cac; envío no indicado</t>
        </is>
      </c>
      <c r="H518" s="6" t="inlineStr">
        <is>
          <t>ver</t>
        </is>
      </c>
    </row>
    <row r="519">
      <c r="A519" s="15" t="n">
        <v>46324</v>
      </c>
      <c r="B519" s="5" t="inlineStr">
        <is>
          <t>eBay</t>
        </is>
      </c>
      <c r="C519" s="5" t="inlineStr">
        <is>
          <t>Ryzen 5 7600</t>
        </is>
      </c>
      <c r="D519" s="5" t="inlineStr">
        <is>
          <t>usado</t>
        </is>
      </c>
      <c r="E519" s="11" t="n">
        <v>114.99</v>
      </c>
      <c r="F519" s="5" t="inlineStr">
        <is>
          <t>USD</t>
        </is>
      </c>
      <c r="G519" s="5" t="inlineStr">
        <is>
          <t>eBay API; vendedor paymore_south_rainbow 98.8%; AMD Ryzen 5 7600 3.80GHz 6 Core 100-000001015 12 Thread AM5</t>
        </is>
      </c>
      <c r="H519" s="6" t="inlineStr">
        <is>
          <t>ver</t>
        </is>
      </c>
    </row>
    <row r="520">
      <c r="A520" s="15" t="n">
        <v>46324</v>
      </c>
      <c r="B520" s="5" t="inlineStr">
        <is>
          <t>eBay</t>
        </is>
      </c>
      <c r="C520" s="5" t="inlineStr">
        <is>
          <t>Ryzen 7 7800X3D</t>
        </is>
      </c>
      <c r="D520" s="5" t="inlineStr">
        <is>
          <t>usado</t>
        </is>
      </c>
      <c r="E520" s="11" t="n">
        <v>265</v>
      </c>
      <c r="F520" s="5" t="inlineStr">
        <is>
          <t>USD</t>
        </is>
      </c>
      <c r="G520" s="5" t="inlineStr">
        <is>
          <t>eBay API; vendedor spcsisco 100.0%; AMD Ryzen 7 7800X3D 8-Core 4.2GHz CPU Socket AM5 7000 Series; envío no indicado</t>
        </is>
      </c>
      <c r="H520" s="6" t="inlineStr">
        <is>
          <t>ver</t>
        </is>
      </c>
    </row>
    <row r="521">
      <c r="A521" s="15" t="n">
        <v>46324</v>
      </c>
      <c r="B521" s="5" t="inlineStr">
        <is>
          <t>eBay</t>
        </is>
      </c>
      <c r="C521" s="5" t="inlineStr">
        <is>
          <t>Ryzen 9 9950X</t>
        </is>
      </c>
      <c r="D521" s="5" t="inlineStr">
        <is>
          <t>usado</t>
        </is>
      </c>
      <c r="E521" s="11" t="n">
        <v>454.99</v>
      </c>
      <c r="F521" s="5" t="inlineStr">
        <is>
          <t>USD</t>
        </is>
      </c>
      <c r="G521" s="5" t="inlineStr">
        <is>
          <t>eBay API; vendedor goodios_direct 99.6%; **  AMD Ryzen 9 9950X Processor - USED  **</t>
        </is>
      </c>
      <c r="H521" s="6" t="inlineStr">
        <is>
          <t>ver</t>
        </is>
      </c>
    </row>
    <row r="522">
      <c r="A522" s="15" t="n">
        <v>46324</v>
      </c>
      <c r="B522" s="5" t="inlineStr">
        <is>
          <t>eBay</t>
        </is>
      </c>
      <c r="C522" s="5" t="inlineStr">
        <is>
          <t>Intel Core i5-12400F</t>
        </is>
      </c>
      <c r="D522" s="5" t="inlineStr">
        <is>
          <t>usado</t>
        </is>
      </c>
      <c r="E522" s="11" t="n">
        <v>119.99</v>
      </c>
      <c r="F522" s="5" t="inlineStr">
        <is>
          <t>USD</t>
        </is>
      </c>
      <c r="G522" s="5" t="inlineStr">
        <is>
          <t>eBay API; vendedor paymore_fort_thomas 99.5%; Intel Core i5-12400F 2.50GHz 6 Core SRL5Z 12 Thread LGA 1700</t>
        </is>
      </c>
      <c r="H522" s="6" t="inlineStr">
        <is>
          <t>ver</t>
        </is>
      </c>
    </row>
    <row r="523">
      <c r="A523" s="15" t="n">
        <v>46324</v>
      </c>
      <c r="B523" s="5" t="inlineStr">
        <is>
          <t>eBay</t>
        </is>
      </c>
      <c r="C523" s="5" t="inlineStr">
        <is>
          <t>Intel Core i5-13400</t>
        </is>
      </c>
      <c r="D523" s="5" t="inlineStr">
        <is>
          <t>usado</t>
        </is>
      </c>
      <c r="E523" s="11" t="n">
        <v>129.99</v>
      </c>
      <c r="F523" s="5" t="inlineStr">
        <is>
          <t>USD</t>
        </is>
      </c>
      <c r="G523" s="5" t="inlineStr">
        <is>
          <t>eBay API; vendedor komercos 98.7%; Intel Core i5-13400 / SRMBP CPU Processor - "A"</t>
        </is>
      </c>
      <c r="H523" s="6" t="inlineStr">
        <is>
          <t>ver</t>
        </is>
      </c>
    </row>
    <row r="524">
      <c r="A524" s="15" t="n">
        <v>46324</v>
      </c>
      <c r="B524" s="5" t="inlineStr">
        <is>
          <t>eBay</t>
        </is>
      </c>
      <c r="C524" s="5" t="inlineStr">
        <is>
          <t>Intel Core i5-14400F</t>
        </is>
      </c>
      <c r="D524" s="5" t="inlineStr">
        <is>
          <t>usado</t>
        </is>
      </c>
      <c r="E524" s="11" t="n">
        <v>130</v>
      </c>
      <c r="F524" s="5" t="inlineStr">
        <is>
          <t>USD</t>
        </is>
      </c>
      <c r="G524" s="5" t="inlineStr">
        <is>
          <t>eBay API; vendedor 19jdmcrx91 100.0%; Intel Core I5-14400F Desktop Processor ; envío no indicado</t>
        </is>
      </c>
      <c r="H524" s="6" t="inlineStr">
        <is>
          <t>ver</t>
        </is>
      </c>
    </row>
    <row r="525">
      <c r="A525" s="15" t="n">
        <v>46324</v>
      </c>
      <c r="B525" s="5" t="inlineStr">
        <is>
          <t>eBay</t>
        </is>
      </c>
      <c r="C525" s="5" t="inlineStr">
        <is>
          <t>Intel Core Ultra 7 265K</t>
        </is>
      </c>
      <c r="D525" s="5" t="inlineStr">
        <is>
          <t>usado</t>
        </is>
      </c>
      <c r="E525" s="11" t="n">
        <v>249.99</v>
      </c>
      <c r="F525" s="5" t="inlineStr">
        <is>
          <t>USD</t>
        </is>
      </c>
      <c r="G525" s="5" t="inlineStr">
        <is>
          <t>eBay API; vendedor wazno 99.7%; Intel Core Ultra 7 Desktop Processor 265K - 20 cores (8 P-co</t>
        </is>
      </c>
      <c r="H525" s="6" t="inlineStr">
        <is>
          <t>ver</t>
        </is>
      </c>
    </row>
    <row r="526">
      <c r="A526" s="15" t="n">
        <v>46324</v>
      </c>
      <c r="B526" s="5" t="inlineStr">
        <is>
          <t>eBay</t>
        </is>
      </c>
      <c r="C526" s="5" t="inlineStr">
        <is>
          <t>Corsair Vengeance RGB DDR5 32GB (2x16) 5600</t>
        </is>
      </c>
      <c r="D526" s="5" t="inlineStr">
        <is>
          <t>usado</t>
        </is>
      </c>
      <c r="E526" s="11" t="n">
        <v>389.99</v>
      </c>
      <c r="F526" s="5" t="inlineStr">
        <is>
          <t>USD</t>
        </is>
      </c>
      <c r="G526" s="5" t="inlineStr">
        <is>
          <t>eBay API; vendedor wazno 99.7%; CORSAIR VENGEANCE DDR5 RAM 32GB 2x16GB 5600MHz CL36 Black CM</t>
        </is>
      </c>
      <c r="H526" s="6" t="inlineStr">
        <is>
          <t>ver</t>
        </is>
      </c>
    </row>
    <row r="527">
      <c r="A527" s="15" t="n">
        <v>46324</v>
      </c>
      <c r="B527" s="5" t="inlineStr">
        <is>
          <t>eBay</t>
        </is>
      </c>
      <c r="C527" s="5" t="inlineStr">
        <is>
          <t>Corsair Vengeance RGB DDR5 32GB (2x16) 6000</t>
        </is>
      </c>
      <c r="D527" s="5" t="inlineStr">
        <is>
          <t>usado</t>
        </is>
      </c>
      <c r="E527" s="11" t="n">
        <v>419.99</v>
      </c>
      <c r="F527" s="5" t="inlineStr">
        <is>
          <t>USD</t>
        </is>
      </c>
      <c r="G527" s="5" t="inlineStr">
        <is>
          <t>eBay API; vendedor wazno 99.7%; CORSAIR Vengeance RGB 32GB 2x16GB DDR5 RAM 6000MHz CMH32GX5M</t>
        </is>
      </c>
      <c r="H527" s="6" t="inlineStr">
        <is>
          <t>ver</t>
        </is>
      </c>
    </row>
    <row r="528">
      <c r="A528" s="15" t="n">
        <v>46324</v>
      </c>
      <c r="B528" s="5" t="inlineStr">
        <is>
          <t>eBay</t>
        </is>
      </c>
      <c r="C528" s="5" t="inlineStr">
        <is>
          <t>RAM DDR4 16GB (2x8) 3200</t>
        </is>
      </c>
      <c r="D528" s="5" t="inlineStr">
        <is>
          <t>usado</t>
        </is>
      </c>
      <c r="E528" s="11" t="n">
        <v>59.99</v>
      </c>
      <c r="F528" s="5" t="inlineStr">
        <is>
          <t>USD</t>
        </is>
      </c>
      <c r="G528" s="5" t="inlineStr">
        <is>
          <t>eBay API; vendedor lowwvoltage 100.0%; MICRON 16GB (2x8GB) RAM DDR4 3200 Desktop DIMM RAM 1Rx16 PC4; envío no indicado</t>
        </is>
      </c>
      <c r="H528" s="6" t="inlineStr">
        <is>
          <t>ver</t>
        </is>
      </c>
    </row>
    <row r="529">
      <c r="A529" s="15" t="n">
        <v>46324</v>
      </c>
      <c r="B529" s="5" t="inlineStr">
        <is>
          <t>eBay</t>
        </is>
      </c>
      <c r="C529" s="5" t="inlineStr">
        <is>
          <t>SSD NVMe 1TB</t>
        </is>
      </c>
      <c r="D529" s="5" t="inlineStr">
        <is>
          <t>usado</t>
        </is>
      </c>
      <c r="E529" s="11" t="n">
        <v>99</v>
      </c>
      <c r="F529" s="5" t="inlineStr">
        <is>
          <t>USD</t>
        </is>
      </c>
      <c r="G529" s="5" t="inlineStr">
        <is>
          <t>eBay API; vendedor jbbuying 98.9%; Crucial P1 1TB NVMe SSD M.2 Internal Solid State Drive (corregido: el primero era SATA)</t>
        </is>
      </c>
      <c r="H529" s="6" t="inlineStr">
        <is>
          <t>ver</t>
        </is>
      </c>
    </row>
    <row r="530">
      <c r="A530" s="15" t="n">
        <v>46324</v>
      </c>
      <c r="B530" s="5" t="inlineStr">
        <is>
          <t>eBay</t>
        </is>
      </c>
      <c r="C530" s="5" t="inlineStr">
        <is>
          <t>SSD NVMe 2TB</t>
        </is>
      </c>
      <c r="D530" s="5" t="inlineStr">
        <is>
          <t>usado</t>
        </is>
      </c>
      <c r="E530" s="11" t="n">
        <v>154.99</v>
      </c>
      <c r="F530" s="5" t="inlineStr">
        <is>
          <t>USD</t>
        </is>
      </c>
      <c r="G530" s="5" t="inlineStr">
        <is>
          <t>eBay API; vendedor nixs-surplus 100.0%; WD Black SN750 2TB NVMe PCIe3.0 M.2 2280 Internal SSD WDBRPG</t>
        </is>
      </c>
      <c r="H530" s="6" t="inlineStr">
        <is>
          <t>ver</t>
        </is>
      </c>
    </row>
    <row r="531">
      <c r="A531" s="15" t="n">
        <v>46324</v>
      </c>
      <c r="B531" s="5" t="inlineStr">
        <is>
          <t>eBay</t>
        </is>
      </c>
      <c r="C531" s="5" t="inlineStr">
        <is>
          <t>Ryzen 7 7700X</t>
        </is>
      </c>
      <c r="D531" s="5" t="inlineStr">
        <is>
          <t>usado</t>
        </is>
      </c>
      <c r="E531" s="11" t="n">
        <v>189.99</v>
      </c>
      <c r="F531" s="5" t="inlineStr">
        <is>
          <t>USD</t>
        </is>
      </c>
      <c r="G531" s="5" t="inlineStr">
        <is>
          <t>eBay API; vendedor g-electronic 99.7%; AMD Ryzen 7 7700X Desktop Processor 8-Core, 16-Thread 4.5GHz</t>
        </is>
      </c>
      <c r="H531" s="6" t="inlineStr">
        <is>
          <t>ver</t>
        </is>
      </c>
    </row>
    <row r="532">
      <c r="A532" s="15" t="n">
        <v>46324</v>
      </c>
      <c r="B532" s="5" t="inlineStr">
        <is>
          <t>eBay</t>
        </is>
      </c>
      <c r="C532" s="5" t="inlineStr">
        <is>
          <t>Ryzen 5 7500F</t>
        </is>
      </c>
      <c r="D532" s="5" t="inlineStr">
        <is>
          <t>usado</t>
        </is>
      </c>
      <c r="E532" s="11" t="n">
        <v>114.99</v>
      </c>
      <c r="F532" s="5" t="inlineStr">
        <is>
          <t>USD</t>
        </is>
      </c>
      <c r="G532" s="5" t="inlineStr">
        <is>
          <t>eBay API; vendedor jorgejhj 100.0%; AMD Ryzen 5 7500F Ryzen 5 6-Core 3.7GHz Socket AM5; envío no indicado</t>
        </is>
      </c>
      <c r="H532" s="6" t="inlineStr">
        <is>
          <t>ver</t>
        </is>
      </c>
    </row>
    <row r="533">
      <c r="A533" s="15" t="n">
        <v>46325</v>
      </c>
      <c r="B533" s="5" t="inlineStr">
        <is>
          <t>eBay</t>
        </is>
      </c>
      <c r="C533" s="5" t="inlineStr">
        <is>
          <t>Ryzen 5 5600</t>
        </is>
      </c>
      <c r="D533" s="5" t="inlineStr">
        <is>
          <t>nuevo</t>
        </is>
      </c>
      <c r="E533" s="11" t="n">
        <v>138.9</v>
      </c>
      <c r="F533" s="5" t="inlineStr">
        <is>
          <t>USD</t>
        </is>
      </c>
      <c r="G533" s="5" t="inlineStr">
        <is>
          <t>eBay API; vendedor 3c_wholesaler 99.5%; (New) AMD Ryzen 5 5600 Vermeer Zen3 6-Core 12-Thread AM4 CPU</t>
        </is>
      </c>
      <c r="H533" s="6" t="inlineStr">
        <is>
          <t>ver</t>
        </is>
      </c>
    </row>
    <row r="534">
      <c r="A534" s="15" t="n">
        <v>46325</v>
      </c>
      <c r="B534" s="5" t="inlineStr">
        <is>
          <t>eBay</t>
        </is>
      </c>
      <c r="C534" s="5" t="inlineStr">
        <is>
          <t>Ryzen 5 7600</t>
        </is>
      </c>
      <c r="D534" s="5" t="inlineStr">
        <is>
          <t>nuevo</t>
        </is>
      </c>
      <c r="E534" s="11" t="n">
        <v>199.99</v>
      </c>
      <c r="F534" s="5" t="inlineStr">
        <is>
          <t>USD</t>
        </is>
      </c>
      <c r="G534" s="5" t="inlineStr">
        <is>
          <t xml:space="preserve">eBay API; vendedor collect_n_tech 99.3%; AMD Ryzen 5 7600 AMD Ryzen™ 7000 Series Processor Heat Sink </t>
        </is>
      </c>
      <c r="H534" s="6" t="inlineStr">
        <is>
          <t>ver</t>
        </is>
      </c>
    </row>
    <row r="535">
      <c r="A535" s="15" t="n">
        <v>46325</v>
      </c>
      <c r="B535" s="5" t="inlineStr">
        <is>
          <t>eBay</t>
        </is>
      </c>
      <c r="C535" s="5" t="inlineStr">
        <is>
          <t>Ryzen 7 7800X3D</t>
        </is>
      </c>
      <c r="D535" s="5" t="inlineStr">
        <is>
          <t>nuevo</t>
        </is>
      </c>
      <c r="E535" s="11" t="n">
        <v>329</v>
      </c>
      <c r="F535" s="5" t="inlineStr">
        <is>
          <t>USD</t>
        </is>
      </c>
      <c r="G535" s="5" t="inlineStr">
        <is>
          <t>eBay API; vendedor aaawavecom 99.8%; AMD Ryzen 7 7800X3D Processor Zen 4 8-Core 4.2GHz AM5 CPU (N</t>
        </is>
      </c>
      <c r="H535" s="6" t="inlineStr">
        <is>
          <t>ver</t>
        </is>
      </c>
    </row>
    <row r="536">
      <c r="A536" s="15" t="n">
        <v>46325</v>
      </c>
      <c r="B536" s="5" t="inlineStr">
        <is>
          <t>eBay</t>
        </is>
      </c>
      <c r="C536" s="5" t="inlineStr">
        <is>
          <t>Ryzen 9 9950X</t>
        </is>
      </c>
      <c r="D536" s="5" t="inlineStr">
        <is>
          <t>nuevo</t>
        </is>
      </c>
      <c r="E536" s="11" t="n">
        <v>549.99</v>
      </c>
      <c r="F536" s="5" t="inlineStr">
        <is>
          <t>USD</t>
        </is>
      </c>
      <c r="G536" s="5" t="inlineStr">
        <is>
          <t>eBay API; vendedor newegg 99.6%; AMD Ryzen 9 9950X - Ryzen 9 9000 Series Granite Ridge (Zen 5</t>
        </is>
      </c>
      <c r="H536" s="6" t="inlineStr">
        <is>
          <t>ver</t>
        </is>
      </c>
    </row>
    <row r="537">
      <c r="A537" s="15" t="n">
        <v>46325</v>
      </c>
      <c r="B537" s="5" t="inlineStr">
        <is>
          <t>eBay</t>
        </is>
      </c>
      <c r="C537" s="5" t="inlineStr">
        <is>
          <t>Intel Core i5-12400F</t>
        </is>
      </c>
      <c r="D537" s="5" t="inlineStr">
        <is>
          <t>nuevo</t>
        </is>
      </c>
      <c r="E537" s="11" t="n">
        <v>140</v>
      </c>
      <c r="F537" s="5" t="inlineStr">
        <is>
          <t>USD</t>
        </is>
      </c>
      <c r="G537" s="5" t="inlineStr">
        <is>
          <t>eBay API; vendedor picturesofheaven 99.8%; NEW - INTEL CPU Core i5-12400F / 6/12 / 2.5GHz / BX807151240</t>
        </is>
      </c>
      <c r="H537" s="6" t="inlineStr">
        <is>
          <t>ver</t>
        </is>
      </c>
    </row>
    <row r="538">
      <c r="A538" s="15" t="n">
        <v>46325</v>
      </c>
      <c r="B538" s="5" t="inlineStr">
        <is>
          <t>eBay</t>
        </is>
      </c>
      <c r="C538" s="5" t="inlineStr">
        <is>
          <t>Intel Core i5-14400F</t>
        </is>
      </c>
      <c r="D538" s="5" t="inlineStr">
        <is>
          <t>nuevo</t>
        </is>
      </c>
      <c r="E538" s="11" t="n">
        <v>164.49</v>
      </c>
      <c r="F538" s="5" t="inlineStr">
        <is>
          <t>USD</t>
        </is>
      </c>
      <c r="G538" s="5" t="inlineStr">
        <is>
          <t xml:space="preserve">eBay API; vendedor newegg 99.6%; Intel Core i5-14400F - Core i5 14th Gen Raptor Lake 10-Core </t>
        </is>
      </c>
      <c r="H538" s="6" t="inlineStr">
        <is>
          <t>ver</t>
        </is>
      </c>
    </row>
    <row r="539">
      <c r="A539" s="15" t="n">
        <v>46325</v>
      </c>
      <c r="B539" s="5" t="inlineStr">
        <is>
          <t>eBay</t>
        </is>
      </c>
      <c r="C539" s="5" t="inlineStr">
        <is>
          <t>Intel Core Ultra 7 265K</t>
        </is>
      </c>
      <c r="D539" s="5" t="inlineStr">
        <is>
          <t>nuevo</t>
        </is>
      </c>
      <c r="E539" s="11" t="n">
        <v>248</v>
      </c>
      <c r="F539" s="5" t="inlineStr">
        <is>
          <t>USD</t>
        </is>
      </c>
      <c r="G539" s="5" t="inlineStr">
        <is>
          <t>eBay API; vendedor seriousgoose1 99.0%; New Intel Core Ultra 7 265K LGA 1851 CPU Sealed Unlocked Ser</t>
        </is>
      </c>
      <c r="H539" s="6" t="inlineStr">
        <is>
          <t>ver</t>
        </is>
      </c>
    </row>
    <row r="540">
      <c r="A540" s="15" t="n">
        <v>46325</v>
      </c>
      <c r="B540" s="5" t="inlineStr">
        <is>
          <t>eBay</t>
        </is>
      </c>
      <c r="C540" s="5" t="inlineStr">
        <is>
          <t>Corsair Vengeance RGB DDR5 32GB (2x16) 5600</t>
        </is>
      </c>
      <c r="D540" s="5" t="inlineStr">
        <is>
          <t>nuevo</t>
        </is>
      </c>
      <c r="E540" s="11" t="n">
        <v>459</v>
      </c>
      <c r="F540" s="5" t="inlineStr">
        <is>
          <t>USD</t>
        </is>
      </c>
      <c r="G540" s="5" t="inlineStr">
        <is>
          <t>eBay API; vendedor 2012roms 100.0%; Corsair Vengeance 32GB (2x16GB) DDR5 5600MHz CL36 Desktop RA; envío no indicado</t>
        </is>
      </c>
      <c r="H540" s="6" t="inlineStr">
        <is>
          <t>ver</t>
        </is>
      </c>
    </row>
    <row r="541">
      <c r="A541" s="15" t="n">
        <v>46325</v>
      </c>
      <c r="B541" s="5" t="inlineStr">
        <is>
          <t>eBay</t>
        </is>
      </c>
      <c r="C541" s="5" t="inlineStr">
        <is>
          <t>Corsair Vengeance RGB DDR5 32GB (2x16) 6000</t>
        </is>
      </c>
      <c r="D541" s="5" t="inlineStr">
        <is>
          <t>nuevo</t>
        </is>
      </c>
      <c r="E541" s="11" t="n">
        <v>450</v>
      </c>
      <c r="F541" s="5" t="inlineStr">
        <is>
          <t>USD</t>
        </is>
      </c>
      <c r="G541" s="5" t="inlineStr">
        <is>
          <t>eBay API; vendedor andreschneidernyc 100.0%; Corsair Vengeance RGB 32GB (2x16GB) DDR5-6000 DIMM AMD EXPO ; envío no indicado</t>
        </is>
      </c>
      <c r="H541" s="6" t="inlineStr">
        <is>
          <t>ver</t>
        </is>
      </c>
    </row>
    <row r="542">
      <c r="A542" s="15" t="n">
        <v>46325</v>
      </c>
      <c r="B542" s="5" t="inlineStr">
        <is>
          <t>eBay</t>
        </is>
      </c>
      <c r="C542" s="5" t="inlineStr">
        <is>
          <t>RAM DDR4 16GB (2x8) 3200</t>
        </is>
      </c>
      <c r="D542" s="5" t="inlineStr">
        <is>
          <t>nuevo</t>
        </is>
      </c>
      <c r="E542" s="11" t="n">
        <v>75</v>
      </c>
      <c r="F542" s="5" t="inlineStr">
        <is>
          <t>USD</t>
        </is>
      </c>
      <c r="G542" s="5" t="inlineStr">
        <is>
          <t>eBay API; vendedor ultramicrofiber 100.0%; OLOY - 16GB (2 x 8GB) 288-Pin SDRAM DDR4 3200 (PC4 25600) De</t>
        </is>
      </c>
      <c r="H542" s="6" t="inlineStr">
        <is>
          <t>ver</t>
        </is>
      </c>
    </row>
    <row r="543">
      <c r="A543" s="15" t="n">
        <v>46325</v>
      </c>
      <c r="B543" s="5" t="inlineStr">
        <is>
          <t>eBay</t>
        </is>
      </c>
      <c r="C543" s="5" t="inlineStr">
        <is>
          <t>SSD NVMe 1TB</t>
        </is>
      </c>
      <c r="D543" s="5" t="inlineStr">
        <is>
          <t>nuevo</t>
        </is>
      </c>
      <c r="E543" s="11" t="n">
        <v>119.99</v>
      </c>
      <c r="F543" s="5" t="inlineStr">
        <is>
          <t>USD</t>
        </is>
      </c>
      <c r="G543" s="5" t="inlineStr">
        <is>
          <t xml:space="preserve">eBay API; vendedor netac-official-store 99.9%; Netac 1TB Internal SSD 2.5'' SATAIII M.2 NVMe PCIe3.0 Solid </t>
        </is>
      </c>
      <c r="H543" s="6" t="inlineStr">
        <is>
          <t>ver</t>
        </is>
      </c>
    </row>
    <row r="544">
      <c r="A544" s="15" t="n">
        <v>46325</v>
      </c>
      <c r="B544" s="5" t="inlineStr">
        <is>
          <t>eBay</t>
        </is>
      </c>
      <c r="C544" s="5" t="inlineStr">
        <is>
          <t>SSD NVMe 2TB</t>
        </is>
      </c>
      <c r="D544" s="5" t="inlineStr">
        <is>
          <t>nuevo</t>
        </is>
      </c>
      <c r="E544" s="11" t="n">
        <v>185</v>
      </c>
      <c r="F544" s="5" t="inlineStr">
        <is>
          <t>USD</t>
        </is>
      </c>
      <c r="G544" s="5" t="inlineStr">
        <is>
          <t>eBay API; vendedor honestdeals 99.4%; 2TB Leven 2280mm Lares 2TB M.2 NVMe Gen 3.0 SSD JPS600-2TB T</t>
        </is>
      </c>
      <c r="H544" s="6" t="inlineStr">
        <is>
          <t>ver</t>
        </is>
      </c>
    </row>
    <row r="545">
      <c r="A545" s="15" t="n">
        <v>46325</v>
      </c>
      <c r="B545" s="5" t="inlineStr">
        <is>
          <t>eBay</t>
        </is>
      </c>
      <c r="C545" s="5" t="inlineStr">
        <is>
          <t>Ryzen 7 7700X</t>
        </is>
      </c>
      <c r="D545" s="5" t="inlineStr">
        <is>
          <t>nuevo</t>
        </is>
      </c>
      <c r="E545" s="11" t="n">
        <v>219</v>
      </c>
      <c r="F545" s="5" t="inlineStr">
        <is>
          <t>USD</t>
        </is>
      </c>
      <c r="G545" s="5" t="inlineStr">
        <is>
          <t>eBay API; vendedor greatdaytreasures 100.0%; AMD Ryzen 7 7700X CPU Processor - Brand New/Unopened</t>
        </is>
      </c>
      <c r="H545" s="6" t="inlineStr">
        <is>
          <t>ver</t>
        </is>
      </c>
    </row>
    <row r="546">
      <c r="A546" s="15" t="n">
        <v>46325</v>
      </c>
      <c r="B546" s="5" t="inlineStr">
        <is>
          <t>eBay</t>
        </is>
      </c>
      <c r="C546" s="5" t="inlineStr">
        <is>
          <t>Ryzen 5 7500F</t>
        </is>
      </c>
      <c r="D546" s="5" t="inlineStr">
        <is>
          <t>nuevo</t>
        </is>
      </c>
      <c r="E546" s="11" t="n">
        <v>135.6</v>
      </c>
      <c r="F546" s="5" t="inlineStr">
        <is>
          <t>USD</t>
        </is>
      </c>
      <c r="G546" s="5" t="inlineStr">
        <is>
          <t>eBay API; vendedor technological-trend 99.3%; AMD Ryzen 5 7500F - Ryzen 5 7000 Series Zen 4 6-Core 3.7 GHz</t>
        </is>
      </c>
      <c r="H546" s="6" t="inlineStr">
        <is>
          <t>ver</t>
        </is>
      </c>
    </row>
    <row r="547">
      <c r="A547" s="15" t="n">
        <v>46306</v>
      </c>
      <c r="B547" s="5" t="inlineStr">
        <is>
          <t>Tienda</t>
        </is>
      </c>
      <c r="C547" s="5" t="inlineStr">
        <is>
          <t>Ryzen 9 9950X</t>
        </is>
      </c>
      <c r="D547" s="5" t="inlineStr">
        <is>
          <t>MSR Computers (web; fecha de actualización desconocida)</t>
        </is>
      </c>
      <c r="E547" s="11" t="n">
        <v>5580</v>
      </c>
      <c r="F547" s="5" t="inlineStr">
        <is>
          <t>Bs</t>
        </is>
      </c>
      <c r="G547" s="5" t="inlineStr">
        <is>
          <t>nuevo</t>
        </is>
      </c>
      <c r="H547" s="6" t="inlineStr">
        <is>
          <t>ver</t>
        </is>
      </c>
    </row>
    <row r="548">
      <c r="A548" s="15" t="n">
        <v>46306</v>
      </c>
      <c r="B548" s="5" t="inlineStr">
        <is>
          <t>Tienda</t>
        </is>
      </c>
      <c r="C548" s="5" t="inlineStr">
        <is>
          <t>Intel Core i5-13400</t>
        </is>
      </c>
      <c r="D548" s="5" t="inlineStr">
        <is>
          <t>MSR Computers (web; fecha de actualización desconocida)</t>
        </is>
      </c>
      <c r="E548" s="11" t="n">
        <v>2300</v>
      </c>
      <c r="F548" s="5" t="inlineStr">
        <is>
          <t>Bs</t>
        </is>
      </c>
      <c r="G548" s="5" t="inlineStr">
        <is>
          <t>nuevo</t>
        </is>
      </c>
      <c r="H548" s="6" t="inlineStr">
        <is>
          <t>ver</t>
        </is>
      </c>
    </row>
    <row r="549">
      <c r="A549" s="15" t="n">
        <v>46306</v>
      </c>
      <c r="B549" s="5" t="inlineStr">
        <is>
          <t>Tienda</t>
        </is>
      </c>
      <c r="C549" s="5" t="inlineStr">
        <is>
          <t>Intel Core Ultra 7 265K</t>
        </is>
      </c>
      <c r="D549" s="5" t="inlineStr">
        <is>
          <t>MSR Computers (web; fecha de actualización desconocida)</t>
        </is>
      </c>
      <c r="E549" s="11" t="n">
        <v>3950</v>
      </c>
      <c r="F549" s="5" t="inlineStr">
        <is>
          <t>Bs</t>
        </is>
      </c>
      <c r="G549" s="5" t="inlineStr">
        <is>
          <t>nuevo</t>
        </is>
      </c>
      <c r="H549" s="6" t="inlineStr">
        <is>
          <t>ver</t>
        </is>
      </c>
    </row>
    <row r="550">
      <c r="A550" s="15" t="n">
        <v>46306</v>
      </c>
      <c r="B550" s="5" t="inlineStr">
        <is>
          <t>Marketplace</t>
        </is>
      </c>
      <c r="C550" s="5" t="inlineStr">
        <is>
          <t>Ryzen 7 7800X3D</t>
        </is>
      </c>
      <c r="D550" s="5" t="inlineStr">
        <is>
          <t>Marketplace Cochabamba (particular/vendedor)</t>
        </is>
      </c>
      <c r="E550" s="11" t="n">
        <v>4800</v>
      </c>
      <c r="F550" s="5" t="inlineStr">
        <is>
          <t>Bs</t>
        </is>
      </c>
      <c r="G550" s="5" t="inlineStr">
        <is>
          <t>nuevo sellado (según anuncio)</t>
        </is>
      </c>
      <c r="H550" s="6" t="inlineStr">
        <is>
          <t>ver</t>
        </is>
      </c>
    </row>
    <row r="551">
      <c r="A551" s="15" t="n">
        <v>46306</v>
      </c>
      <c r="B551" s="5" t="inlineStr">
        <is>
          <t>Marketplace</t>
        </is>
      </c>
      <c r="C551" s="5" t="inlineStr">
        <is>
          <t>Ryzen 7 7800X3D</t>
        </is>
      </c>
      <c r="D551" s="5" t="inlineStr">
        <is>
          <t>Marketplace Cochabamba</t>
        </is>
      </c>
      <c r="E551" s="11" t="n">
        <v>5190</v>
      </c>
      <c r="F551" s="5" t="inlineStr">
        <is>
          <t>Bs</t>
        </is>
      </c>
      <c r="G551" s="5" t="inlineStr">
        <is>
          <t>no indicado</t>
        </is>
      </c>
      <c r="H551" s="6" t="inlineStr">
        <is>
          <t>ver</t>
        </is>
      </c>
    </row>
    <row r="552">
      <c r="A552" s="15" t="n">
        <v>46306</v>
      </c>
      <c r="B552" s="5" t="inlineStr">
        <is>
          <t>Marketplace</t>
        </is>
      </c>
      <c r="C552" s="5" t="inlineStr">
        <is>
          <t>Ryzen 7 7800X3D</t>
        </is>
      </c>
      <c r="D552" s="5" t="inlineStr">
        <is>
          <t>Marketplace Cochabamba</t>
        </is>
      </c>
      <c r="E552" s="11" t="n">
        <v>5390</v>
      </c>
      <c r="F552" s="5" t="inlineStr">
        <is>
          <t>Bs</t>
        </is>
      </c>
      <c r="G552" s="5" t="inlineStr">
        <is>
          <t>no indicado</t>
        </is>
      </c>
      <c r="H552" s="6" t="inlineStr">
        <is>
          <t>ver</t>
        </is>
      </c>
    </row>
    <row r="553">
      <c r="A553" s="15" t="n">
        <v>46306</v>
      </c>
      <c r="B553" s="5" t="inlineStr">
        <is>
          <t>Marketplace</t>
        </is>
      </c>
      <c r="C553" s="5" t="inlineStr">
        <is>
          <t>Ryzen 5 7600</t>
        </is>
      </c>
      <c r="D553" s="5" t="inlineStr">
        <is>
          <t>Marketplace La Paz</t>
        </is>
      </c>
      <c r="E553" s="11" t="n">
        <v>2000</v>
      </c>
      <c r="F553" s="5" t="inlineStr">
        <is>
          <t>Bs</t>
        </is>
      </c>
      <c r="G553" s="5" t="inlineStr">
        <is>
          <t>no indicado (es 7600X; está en La Paz: solo referencia)</t>
        </is>
      </c>
      <c r="H553" s="6" t="inlineStr">
        <is>
          <t>ver</t>
        </is>
      </c>
    </row>
    <row r="554">
      <c r="A554" s="15" t="n">
        <v>46306</v>
      </c>
      <c r="B554" s="5" t="inlineStr">
        <is>
          <t>Marketplace</t>
        </is>
      </c>
      <c r="C554" s="5" t="inlineStr">
        <is>
          <t>Ryzen 5 7600</t>
        </is>
      </c>
      <c r="D554" s="5" t="inlineStr">
        <is>
          <t>Marketplace La Paz</t>
        </is>
      </c>
      <c r="E554" s="11" t="n">
        <v>2650</v>
      </c>
      <c r="F554" s="5" t="inlineStr">
        <is>
          <t>Bs</t>
        </is>
      </c>
      <c r="G554" s="5" t="inlineStr">
        <is>
          <t>no indicado (es 7600X; está en La Paz: solo referencia)</t>
        </is>
      </c>
      <c r="H554" s="6" t="inlineStr">
        <is>
          <t>ver</t>
        </is>
      </c>
    </row>
    <row r="555">
      <c r="A555" s="15" t="n">
        <v>46306</v>
      </c>
      <c r="B555" s="5" t="inlineStr">
        <is>
          <t>Marketplace</t>
        </is>
      </c>
      <c r="C555" s="5" t="inlineStr">
        <is>
          <t>Intel Core i5-14400F</t>
        </is>
      </c>
      <c r="D555" s="5" t="inlineStr">
        <is>
          <t>Marketplace Cochabamba</t>
        </is>
      </c>
      <c r="E555" s="11" t="n">
        <v>2700</v>
      </c>
      <c r="F555" s="5" t="inlineStr">
        <is>
          <t>Bs</t>
        </is>
      </c>
      <c r="G555" s="5" t="inlineStr">
        <is>
          <t>confirmado por Messenger el 12/10: es el i5-14400 con gráficos (no el F), nuevo en blíster, precio final Bs 2.700; no cuenta</t>
        </is>
      </c>
      <c r="H555" s="6" t="inlineStr">
        <is>
          <t>ver</t>
        </is>
      </c>
    </row>
    <row r="556">
      <c r="A556" s="15" t="n">
        <v>46306</v>
      </c>
      <c r="B556" s="5" t="inlineStr">
        <is>
          <t>Marketplace</t>
        </is>
      </c>
      <c r="C556" s="5" t="inlineStr">
        <is>
          <t>Corsair Vengeance RGB DDR5 32GB (2x16) 6000</t>
        </is>
      </c>
      <c r="D556" s="5" t="inlineStr">
        <is>
          <t>Marketplace Cochabamba</t>
        </is>
      </c>
      <c r="E556" s="11" t="n">
        <v>6200</v>
      </c>
      <c r="F556" s="5" t="inlineStr">
        <is>
          <t>Bs</t>
        </is>
      </c>
      <c r="G556" s="5" t="inlineStr">
        <is>
          <t>no indicado (modelo RS)</t>
        </is>
      </c>
      <c r="H556" s="6" t="inlineStr">
        <is>
          <t>ver</t>
        </is>
      </c>
    </row>
    <row r="557">
      <c r="A557" s="15" t="n">
        <v>46306</v>
      </c>
      <c r="B557" s="5" t="inlineStr">
        <is>
          <t>Marketplace</t>
        </is>
      </c>
      <c r="C557" s="5" t="inlineStr">
        <is>
          <t>RAM DDR4 16GB (2x8) 3200</t>
        </is>
      </c>
      <c r="D557" s="5" t="inlineStr">
        <is>
          <t>Marketplace Cochabamba</t>
        </is>
      </c>
      <c r="E557" s="11" t="n">
        <v>540</v>
      </c>
      <c r="F557" s="5" t="inlineStr">
        <is>
          <t>Bs</t>
        </is>
      </c>
      <c r="G557" s="5" t="inlineStr">
        <is>
          <t>no indicado (Kingston Fury Beast RGB 16GB 3200; probablemente 1x16; no cuenta)</t>
        </is>
      </c>
      <c r="H557" s="6" t="inlineStr">
        <is>
          <t>ver</t>
        </is>
      </c>
    </row>
    <row r="558">
      <c r="A558" s="15" t="n">
        <v>46306</v>
      </c>
      <c r="B558" s="5" t="inlineStr">
        <is>
          <t>Marketplace</t>
        </is>
      </c>
      <c r="C558" s="5" t="inlineStr">
        <is>
          <t>RAM DDR4 16GB (2x8) 3200</t>
        </is>
      </c>
      <c r="D558" s="5" t="inlineStr">
        <is>
          <t>Marketplace Cochabamba</t>
        </is>
      </c>
      <c r="E558" s="11" t="n">
        <v>900</v>
      </c>
      <c r="F558" s="5" t="inlineStr">
        <is>
          <t>Bs</t>
        </is>
      </c>
      <c r="G558" s="5" t="inlineStr">
        <is>
          <t>no indicado (16GB 3200; configuración no indicada)</t>
        </is>
      </c>
      <c r="H558" s="6" t="inlineStr">
        <is>
          <t>ver</t>
        </is>
      </c>
    </row>
    <row r="559">
      <c r="A559" s="15" t="n">
        <v>46306</v>
      </c>
      <c r="B559" s="5" t="inlineStr">
        <is>
          <t>Marketplace</t>
        </is>
      </c>
      <c r="C559" s="5" t="inlineStr">
        <is>
          <t>RAM DDR4 16GB (2x8) 3200</t>
        </is>
      </c>
      <c r="D559" s="5" t="inlineStr">
        <is>
          <t>Marketplace Cochabamba</t>
        </is>
      </c>
      <c r="E559" s="11" t="n">
        <v>1500</v>
      </c>
      <c r="F559" s="5" t="inlineStr">
        <is>
          <t>Bs</t>
        </is>
      </c>
      <c r="G559" s="5" t="inlineStr">
        <is>
          <t>no indicado (2x8 3200; Sacaba)</t>
        </is>
      </c>
      <c r="H559" s="6" t="inlineStr">
        <is>
          <t>ver</t>
        </is>
      </c>
    </row>
    <row r="560">
      <c r="A560" s="15" t="n">
        <v>46306</v>
      </c>
      <c r="B560" s="5" t="inlineStr">
        <is>
          <t>Marketplace</t>
        </is>
      </c>
      <c r="C560" s="5" t="inlineStr">
        <is>
          <t>RAM DDR4 16GB (2x8) 3200</t>
        </is>
      </c>
      <c r="D560" s="5" t="inlineStr">
        <is>
          <t>Marketplace Cochabamba</t>
        </is>
      </c>
      <c r="E560" s="11" t="n">
        <v>1500</v>
      </c>
      <c r="F560" s="5" t="inlineStr">
        <is>
          <t>Bs</t>
        </is>
      </c>
      <c r="G560" s="5" t="inlineStr">
        <is>
          <t>no indicado (Corsair Vengeance 2x8; Sacaba; rebajado de 1600)</t>
        </is>
      </c>
      <c r="H560" s="6" t="inlineStr">
        <is>
          <t>ver</t>
        </is>
      </c>
    </row>
    <row r="561">
      <c r="A561" s="15" t="n">
        <v>46306</v>
      </c>
      <c r="B561" s="5" t="inlineStr">
        <is>
          <t>Marketplace</t>
        </is>
      </c>
      <c r="C561" s="5" t="inlineStr">
        <is>
          <t>SSD NVMe 1TB</t>
        </is>
      </c>
      <c r="D561" s="5" t="inlineStr">
        <is>
          <t>Marketplace Cochabamba</t>
        </is>
      </c>
      <c r="E561" s="11" t="n">
        <v>1850</v>
      </c>
      <c r="F561" s="5" t="inlineStr">
        <is>
          <t>Bs</t>
        </is>
      </c>
      <c r="G561" s="5" t="inlineStr">
        <is>
          <t>no indicado (Kingston NV3 1TB)</t>
        </is>
      </c>
      <c r="H561" s="6" t="inlineStr">
        <is>
          <t>ver</t>
        </is>
      </c>
    </row>
    <row r="562">
      <c r="A562" s="15" t="n">
        <v>46306</v>
      </c>
      <c r="B562" s="5" t="inlineStr">
        <is>
          <t>Marketplace</t>
        </is>
      </c>
      <c r="C562" s="5" t="inlineStr">
        <is>
          <t>SSD NVMe 1TB</t>
        </is>
      </c>
      <c r="D562" s="5" t="inlineStr">
        <is>
          <t>Marketplace Cochabamba</t>
        </is>
      </c>
      <c r="E562" s="11" t="n">
        <v>2000</v>
      </c>
      <c r="F562" s="5" t="inlineStr">
        <is>
          <t>Bs</t>
        </is>
      </c>
      <c r="G562" s="5" t="inlineStr">
        <is>
          <t>no indicado (Crucial P310 1TB)</t>
        </is>
      </c>
      <c r="H562" s="6" t="inlineStr">
        <is>
          <t>ver</t>
        </is>
      </c>
    </row>
    <row r="563">
      <c r="A563" s="15" t="n">
        <v>46306</v>
      </c>
      <c r="B563" s="5" t="inlineStr">
        <is>
          <t>Marketplace</t>
        </is>
      </c>
      <c r="C563" s="5" t="inlineStr">
        <is>
          <t>SSD NVMe 1TB</t>
        </is>
      </c>
      <c r="D563" s="5" t="inlineStr">
        <is>
          <t>Marketplace Cochabamba</t>
        </is>
      </c>
      <c r="E563" s="11" t="n">
        <v>1800</v>
      </c>
      <c r="F563" s="5" t="inlineStr">
        <is>
          <t>Bs</t>
        </is>
      </c>
      <c r="G563" s="5" t="inlineStr">
        <is>
          <t>no indicado (M.2 1TB; marca no indicada)</t>
        </is>
      </c>
      <c r="H563" s="6" t="inlineStr">
        <is>
          <t>ver</t>
        </is>
      </c>
    </row>
    <row r="564">
      <c r="A564" s="15" t="n">
        <v>46306</v>
      </c>
      <c r="B564" s="5" t="inlineStr">
        <is>
          <t>Marketplace</t>
        </is>
      </c>
      <c r="C564" s="5" t="inlineStr">
        <is>
          <t>SSD NVMe 2TB</t>
        </is>
      </c>
      <c r="D564" s="5" t="inlineStr">
        <is>
          <t>Marketplace Cochabamba</t>
        </is>
      </c>
      <c r="E564" s="11" t="n">
        <v>3550</v>
      </c>
      <c r="F564" s="5" t="inlineStr">
        <is>
          <t>Bs</t>
        </is>
      </c>
      <c r="G564" s="5" t="inlineStr">
        <is>
          <t>revisado el 12/10: es un SSD externo portátil SanDisk 2TB (1050 MB/s, USB con cable, IP65), no un NVMe interno; no cuenta</t>
        </is>
      </c>
      <c r="H564" s="6" t="inlineStr">
        <is>
          <t>ver</t>
        </is>
      </c>
    </row>
    <row r="565">
      <c r="A565" s="15" t="n">
        <v>46307</v>
      </c>
      <c r="B565" s="5" t="inlineStr">
        <is>
          <t>Tienda</t>
        </is>
      </c>
      <c r="C565" s="5" t="inlineStr">
        <is>
          <t>Ryzen 7 7800X3D</t>
        </is>
      </c>
      <c r="D565" s="5" t="inlineStr">
        <is>
          <t>Cyrex Store (WhatsApp)</t>
        </is>
      </c>
      <c r="E565" s="11" t="n">
        <v>5664</v>
      </c>
      <c r="F565" s="5" t="inlineStr">
        <is>
          <t>Bs</t>
        </is>
      </c>
      <c r="G565" s="5" t="inlineStr">
        <is>
          <t>BOX (según foto de su web; USD 480)</t>
        </is>
      </c>
      <c r="H565" s="6" t="inlineStr">
        <is>
          <t>ver</t>
        </is>
      </c>
    </row>
    <row r="566">
      <c r="A566" s="15" t="n">
        <v>46307</v>
      </c>
      <c r="B566" s="5" t="inlineStr">
        <is>
          <t>Tienda</t>
        </is>
      </c>
      <c r="C566" s="5" t="inlineStr">
        <is>
          <t>Intel Core i5-14400F</t>
        </is>
      </c>
      <c r="D566" s="5" t="inlineStr">
        <is>
          <t>Cyrex Store (WhatsApp)</t>
        </is>
      </c>
      <c r="E566" s="11" t="n">
        <v>2537</v>
      </c>
      <c r="F566" s="5" t="inlineStr">
        <is>
          <t>Bs</t>
        </is>
      </c>
      <c r="G566" s="5" t="inlineStr">
        <is>
          <t>OEM (sin caja; según foto de su web; USD 215)</t>
        </is>
      </c>
      <c r="H566" s="6" t="inlineStr">
        <is>
          <t>ver</t>
        </is>
      </c>
    </row>
    <row r="567">
      <c r="A567" s="15" t="n">
        <v>46307</v>
      </c>
      <c r="B567" s="5" t="inlineStr">
        <is>
          <t>Tienda</t>
        </is>
      </c>
      <c r="C567" s="5" t="inlineStr">
        <is>
          <t>RAM DDR5 16GB (1x16) 6000</t>
        </is>
      </c>
      <c r="D567" s="5" t="inlineStr">
        <is>
          <t>Cyrex Store (WhatsApp)</t>
        </is>
      </c>
      <c r="E567" s="11" t="n">
        <v>3127</v>
      </c>
      <c r="F567" s="5" t="inlineStr">
        <is>
          <t>Bs</t>
        </is>
      </c>
      <c r="G567" s="5" t="inlineStr">
        <is>
          <t>no indicado (Patriot Viper Venom RGB 1x16 CL30; USD 265; no es el kit Corsair 2x16: solo referencia)</t>
        </is>
      </c>
      <c r="H567" s="6" t="inlineStr">
        <is>
          <t>ver</t>
        </is>
      </c>
    </row>
    <row r="568">
      <c r="A568" s="15" t="n">
        <v>46307</v>
      </c>
      <c r="B568" s="5" t="inlineStr">
        <is>
          <t>Tienda</t>
        </is>
      </c>
      <c r="C568" s="5" t="inlineStr">
        <is>
          <t>RAM DDR4 16GB (2x8) 3200</t>
        </is>
      </c>
      <c r="D568" s="5" t="inlineStr">
        <is>
          <t>Compucenter (WhatsApp)</t>
        </is>
      </c>
      <c r="E568" s="11" t="n">
        <v>2150</v>
      </c>
      <c r="F568" s="5" t="inlineStr">
        <is>
          <t>Bs</t>
        </is>
      </c>
      <c r="G568" s="5" t="inlineStr">
        <is>
          <t>nuevo (Corsair Vengeance RGB DDR4 16GB 3600; no dice si es 2x8; Bs 2.560 con factura)</t>
        </is>
      </c>
      <c r="H568" s="6" t="inlineStr">
        <is>
          <t>ver</t>
        </is>
      </c>
    </row>
    <row r="569">
      <c r="A569" s="15" t="n">
        <v>46307</v>
      </c>
      <c r="B569" s="5" t="inlineStr">
        <is>
          <t>Tienda</t>
        </is>
      </c>
      <c r="C569" s="5" t="inlineStr">
        <is>
          <t>Ryzen 9 9950X</t>
        </is>
      </c>
      <c r="D569" s="5" t="inlineStr">
        <is>
          <t>Tienda Supermall (WhatsApp)</t>
        </is>
      </c>
      <c r="E569" s="11" t="n">
        <v>6140</v>
      </c>
      <c r="F569" s="5" t="inlineStr">
        <is>
          <t>Bs</t>
        </is>
      </c>
      <c r="G569" s="5" t="inlineStr">
        <is>
          <t>nuevo OEM (garantía 6 meses)</t>
        </is>
      </c>
      <c r="H569" s="6" t="inlineStr">
        <is>
          <t>ver</t>
        </is>
      </c>
    </row>
    <row r="570">
      <c r="A570" s="15" t="n">
        <v>46307</v>
      </c>
      <c r="B570" s="5" t="inlineStr">
        <is>
          <t>Tienda</t>
        </is>
      </c>
      <c r="C570" s="5" t="inlineStr">
        <is>
          <t>Ryzen 7 7800X3D</t>
        </is>
      </c>
      <c r="D570" s="5" t="inlineStr">
        <is>
          <t>Tienda Supermall (WhatsApp)</t>
        </is>
      </c>
      <c r="E570" s="11" t="n">
        <v>4760</v>
      </c>
      <c r="F570" s="5" t="inlineStr">
        <is>
          <t>Bs</t>
        </is>
      </c>
      <c r="G570" s="5" t="inlineStr">
        <is>
          <t>no indicado (la tienda lo ofrece como "7700x3d"; foto de caja 7800X3D; stock bajo; garantía 6 meses; confirmar modelo)</t>
        </is>
      </c>
      <c r="H570" s="6" t="inlineStr">
        <is>
          <t>ver</t>
        </is>
      </c>
    </row>
    <row r="571">
      <c r="A571" s="15" t="n">
        <v>46307</v>
      </c>
      <c r="B571" s="5" t="inlineStr">
        <is>
          <t>Tienda</t>
        </is>
      </c>
      <c r="C571" s="5" t="inlineStr">
        <is>
          <t>Corsair Vengeance RGB DDR5 32GB (2x16) 6000</t>
        </is>
      </c>
      <c r="D571" s="5" t="inlineStr">
        <is>
          <t>PC Components Bolivia (WhatsApp; Santa Cruz: referencia)</t>
        </is>
      </c>
      <c r="E571" s="11" t="n">
        <v>6800</v>
      </c>
      <c r="F571" s="5" t="inlineStr">
        <is>
          <t>Bs</t>
        </is>
      </c>
      <c r="G571" s="5" t="inlineStr">
        <is>
          <t>no indicado</t>
        </is>
      </c>
      <c r="H571" s="6" t="inlineStr">
        <is>
          <t>ver</t>
        </is>
      </c>
    </row>
    <row r="572">
      <c r="A572" s="15" t="n">
        <v>46307</v>
      </c>
      <c r="B572" s="5" t="inlineStr">
        <is>
          <t>Tienda</t>
        </is>
      </c>
      <c r="C572" s="5" t="inlineStr">
        <is>
          <t>SSD NVMe 1TB</t>
        </is>
      </c>
      <c r="D572" s="5" t="inlineStr">
        <is>
          <t>PC Components Bolivia (WhatsApp; Santa Cruz: referencia)</t>
        </is>
      </c>
      <c r="E572" s="11" t="n">
        <v>2100</v>
      </c>
      <c r="F572" s="5" t="inlineStr">
        <is>
          <t>Bs</t>
        </is>
      </c>
      <c r="G572" s="5" t="inlineStr">
        <is>
          <t>no indicado (Kingston NV3 PCIe 4.0; Santa Cruz: referencia)</t>
        </is>
      </c>
      <c r="H572" s="6" t="inlineStr">
        <is>
          <t>ver</t>
        </is>
      </c>
    </row>
    <row r="573">
      <c r="A573" s="15" t="n">
        <v>46307</v>
      </c>
      <c r="B573" s="5" t="inlineStr">
        <is>
          <t>Tienda</t>
        </is>
      </c>
      <c r="C573" s="5" t="inlineStr">
        <is>
          <t>SSD NVMe 1TB</t>
        </is>
      </c>
      <c r="D573" s="5" t="inlineStr">
        <is>
          <t>PC Components Bolivia (WhatsApp; Santa Cruz: referencia)</t>
        </is>
      </c>
      <c r="E573" s="11" t="n">
        <v>1800</v>
      </c>
      <c r="F573" s="5" t="inlineStr">
        <is>
          <t>Bs</t>
        </is>
      </c>
      <c r="G573" s="5" t="inlineStr">
        <is>
          <t>no indicado (marca "ediloca" PCIe 4.0; Santa Cruz: referencia)</t>
        </is>
      </c>
      <c r="H573" s="6" t="inlineStr">
        <is>
          <t>ver</t>
        </is>
      </c>
    </row>
    <row r="574">
      <c r="A574" s="15" t="n">
        <v>46307</v>
      </c>
      <c r="B574" s="5" t="inlineStr">
        <is>
          <t>Marketplace</t>
        </is>
      </c>
      <c r="C574" s="5" t="inlineStr">
        <is>
          <t>Corsair Vengeance RGB DDR5 32GB (2x16) 5600</t>
        </is>
      </c>
      <c r="D574" s="5" t="inlineStr">
        <is>
          <t>Marketplace Cochabamba (particular)</t>
        </is>
      </c>
      <c r="E574" s="11" t="n">
        <v>4500</v>
      </c>
      <c r="F574" s="5" t="inlineStr">
        <is>
          <t>Bs</t>
        </is>
      </c>
      <c r="G574" s="5" t="inlineStr">
        <is>
          <t>usado como nuevo (4 meses de uso; publicado hace 7 semanas)</t>
        </is>
      </c>
      <c r="H574" s="6" t="inlineStr">
        <is>
          <t>ver</t>
        </is>
      </c>
    </row>
    <row r="575">
      <c r="A575" s="15" t="n">
        <v>46307</v>
      </c>
      <c r="B575" s="5" t="inlineStr">
        <is>
          <t>Tienda</t>
        </is>
      </c>
      <c r="C575" s="5" t="inlineStr">
        <is>
          <t>Corsair Vengeance RGB DDR5 32GB (2x16) 6000</t>
        </is>
      </c>
      <c r="D575" s="5" t="inlineStr">
        <is>
          <t>PC Components Bolivia (WhatsApp; Santa Cruz: referencia)</t>
        </is>
      </c>
      <c r="E575" s="11" t="n">
        <v>6700</v>
      </c>
      <c r="F575" s="5" t="inlineStr">
        <is>
          <t>Bs</t>
        </is>
      </c>
      <c r="G575" s="5" t="inlineStr">
        <is>
          <t>no indicado (precio c/u llevando 2; Santa Cruz: referencia)</t>
        </is>
      </c>
      <c r="H575" s="6" t="inlineStr">
        <is>
          <t>ver</t>
        </is>
      </c>
    </row>
    <row r="576">
      <c r="A576" s="15" t="n">
        <v>46307</v>
      </c>
      <c r="B576" s="5" t="inlineStr">
        <is>
          <t>Tienda</t>
        </is>
      </c>
      <c r="C576" s="5" t="inlineStr">
        <is>
          <t>Intel Core i5-14400F</t>
        </is>
      </c>
      <c r="D576" s="5" t="inlineStr">
        <is>
          <t>Punto Tecnológico · Supermall (web)</t>
        </is>
      </c>
      <c r="E576" s="11" t="n">
        <v>2520</v>
      </c>
      <c r="F576" s="5" t="inlineStr">
        <is>
          <t>Bs</t>
        </is>
      </c>
      <c r="G576" s="5" t="inlineStr">
        <is>
          <t>disponible (web)</t>
        </is>
      </c>
      <c r="H576" s="6" t="inlineStr">
        <is>
          <t>ver</t>
        </is>
      </c>
    </row>
    <row r="577">
      <c r="A577" s="15" t="n">
        <v>46307</v>
      </c>
      <c r="B577" s="5" t="inlineStr">
        <is>
          <t>Tienda</t>
        </is>
      </c>
      <c r="C577" s="5" t="inlineStr">
        <is>
          <t>Intel Core Ultra 7 265K</t>
        </is>
      </c>
      <c r="D577" s="5" t="inlineStr">
        <is>
          <t>Punto Tecnológico · Supermall (web)</t>
        </is>
      </c>
      <c r="E577" s="11" t="n">
        <v>4290</v>
      </c>
      <c r="F577" s="5" t="inlineStr">
        <is>
          <t>Bs</t>
        </is>
      </c>
      <c r="G577" s="5" t="inlineStr">
        <is>
          <t>stock bajo (web; por WhatsApp dijeron que el 265K solo está en Santa Cruz)</t>
        </is>
      </c>
      <c r="H577" s="6" t="inlineStr">
        <is>
          <t>ver</t>
        </is>
      </c>
    </row>
    <row r="578">
      <c r="A578" s="15" t="n">
        <v>46307</v>
      </c>
      <c r="B578" s="5" t="inlineStr">
        <is>
          <t>Tienda</t>
        </is>
      </c>
      <c r="C578" s="5" t="inlineStr">
        <is>
          <t>Ryzen 5 7600</t>
        </is>
      </c>
      <c r="D578" s="5" t="inlineStr">
        <is>
          <t>Punto Tecnológico · Supermall (web)</t>
        </is>
      </c>
      <c r="E578" s="11" t="n">
        <v>2860</v>
      </c>
      <c r="F578" s="5" t="inlineStr">
        <is>
          <t>Bs</t>
        </is>
      </c>
      <c r="G578" s="5" t="inlineStr">
        <is>
          <t>stock bajo (web)</t>
        </is>
      </c>
      <c r="H578" s="6" t="inlineStr">
        <is>
          <t>ver</t>
        </is>
      </c>
    </row>
    <row r="579">
      <c r="A579" s="15" t="n">
        <v>46307</v>
      </c>
      <c r="B579" s="5" t="inlineStr">
        <is>
          <t>Tienda</t>
        </is>
      </c>
      <c r="C579" s="5" t="inlineStr">
        <is>
          <t>Intel Core i5-12400F</t>
        </is>
      </c>
      <c r="D579" s="5" t="inlineStr">
        <is>
          <t>Punto Tecnológico · Supermall (web)</t>
        </is>
      </c>
      <c r="E579" s="11" t="n">
        <v>2460</v>
      </c>
      <c r="F579" s="5" t="inlineStr">
        <is>
          <t>Bs</t>
        </is>
      </c>
      <c r="G579" s="5" t="inlineStr">
        <is>
          <t>disponible (web)</t>
        </is>
      </c>
      <c r="H579" s="6" t="inlineStr">
        <is>
          <t>ver</t>
        </is>
      </c>
    </row>
    <row r="580">
      <c r="A580" s="15" t="n">
        <v>46307</v>
      </c>
      <c r="B580" s="5" t="inlineStr">
        <is>
          <t>Tienda</t>
        </is>
      </c>
      <c r="C580" s="5" t="inlineStr">
        <is>
          <t>Ryzen 7 7800X3D</t>
        </is>
      </c>
      <c r="D580" s="5" t="inlineStr">
        <is>
          <t>Punto Tecnológico · Supermall (web)</t>
        </is>
      </c>
      <c r="E580" s="11" t="n">
        <v>5360</v>
      </c>
      <c r="F580" s="5" t="inlineStr">
        <is>
          <t>Bs</t>
        </is>
      </c>
      <c r="G580" s="5" t="inlineStr">
        <is>
          <t>agotado (web, "Ryzen 7 7800x3d Chip"; precio de referencia; no cuenta)</t>
        </is>
      </c>
      <c r="H580" s="6" t="inlineStr">
        <is>
          <t>ver</t>
        </is>
      </c>
    </row>
    <row r="581">
      <c r="A581" s="15" t="n">
        <v>46307</v>
      </c>
      <c r="B581" s="5" t="inlineStr">
        <is>
          <t>Tienda</t>
        </is>
      </c>
      <c r="C581" s="5" t="inlineStr">
        <is>
          <t>Ryzen 5 5600</t>
        </is>
      </c>
      <c r="D581" s="5" t="inlineStr">
        <is>
          <t>Punto Tecnológico · Supermall (web)</t>
        </is>
      </c>
      <c r="E581" s="11" t="n">
        <v>1710</v>
      </c>
      <c r="F581" s="5" t="inlineStr">
        <is>
          <t>Bs</t>
        </is>
      </c>
      <c r="G581" s="5" t="inlineStr">
        <is>
          <t>agotado (web; precio de referencia; no cuenta)</t>
        </is>
      </c>
      <c r="H581" s="6" t="inlineStr">
        <is>
          <t>ver</t>
        </is>
      </c>
    </row>
    <row r="582">
      <c r="A582" s="15" t="n">
        <v>46307</v>
      </c>
      <c r="B582" s="5" t="inlineStr">
        <is>
          <t>Tienda</t>
        </is>
      </c>
      <c r="C582" s="5" t="inlineStr">
        <is>
          <t>Intel Core i5-13400</t>
        </is>
      </c>
      <c r="D582" s="5" t="inlineStr">
        <is>
          <t>Punto Tecnológico · Supermall (web)</t>
        </is>
      </c>
      <c r="E582" s="11" t="n">
        <v>2310</v>
      </c>
      <c r="F582" s="5" t="inlineStr">
        <is>
          <t>Bs</t>
        </is>
      </c>
      <c r="G582" s="5" t="inlineStr">
        <is>
          <t>agotado (web; precio de referencia; no cuenta)</t>
        </is>
      </c>
      <c r="H582" s="6" t="inlineStr">
        <is>
          <t>ver</t>
        </is>
      </c>
    </row>
    <row r="583">
      <c r="A583" s="15" t="n">
        <v>46307</v>
      </c>
      <c r="B583" s="5" t="inlineStr">
        <is>
          <t>Tienda</t>
        </is>
      </c>
      <c r="C583" s="5" t="inlineStr">
        <is>
          <t>RAM DDR4 16GB (2x8) 3200</t>
        </is>
      </c>
      <c r="D583" s="5" t="inlineStr">
        <is>
          <t>Punto Tecnológico · Supermall (web)</t>
        </is>
      </c>
      <c r="E583" s="11" t="n">
        <v>2160</v>
      </c>
      <c r="F583" s="5" t="inlineStr">
        <is>
          <t>Bs</t>
        </is>
      </c>
      <c r="G583" s="5" t="inlineStr">
        <is>
          <t>disponible (web; Corsair Vengeance RGB Pro TUF Gaming 2x8 3200)</t>
        </is>
      </c>
      <c r="H583" s="6" t="inlineStr">
        <is>
          <t>ver</t>
        </is>
      </c>
    </row>
    <row r="584">
      <c r="A584" s="15" t="n">
        <v>46307</v>
      </c>
      <c r="B584" s="5" t="inlineStr">
        <is>
          <t>Tienda</t>
        </is>
      </c>
      <c r="C584" s="5" t="inlineStr">
        <is>
          <t>Corsair Vengeance RGB DDR5 32GB (2x16) 6000</t>
        </is>
      </c>
      <c r="D584" s="5" t="inlineStr">
        <is>
          <t>Punto Tecnológico · Supermall (web)</t>
        </is>
      </c>
      <c r="E584" s="11" t="n">
        <v>5360</v>
      </c>
      <c r="F584" s="5" t="inlineStr">
        <is>
          <t>Bs</t>
        </is>
      </c>
      <c r="G584" s="5" t="inlineStr">
        <is>
          <t>agotado (web; precio de referencia; no cuenta)</t>
        </is>
      </c>
      <c r="H584" s="6" t="inlineStr">
        <is>
          <t>ver</t>
        </is>
      </c>
    </row>
    <row r="585">
      <c r="A585" s="15" t="n">
        <v>46307</v>
      </c>
      <c r="B585" s="5" t="inlineStr">
        <is>
          <t>Tienda</t>
        </is>
      </c>
      <c r="C585" s="5" t="inlineStr">
        <is>
          <t>Corsair Vengeance RGB DDR5 32GB (2x16) 6000</t>
        </is>
      </c>
      <c r="D585" s="5" t="inlineStr">
        <is>
          <t>Punto Tecnológico · Supermall (web)</t>
        </is>
      </c>
      <c r="E585" s="11" t="n">
        <v>5660</v>
      </c>
      <c r="F585" s="5" t="inlineStr">
        <is>
          <t>Bs</t>
        </is>
      </c>
      <c r="G585" s="5" t="inlineStr">
        <is>
          <t>disponible (web; Patriot Viper 32GB 6000 RGB: otra marca; no cuenta)</t>
        </is>
      </c>
      <c r="H585" s="6" t="inlineStr">
        <is>
          <t>ver</t>
        </is>
      </c>
    </row>
    <row r="586">
      <c r="A586" s="15" t="n">
        <v>46307</v>
      </c>
      <c r="B586" s="5" t="inlineStr">
        <is>
          <t>Tienda</t>
        </is>
      </c>
      <c r="C586" s="5" t="inlineStr">
        <is>
          <t>Corsair Vengeance RGB DDR5 32GB (2x16) 5600</t>
        </is>
      </c>
      <c r="D586" s="5" t="inlineStr">
        <is>
          <t>Punto Tecnológico · Supermall (web)</t>
        </is>
      </c>
      <c r="E586" s="11" t="n">
        <v>5860</v>
      </c>
      <c r="F586" s="5" t="inlineStr">
        <is>
          <t>Bs</t>
        </is>
      </c>
      <c r="G586" s="5" t="inlineStr">
        <is>
          <t>disponible (web; Kingston Fury 32GB 2x16 5200/5600: otra marca; no cuenta)</t>
        </is>
      </c>
      <c r="H586" s="6" t="inlineStr">
        <is>
          <t>ver</t>
        </is>
      </c>
    </row>
    <row r="587">
      <c r="A587" s="15" t="n">
        <v>46307</v>
      </c>
      <c r="B587" s="5" t="inlineStr">
        <is>
          <t>Tienda</t>
        </is>
      </c>
      <c r="C587" s="5" t="inlineStr">
        <is>
          <t>SSD NVMe 1TB</t>
        </is>
      </c>
      <c r="D587" s="5" t="inlineStr">
        <is>
          <t>Punto Tecnológico · Supermall (web)</t>
        </is>
      </c>
      <c r="E587" s="11" t="n">
        <v>1860</v>
      </c>
      <c r="F587" s="5" t="inlineStr">
        <is>
          <t>Bs</t>
        </is>
      </c>
      <c r="G587" s="5" t="inlineStr">
        <is>
          <t>stock bajo (web; Hiksemi Wave M.2 1TB)</t>
        </is>
      </c>
      <c r="H587" s="6" t="inlineStr">
        <is>
          <t>ver</t>
        </is>
      </c>
    </row>
    <row r="588">
      <c r="A588" s="15" t="n">
        <v>46307</v>
      </c>
      <c r="B588" s="5" t="inlineStr">
        <is>
          <t>Tienda</t>
        </is>
      </c>
      <c r="C588" s="5" t="inlineStr">
        <is>
          <t>SSD NVMe 1TB</t>
        </is>
      </c>
      <c r="D588" s="5" t="inlineStr">
        <is>
          <t>Punto Tecnológico · Supermall (web)</t>
        </is>
      </c>
      <c r="E588" s="11" t="n">
        <v>2060</v>
      </c>
      <c r="F588" s="5" t="inlineStr">
        <is>
          <t>Bs</t>
        </is>
      </c>
      <c r="G588" s="5" t="inlineStr">
        <is>
          <t>disponible (web; WD SN3000 M.2 1TB)</t>
        </is>
      </c>
      <c r="H588" s="6" t="inlineStr">
        <is>
          <t>ver</t>
        </is>
      </c>
    </row>
    <row r="589">
      <c r="A589" s="15" t="n">
        <v>46307</v>
      </c>
      <c r="B589" s="5" t="inlineStr">
        <is>
          <t>Tienda</t>
        </is>
      </c>
      <c r="C589" s="5" t="inlineStr">
        <is>
          <t>SSD NVMe 1TB</t>
        </is>
      </c>
      <c r="D589" s="5" t="inlineStr">
        <is>
          <t>Punto Tecnológico · Supermall (web)</t>
        </is>
      </c>
      <c r="E589" s="11" t="n">
        <v>2152</v>
      </c>
      <c r="F589" s="5" t="inlineStr">
        <is>
          <t>Bs</t>
        </is>
      </c>
      <c r="G589" s="5" t="inlineStr">
        <is>
          <t>disponible (web; Kingston NV3 M.2 1TB)</t>
        </is>
      </c>
      <c r="H589" s="6" t="inlineStr">
        <is>
          <t>ver</t>
        </is>
      </c>
    </row>
    <row r="590">
      <c r="A590" s="15" t="n">
        <v>46307</v>
      </c>
      <c r="B590" s="5" t="inlineStr">
        <is>
          <t>Tienda</t>
        </is>
      </c>
      <c r="C590" s="5" t="inlineStr">
        <is>
          <t>SSD NVMe 2TB</t>
        </is>
      </c>
      <c r="D590" s="5" t="inlineStr">
        <is>
          <t>Punto Tecnológico · Supermall (web)</t>
        </is>
      </c>
      <c r="E590" s="11" t="n">
        <v>4060</v>
      </c>
      <c r="F590" s="5" t="inlineStr">
        <is>
          <t>Bs</t>
        </is>
      </c>
      <c r="G590" s="5" t="inlineStr">
        <is>
          <t>stock bajo (web; Apacer M.2 2TB 7400 MB/s)</t>
        </is>
      </c>
      <c r="H590" s="6" t="inlineStr">
        <is>
          <t>ver</t>
        </is>
      </c>
    </row>
    <row r="591">
      <c r="A591" s="15" t="n">
        <v>46307</v>
      </c>
      <c r="B591" s="5" t="inlineStr">
        <is>
          <t>Tienda</t>
        </is>
      </c>
      <c r="C591" s="5" t="inlineStr">
        <is>
          <t>SSD NVMe 2TB</t>
        </is>
      </c>
      <c r="D591" s="5" t="inlineStr">
        <is>
          <t>Punto Tecnológico · Supermall (web)</t>
        </is>
      </c>
      <c r="E591" s="11" t="n">
        <v>4560</v>
      </c>
      <c r="F591" s="5" t="inlineStr">
        <is>
          <t>Bs</t>
        </is>
      </c>
      <c r="G591" s="5" t="inlineStr">
        <is>
          <t>disponible (web; Hiksemi Futurex M.2 2TB)</t>
        </is>
      </c>
      <c r="H591" s="6" t="inlineStr">
        <is>
          <t>ver</t>
        </is>
      </c>
    </row>
    <row r="592">
      <c r="A592" s="15" t="n">
        <v>46307</v>
      </c>
      <c r="B592" s="5" t="inlineStr">
        <is>
          <t>Tienda</t>
        </is>
      </c>
      <c r="C592" s="5" t="inlineStr">
        <is>
          <t>Ryzen 7 7800X3D</t>
        </is>
      </c>
      <c r="D592" s="5" t="inlineStr">
        <is>
          <t>Viadata Computadoras (WhatsApp)</t>
        </is>
      </c>
      <c r="E592" s="11" t="n">
        <v>5500</v>
      </c>
      <c r="F592" s="5" t="inlineStr">
        <is>
          <t>Bs</t>
        </is>
      </c>
      <c r="G592" s="5" t="inlineStr">
        <is>
          <t>nuevo OEM (solo el chip)</t>
        </is>
      </c>
      <c r="H592" s="6" t="inlineStr">
        <is>
          <t>ver</t>
        </is>
      </c>
    </row>
    <row r="593">
      <c r="A593" s="15" t="n">
        <v>46307</v>
      </c>
      <c r="B593" s="5" t="inlineStr">
        <is>
          <t>Tienda</t>
        </is>
      </c>
      <c r="C593" s="5" t="inlineStr">
        <is>
          <t>Ryzen 5 5600</t>
        </is>
      </c>
      <c r="D593" s="5" t="inlineStr">
        <is>
          <t>Viadata Computadoras (WhatsApp)</t>
        </is>
      </c>
      <c r="E593" s="11" t="n">
        <v>2500</v>
      </c>
      <c r="F593" s="5" t="inlineStr">
        <is>
          <t>Bs</t>
        </is>
      </c>
      <c r="G593" s="5" t="inlineStr">
        <is>
          <t>nuevo OEM (es el 5600X, no el 5600; solo referencia; no cuenta)</t>
        </is>
      </c>
      <c r="H593" s="6" t="inlineStr">
        <is>
          <t>ver</t>
        </is>
      </c>
    </row>
    <row r="594">
      <c r="A594" s="15" t="n">
        <v>46307</v>
      </c>
      <c r="B594" s="5" t="inlineStr">
        <is>
          <t>Tienda</t>
        </is>
      </c>
      <c r="C594" s="5" t="inlineStr">
        <is>
          <t>Intel Core Ultra 7 265K</t>
        </is>
      </c>
      <c r="D594" s="5" t="inlineStr">
        <is>
          <t>Viadata Computadoras (WhatsApp)</t>
        </is>
      </c>
      <c r="E594" s="11" t="n">
        <v>5200</v>
      </c>
      <c r="F594" s="5" t="inlineStr">
        <is>
          <t>Bs</t>
        </is>
      </c>
      <c r="G594" s="5" t="inlineStr">
        <is>
          <t>nuevo en caja (es el 265KF, sin gráficos integrados; solo referencia; no cuenta)</t>
        </is>
      </c>
      <c r="H594" s="6" t="inlineStr">
        <is>
          <t>ver</t>
        </is>
      </c>
    </row>
    <row r="595">
      <c r="A595" s="15" t="n">
        <v>46308</v>
      </c>
      <c r="B595" s="5" t="inlineStr">
        <is>
          <t>Tienda</t>
        </is>
      </c>
      <c r="C595" s="5" t="inlineStr">
        <is>
          <t>Ryzen 7 7800X3D</t>
        </is>
      </c>
      <c r="D595" s="5" t="inlineStr">
        <is>
          <t>OverCity (WhatsApp)</t>
        </is>
      </c>
      <c r="E595" s="11" t="n">
        <v>5500</v>
      </c>
      <c r="F595" s="5" t="inlineStr">
        <is>
          <t>Bs</t>
        </is>
      </c>
      <c r="G595" s="5" t="inlineStr">
        <is>
          <t>nuevo OEM (solo el chip)</t>
        </is>
      </c>
      <c r="H595" s="2" t="n"/>
    </row>
    <row r="596">
      <c r="A596" s="15" t="n">
        <v>46308</v>
      </c>
      <c r="B596" s="5" t="inlineStr">
        <is>
          <t>Tienda</t>
        </is>
      </c>
      <c r="C596" s="5" t="inlineStr">
        <is>
          <t>Intel Core i5-14400F</t>
        </is>
      </c>
      <c r="D596" s="5" t="inlineStr">
        <is>
          <t>OverCity (WhatsApp)</t>
        </is>
      </c>
      <c r="E596" s="11" t="n">
        <v>2460</v>
      </c>
      <c r="F596" s="5" t="inlineStr">
        <is>
          <t>Bs</t>
        </is>
      </c>
      <c r="G596" s="5" t="inlineStr">
        <is>
          <t>nuevo OEM</t>
        </is>
      </c>
      <c r="H596" s="2" t="n"/>
    </row>
    <row r="597">
      <c r="A597" s="15" t="n">
        <v>46308</v>
      </c>
      <c r="B597" s="5" t="inlineStr">
        <is>
          <t>Tienda</t>
        </is>
      </c>
      <c r="C597" s="5" t="inlineStr">
        <is>
          <t>Intel Core i5-14400F</t>
        </is>
      </c>
      <c r="D597" s="5" t="inlineStr">
        <is>
          <t>Soft Computers (WhatsApp)</t>
        </is>
      </c>
      <c r="E597" s="11" t="n">
        <v>2500</v>
      </c>
      <c r="F597" s="5" t="inlineStr">
        <is>
          <t>Bs</t>
        </is>
      </c>
      <c r="G597" s="5" t="inlineStr">
        <is>
          <t>nuevo OEM</t>
        </is>
      </c>
      <c r="H597" s="2" t="n"/>
    </row>
    <row r="598">
      <c r="A598" s="15" t="n">
        <v>46308</v>
      </c>
      <c r="B598" s="5" t="inlineStr">
        <is>
          <t>Tienda</t>
        </is>
      </c>
      <c r="C598" s="5" t="inlineStr">
        <is>
          <t>Corsair Vengeance RGB DDR5 32GB (2x16) 6000</t>
        </is>
      </c>
      <c r="D598" s="5" t="inlineStr">
        <is>
          <t>OverCity (WhatsApp)</t>
        </is>
      </c>
      <c r="E598" s="11" t="n">
        <v>6840</v>
      </c>
      <c r="F598" s="5" t="inlineStr">
        <is>
          <t>Bs</t>
        </is>
      </c>
      <c r="G598" s="5" t="inlineStr">
        <is>
          <t>nuevo (XPG Lancer RGB 32GB 2x16 6000 CL30: otra marca; no cuenta; Corsair agotada; garantía 3 meses)</t>
        </is>
      </c>
      <c r="H598" s="2" t="n"/>
    </row>
    <row r="599">
      <c r="A599" s="15" t="n">
        <v>46308</v>
      </c>
      <c r="B599" s="5" t="inlineStr">
        <is>
          <t>Marketplace</t>
        </is>
      </c>
      <c r="C599" s="5" t="inlineStr">
        <is>
          <t>Ryzen 7 7800X3D</t>
        </is>
      </c>
      <c r="D599" s="5" t="inlineStr">
        <is>
          <t>Marketplace Cochabamba (particular/vendedor; Messenger)</t>
        </is>
      </c>
      <c r="E599" s="11" t="n">
        <v>4800</v>
      </c>
      <c r="F599" s="5" t="inlineStr">
        <is>
          <t>Bs</t>
        </is>
      </c>
      <c r="G599" s="5" t="inlineStr">
        <is>
          <t>nuevo sellado de fábrica, confirmado por el vendedor (último en stock; precio ya rebajado)</t>
        </is>
      </c>
      <c r="H599" s="6" t="inlineStr">
        <is>
          <t>ver</t>
        </is>
      </c>
    </row>
    <row r="600">
      <c r="A600" s="15" t="n">
        <v>46308</v>
      </c>
      <c r="B600" s="5" t="inlineStr">
        <is>
          <t>Tienda</t>
        </is>
      </c>
      <c r="C600" s="5" t="inlineStr">
        <is>
          <t>Ryzen 7 7800X3D</t>
        </is>
      </c>
      <c r="D600" s="5" t="inlineStr">
        <is>
          <t>OverCity (WhatsApp)</t>
        </is>
      </c>
      <c r="E600" s="11" t="n">
        <v>5350</v>
      </c>
      <c r="F600" s="5" t="inlineStr">
        <is>
          <t>Bs</t>
        </is>
      </c>
      <c r="G600" s="5" t="inlineStr">
        <is>
          <t>nuevo en caja sellada (box; el OEM está a Bs 5.500; el i5-14400F Bs 2.460 es su precio mínimo)</t>
        </is>
      </c>
      <c r="H600" s="2" t="n"/>
    </row>
    <row r="601">
      <c r="A601" s="15" t="n">
        <v>46309</v>
      </c>
      <c r="B601" s="5" t="inlineStr">
        <is>
          <t>Marketplace</t>
        </is>
      </c>
      <c r="C601" s="5" t="inlineStr">
        <is>
          <t>Corsair Vengeance RGB DDR5 32GB (2x16) 5600</t>
        </is>
      </c>
      <c r="D601" s="5" t="inlineStr">
        <is>
          <t>Marketplace Cochabamba</t>
        </is>
      </c>
      <c r="E601" s="11" t="n">
        <v>7400</v>
      </c>
      <c r="F601" s="5" t="inlineStr">
        <is>
          <t>Bs</t>
        </is>
      </c>
      <c r="G601" s="5" t="inlineStr">
        <is>
          <t>no indicado (Kingston Fury Beast DDR5 32GB 5600: otra marca; solo referencia; no cuenta)</t>
        </is>
      </c>
      <c r="H601" s="6" t="inlineStr">
        <is>
          <t>ver</t>
        </is>
      </c>
    </row>
    <row r="602">
      <c r="A602" s="15" t="n">
        <v>46309</v>
      </c>
      <c r="B602" s="5" t="inlineStr">
        <is>
          <t>Tienda</t>
        </is>
      </c>
      <c r="C602" s="5" t="inlineStr">
        <is>
          <t>Intel Core i5-14400F</t>
        </is>
      </c>
      <c r="D602" s="5" t="inlineStr">
        <is>
          <t>Geek Store Bolivia (web)</t>
        </is>
      </c>
      <c r="E602" s="11" t="n">
        <v>2953</v>
      </c>
      <c r="F602" s="5" t="inlineStr">
        <is>
          <t>Bs</t>
        </is>
      </c>
      <c r="G602" s="5" t="inlineStr">
        <is>
          <t>disponible (web; es el i5-14400 con gráficos, no el F; precio USD 249 en la web, a Bs 11,86; solo referencia; no cuenta)</t>
        </is>
      </c>
      <c r="H602" s="6" t="inlineStr">
        <is>
          <t>ver</t>
        </is>
      </c>
    </row>
    <row r="603">
      <c r="A603" s="15" t="n">
        <v>46309</v>
      </c>
      <c r="B603" s="5" t="inlineStr">
        <is>
          <t>Tienda</t>
        </is>
      </c>
      <c r="C603" s="5" t="inlineStr">
        <is>
          <t>Intel Core i9-14900K</t>
        </is>
      </c>
      <c r="D603" s="5" t="inlineStr">
        <is>
          <t>Crazy Store (WhatsApp)</t>
        </is>
      </c>
      <c r="E603" s="11" t="n">
        <v>6013</v>
      </c>
      <c r="F603" s="5" t="inlineStr">
        <is>
          <t>Bs</t>
        </is>
      </c>
      <c r="G603" s="5" t="inlineStr">
        <is>
          <t>nuevo (no está en vigilar.csv; USD 499 o Bs 6.013, rebaja ofrecida hasta Bs 5.700; solo referencia; no cuenta)</t>
        </is>
      </c>
      <c r="H603" s="2" t="n"/>
    </row>
    <row r="604">
      <c r="A604" s="15" t="n">
        <v>46310</v>
      </c>
      <c r="B604" s="5" t="inlineStr">
        <is>
          <t>Tienda</t>
        </is>
      </c>
      <c r="C604" s="5" t="inlineStr">
        <is>
          <t>Ryzen 7 7800X3D</t>
        </is>
      </c>
      <c r="D604" s="5" t="inlineStr">
        <is>
          <t>SMART CUBE (WhatsApp)</t>
        </is>
      </c>
      <c r="E604" s="11" t="n">
        <v>5890</v>
      </c>
      <c r="F604" s="5" t="inlineStr">
        <is>
          <t>Bs</t>
        </is>
      </c>
      <c r="G604" s="5" t="inlineStr">
        <is>
          <t>nuevo sellado, facturado; llevando 2 rebajan Bs 50 c/u (Bs 5.840)</t>
        </is>
      </c>
      <c r="H604" s="2" t="n"/>
    </row>
    <row r="605">
      <c r="A605" s="15" t="n">
        <v>46310</v>
      </c>
      <c r="B605" s="5" t="inlineStr">
        <is>
          <t>Tienda</t>
        </is>
      </c>
      <c r="C605" s="5" t="inlineStr">
        <is>
          <t>Intel Core i5-14400F</t>
        </is>
      </c>
      <c r="D605" s="5" t="inlineStr">
        <is>
          <t>SMART CUBE (WhatsApp)</t>
        </is>
      </c>
      <c r="E605" s="11" t="n">
        <v>3080</v>
      </c>
      <c r="F605" s="5" t="inlineStr">
        <is>
          <t>Bs</t>
        </is>
      </c>
      <c r="G605" s="5" t="inlineStr">
        <is>
          <t>nuevo sellado; llevando 2 rebajan Bs 50 c/u (Bs 3.030)</t>
        </is>
      </c>
      <c r="H605" s="2" t="n"/>
    </row>
    <row r="606">
      <c r="A606" s="15" t="n">
        <v>46310</v>
      </c>
      <c r="B606" s="5" t="inlineStr">
        <is>
          <t>Tienda</t>
        </is>
      </c>
      <c r="C606" s="5" t="inlineStr">
        <is>
          <t>RAM DDR5 16GB 6000 (Apacer NOX)</t>
        </is>
      </c>
      <c r="D606" s="5" t="inlineStr">
        <is>
          <t>SMART CUBE (WhatsApp)</t>
        </is>
      </c>
      <c r="E606" s="11" t="n">
        <v>3650</v>
      </c>
      <c r="F606" s="5" t="inlineStr">
        <is>
          <t>Bs</t>
        </is>
      </c>
      <c r="G606" s="5" t="inlineStr">
        <is>
          <t>nuevo (Apacer NOX DDR5 16GB 6000: otra marca y capacidad; solo referencia; no cuenta)</t>
        </is>
      </c>
      <c r="H606" s="2" t="n"/>
    </row>
    <row r="607">
      <c r="A607" s="15" t="n">
        <v>46310</v>
      </c>
      <c r="B607" s="5" t="inlineStr">
        <is>
          <t>Tienda</t>
        </is>
      </c>
      <c r="C607" s="5" t="inlineStr">
        <is>
          <t>RAM DDR5 16GB</t>
        </is>
      </c>
      <c r="D607" s="5" t="inlineStr">
        <is>
          <t>PC Factor (WhatsApp)</t>
        </is>
      </c>
      <c r="E607" s="11" t="n">
        <v>3792</v>
      </c>
      <c r="F607" s="5" t="inlineStr">
        <is>
          <t>Bs</t>
        </is>
      </c>
      <c r="G607" s="5" t="inlineStr">
        <is>
          <t>nuevo (USD 320 c/u a Bs 11,85; marca y velocidad por confirmar; solo referencia; no cuenta)</t>
        </is>
      </c>
      <c r="H607" s="2" t="n"/>
    </row>
    <row r="608">
      <c r="A608" s="15" t="n">
        <v>46310</v>
      </c>
      <c r="B608" s="5" t="inlineStr">
        <is>
          <t>Tienda</t>
        </is>
      </c>
      <c r="C608" s="5" t="inlineStr">
        <is>
          <t>Ryzen 5 7600</t>
        </is>
      </c>
      <c r="D608" s="5" t="inlineStr">
        <is>
          <t>OverCity (WhatsApp)</t>
        </is>
      </c>
      <c r="E608" s="11" t="n">
        <v>2800</v>
      </c>
      <c r="F608" s="5" t="inlineStr">
        <is>
          <t>Bs</t>
        </is>
      </c>
      <c r="G608" s="5" t="inlineStr">
        <is>
          <t>OEM</t>
        </is>
      </c>
      <c r="H608" s="2" t="n"/>
    </row>
    <row r="609">
      <c r="A609" s="15" t="n">
        <v>46310</v>
      </c>
      <c r="B609" s="5" t="inlineStr">
        <is>
          <t>Tienda</t>
        </is>
      </c>
      <c r="C609" s="5" t="inlineStr">
        <is>
          <t>Intel Core i5-12400F</t>
        </is>
      </c>
      <c r="D609" s="5" t="inlineStr">
        <is>
          <t>T&amp;T Todo en Tecnología (WhatsApp)</t>
        </is>
      </c>
      <c r="E609" s="11" t="n">
        <v>2260</v>
      </c>
      <c r="F609" s="5" t="inlineStr">
        <is>
          <t>Bs</t>
        </is>
      </c>
      <c r="G609" s="5" t="inlineStr">
        <is>
          <t>OEM con cooler Intel; Bs 20 menos c/u llevando 2</t>
        </is>
      </c>
      <c r="H609" s="2" t="n"/>
    </row>
    <row r="610">
      <c r="A610" s="15" t="n">
        <v>46310</v>
      </c>
      <c r="B610" s="5" t="inlineStr">
        <is>
          <t>Tienda</t>
        </is>
      </c>
      <c r="C610" s="5" t="inlineStr">
        <is>
          <t>Intel Core i5-14400F</t>
        </is>
      </c>
      <c r="D610" s="5" t="inlineStr">
        <is>
          <t>T&amp;T Todo en Tecnología (WhatsApp)</t>
        </is>
      </c>
      <c r="E610" s="11" t="n">
        <v>2750</v>
      </c>
      <c r="F610" s="5" t="inlineStr">
        <is>
          <t>Bs</t>
        </is>
      </c>
      <c r="G610" s="5" t="inlineStr">
        <is>
          <t>OEM con cooler Intel; Bs 20 menos c/u llevando 2</t>
        </is>
      </c>
      <c r="H610" s="2" t="n"/>
    </row>
    <row r="611">
      <c r="A611" s="15" t="n">
        <v>46310</v>
      </c>
      <c r="B611" s="5" t="inlineStr">
        <is>
          <t>Tienda</t>
        </is>
      </c>
      <c r="C611" s="5" t="inlineStr">
        <is>
          <t>Ryzen 7 7700X</t>
        </is>
      </c>
      <c r="D611" s="5" t="inlineStr">
        <is>
          <t>Geek Store Bolivia (WhatsApp)</t>
        </is>
      </c>
      <c r="E611" s="11" t="n">
        <v>3480</v>
      </c>
      <c r="F611" s="5" t="inlineStr">
        <is>
          <t>Bs</t>
        </is>
      </c>
      <c r="G611" s="5" t="inlineStr">
        <is>
          <t>sin confirmar si es sellado (se preguntó)</t>
        </is>
      </c>
      <c r="H611" s="2" t="n"/>
    </row>
    <row r="612">
      <c r="A612" s="15" t="n">
        <v>46310</v>
      </c>
      <c r="B612" s="5" t="inlineStr">
        <is>
          <t>Tienda</t>
        </is>
      </c>
      <c r="C612" s="5" t="inlineStr">
        <is>
          <t>Kingston Fury DDR5 16GB (1 módulo)</t>
        </is>
      </c>
      <c r="D612" s="5" t="inlineStr">
        <is>
          <t>Geek Store Bolivia (WhatsApp)</t>
        </is>
      </c>
      <c r="E612" s="11" t="n">
        <v>2900</v>
      </c>
      <c r="F612" s="5" t="inlineStr">
        <is>
          <t>Bs</t>
        </is>
      </c>
      <c r="G612" s="5" t="inlineStr">
        <is>
          <t>otra marca; velocidad por confirmar (no es la Corsair 32GB 2x16)</t>
        </is>
      </c>
      <c r="H612" s="2" t="n"/>
    </row>
    <row r="613">
      <c r="A613" s="15" t="n">
        <v>46310</v>
      </c>
      <c r="B613" s="5" t="inlineStr">
        <is>
          <t>Tienda</t>
        </is>
      </c>
      <c r="C613" s="5" t="inlineStr">
        <is>
          <t>SSD NVMe 1TB</t>
        </is>
      </c>
      <c r="D613" s="5" t="inlineStr">
        <is>
          <t>Shopping PC (catálogo PDF)</t>
        </is>
      </c>
      <c r="E613" s="11" t="n">
        <v>1754</v>
      </c>
      <c r="F613" s="5" t="inlineStr">
        <is>
          <t>Bs</t>
        </is>
      </c>
      <c r="G613" s="5" t="inlineStr">
        <is>
          <t>nuevo (Kingston NV3 1TB; lista mayorista USD 148 del 12/10, sin factura; 146 en stock)</t>
        </is>
      </c>
      <c r="H613" s="2" t="n"/>
    </row>
    <row r="614">
      <c r="A614" s="15" t="n">
        <v>46310</v>
      </c>
      <c r="B614" s="5" t="inlineStr">
        <is>
          <t>Tienda</t>
        </is>
      </c>
      <c r="C614" s="5" t="inlineStr">
        <is>
          <t>Intel Core i5-14400F</t>
        </is>
      </c>
      <c r="D614" s="5" t="inlineStr">
        <is>
          <t>Shopping PC (catálogo PDF)</t>
        </is>
      </c>
      <c r="E614" s="11" t="n">
        <v>2785</v>
      </c>
      <c r="F614" s="5" t="inlineStr">
        <is>
          <t>Bs</t>
        </is>
      </c>
      <c r="G614" s="5" t="inlineStr">
        <is>
          <t>nuevo en caja (es el i5-14400 BOX con gráficos, no el F; lista mayorista USD 235, sin factura; solo referencia; no cuenta)</t>
        </is>
      </c>
      <c r="H614" s="2" t="n"/>
    </row>
    <row r="615">
      <c r="A615" s="15" t="n">
        <v>46310</v>
      </c>
      <c r="B615" s="5" t="inlineStr">
        <is>
          <t>Tienda</t>
        </is>
      </c>
      <c r="C615" s="5" t="inlineStr">
        <is>
          <t>RAM DDR4 16GB (2x8) 3200</t>
        </is>
      </c>
      <c r="D615" s="5" t="inlineStr">
        <is>
          <t>Shopping PC (catálogo PDF)</t>
        </is>
      </c>
      <c r="E615" s="11" t="n">
        <v>1778</v>
      </c>
      <c r="F615" s="5" t="inlineStr">
        <is>
          <t>Bs</t>
        </is>
      </c>
      <c r="G615" s="5" t="inlineStr">
        <is>
          <t>nuevo (Kingston 16GB DDR4 3200, un módulo, no kit 2x8; lista mayorista USD 150; no cuenta)</t>
        </is>
      </c>
      <c r="H615" s="2" t="n"/>
    </row>
    <row r="616">
      <c r="A616" s="15" t="n">
        <v>46310</v>
      </c>
      <c r="B616" s="5" t="inlineStr">
        <is>
          <t>Tienda</t>
        </is>
      </c>
      <c r="C616" s="5" t="inlineStr">
        <is>
          <t>RAM DDR4 16GB (2x8) 3200</t>
        </is>
      </c>
      <c r="D616" s="5" t="inlineStr">
        <is>
          <t>Shopping PC (catálogo PDF)</t>
        </is>
      </c>
      <c r="E616" s="11" t="n">
        <v>1600</v>
      </c>
      <c r="F616" s="5" t="inlineStr">
        <is>
          <t>Bs</t>
        </is>
      </c>
      <c r="G616" s="5" t="inlineStr">
        <is>
          <t>nuevo (Musking Redline 16GB DDR4 3200, un módulo, no kit 2x8; lista mayorista USD 135; no cuenta)</t>
        </is>
      </c>
      <c r="H616" s="2" t="n"/>
    </row>
    <row r="617">
      <c r="A617" s="15" t="n">
        <v>46311</v>
      </c>
      <c r="B617" s="5" t="inlineStr">
        <is>
          <t>Tienda</t>
        </is>
      </c>
      <c r="C617" s="5" t="inlineStr">
        <is>
          <t>Intel Core i5-14400F</t>
        </is>
      </c>
      <c r="D617" s="5" t="inlineStr">
        <is>
          <t>Soft Computers (WhatsApp)</t>
        </is>
      </c>
      <c r="E617" s="11" t="n">
        <v>2500</v>
      </c>
      <c r="F617" s="5" t="inlineStr">
        <is>
          <t>Bs</t>
        </is>
      </c>
      <c r="G617" s="5" t="inlineStr">
        <is>
          <t>nuevo OEM; mismo precio por unidad llevando 2</t>
        </is>
      </c>
      <c r="H617" s="2" t="n"/>
    </row>
    <row r="618">
      <c r="A618" s="15" t="n">
        <v>46311</v>
      </c>
      <c r="B618" s="5" t="inlineStr">
        <is>
          <t>Marketplace</t>
        </is>
      </c>
      <c r="C618" s="5" t="inlineStr">
        <is>
          <t>SSD NVMe 1TB</t>
        </is>
      </c>
      <c r="D618" s="5" t="inlineStr">
        <is>
          <t>Marketplace Cochabamba</t>
        </is>
      </c>
      <c r="E618" s="11" t="n">
        <v>1730</v>
      </c>
      <c r="F618" s="5" t="inlineStr">
        <is>
          <t>Bs</t>
        </is>
      </c>
      <c r="G618" s="5" t="inlineStr">
        <is>
          <t>nuevo (M.2 1TB, marca no indicada; publicado hace 2 días)</t>
        </is>
      </c>
      <c r="H618" s="6" t="inlineStr">
        <is>
          <t>ver</t>
        </is>
      </c>
    </row>
    <row r="619">
      <c r="A619" s="15" t="n">
        <v>46311</v>
      </c>
      <c r="B619" s="5" t="inlineStr">
        <is>
          <t>Tienda</t>
        </is>
      </c>
      <c r="C619" s="5" t="inlineStr">
        <is>
          <t>Intel Core i5-14400F</t>
        </is>
      </c>
      <c r="D619" s="5" t="inlineStr">
        <is>
          <t>Cyrex Store (web)</t>
        </is>
      </c>
      <c r="E619" s="11" t="n">
        <v>2384</v>
      </c>
      <c r="F619" s="5" t="inlineStr">
        <is>
          <t>Bs</t>
        </is>
      </c>
      <c r="G619" s="5" t="inlineStr">
        <is>
          <t>nuevo OEM (web: USD 202 a la tasa de la tienda, 11,80; hay otra publicación del mismo a USD 215)</t>
        </is>
      </c>
      <c r="H619" s="6" t="inlineStr">
        <is>
          <t>ver</t>
        </is>
      </c>
    </row>
    <row r="620">
      <c r="A620" s="15" t="n">
        <v>46311</v>
      </c>
      <c r="B620" s="5" t="inlineStr">
        <is>
          <t>Tienda</t>
        </is>
      </c>
      <c r="C620" s="5" t="inlineStr">
        <is>
          <t>Ryzen 7 7800X3D</t>
        </is>
      </c>
      <c r="D620" s="5" t="inlineStr">
        <is>
          <t>Cyrex Store (web)</t>
        </is>
      </c>
      <c r="E620" s="11" t="n">
        <v>5664</v>
      </c>
      <c r="F620" s="5" t="inlineStr">
        <is>
          <t>Bs</t>
        </is>
      </c>
      <c r="G620" s="5" t="inlineStr">
        <is>
          <t>nuevo BOX (web: USD 480 a 11,80)</t>
        </is>
      </c>
      <c r="H620" s="6" t="inlineStr">
        <is>
          <t>ver</t>
        </is>
      </c>
    </row>
    <row r="621">
      <c r="A621" s="15" t="n">
        <v>46311</v>
      </c>
      <c r="B621" s="5" t="inlineStr">
        <is>
          <t>Tienda</t>
        </is>
      </c>
      <c r="C621" s="5" t="inlineStr">
        <is>
          <t>Intel Core i5-13400</t>
        </is>
      </c>
      <c r="D621" s="5" t="inlineStr">
        <is>
          <t>Cyrex Store (web)</t>
        </is>
      </c>
      <c r="E621" s="11" t="n">
        <v>2218</v>
      </c>
      <c r="F621" s="5" t="inlineStr">
        <is>
          <t>Bs</t>
        </is>
      </c>
      <c r="G621" s="5" t="inlineStr">
        <is>
          <t>nuevo OEM (web: es el i5-13400F, sin gráficos; USD 188 a 11,80; solo referencia; no cuenta)</t>
        </is>
      </c>
      <c r="H621" s="6" t="inlineStr">
        <is>
          <t>ver</t>
        </is>
      </c>
    </row>
    <row r="622">
      <c r="A622" s="15" t="n">
        <v>46311</v>
      </c>
      <c r="B622" s="5" t="inlineStr">
        <is>
          <t>Tienda</t>
        </is>
      </c>
      <c r="C622" s="5" t="inlineStr">
        <is>
          <t>Ryzen 5 7600</t>
        </is>
      </c>
      <c r="D622" s="5" t="inlineStr">
        <is>
          <t>Punto Tecnológico (WhatsApp)</t>
        </is>
      </c>
      <c r="E622" s="11" t="n">
        <v>2850</v>
      </c>
      <c r="F622" s="5" t="inlineStr">
        <is>
          <t>Bs</t>
        </is>
      </c>
      <c r="G622" s="5" t="inlineStr">
        <is>
          <t>nuevo OEM, garantía 6 meses (cotización por WhatsApp)</t>
        </is>
      </c>
      <c r="H622" s="2" t="n"/>
    </row>
    <row r="623">
      <c r="A623" s="15" t="n">
        <v>46311</v>
      </c>
      <c r="B623" s="5" t="inlineStr">
        <is>
          <t>Tienda</t>
        </is>
      </c>
      <c r="C623" s="5" t="inlineStr">
        <is>
          <t>Corsair Vengeance RGB DDR5 32GB (2x16) 6000</t>
        </is>
      </c>
      <c r="D623" s="5" t="inlineStr">
        <is>
          <t>Punto Tecnológico (WhatsApp)</t>
        </is>
      </c>
      <c r="E623" s="11" t="n">
        <v>5960</v>
      </c>
      <c r="F623" s="5" t="inlineStr">
        <is>
          <t>Bs</t>
        </is>
      </c>
      <c r="G623" s="5" t="inlineStr">
        <is>
          <t>otra marca (Nox Tuf 32GB 2x16, velocidad sin dato); solo referencia; no cuenta</t>
        </is>
      </c>
      <c r="H623" s="2" t="n"/>
    </row>
    <row r="624">
      <c r="A624" s="15" t="n">
        <v>46311</v>
      </c>
      <c r="B624" s="5" t="inlineStr">
        <is>
          <t>Tienda</t>
        </is>
      </c>
      <c r="C624" s="5" t="inlineStr">
        <is>
          <t>Ryzen 5 7600</t>
        </is>
      </c>
      <c r="D624" s="5" t="inlineStr">
        <is>
          <t>Gamer Store Cbba (WhatsApp)</t>
        </is>
      </c>
      <c r="E624" s="11" t="n">
        <v>2067</v>
      </c>
      <c r="F624" s="5" t="inlineStr">
        <is>
          <t>Bs</t>
        </is>
      </c>
      <c r="G624" s="5" t="inlineStr">
        <is>
          <t>nuevo (es el 7600X; USD 175 a 11,81; solo referencia; no cuenta)</t>
        </is>
      </c>
      <c r="H624" s="2" t="n"/>
    </row>
    <row r="625">
      <c r="A625" s="15" t="n">
        <v>46312</v>
      </c>
      <c r="B625" s="5" t="inlineStr">
        <is>
          <t>Marketplace</t>
        </is>
      </c>
      <c r="C625" s="5" t="inlineStr">
        <is>
          <t>SSD NVMe 1TB</t>
        </is>
      </c>
      <c r="D625" s="5" t="inlineStr">
        <is>
          <t>Marketplace Cochabamba (particular)</t>
        </is>
      </c>
      <c r="E625" s="11" t="n">
        <v>1230</v>
      </c>
      <c r="F625" s="5" t="inlineStr">
        <is>
          <t>Bs</t>
        </is>
      </c>
      <c r="G625" s="5" t="inlineStr">
        <is>
          <t>nuevo (antes Bs 1.730; marca sin dato)</t>
        </is>
      </c>
      <c r="H625" s="6" t="inlineStr">
        <is>
          <t>ver</t>
        </is>
      </c>
    </row>
    <row r="626">
      <c r="A626" s="15" t="n">
        <v>46312</v>
      </c>
      <c r="B626" s="5" t="inlineStr">
        <is>
          <t>Marketplace</t>
        </is>
      </c>
      <c r="C626" s="5" t="inlineStr">
        <is>
          <t>SSD NVMe 1TB</t>
        </is>
      </c>
      <c r="D626" s="5" t="inlineStr">
        <is>
          <t>Marketplace Cochabamba (particular)</t>
        </is>
      </c>
      <c r="E626" s="11" t="n">
        <v>1500</v>
      </c>
      <c r="F626" s="5" t="inlineStr">
        <is>
          <t>Bs</t>
        </is>
      </c>
      <c r="G626" s="5" t="inlineStr">
        <is>
          <t>sin dato de estado ni marca (recién publicado)</t>
        </is>
      </c>
      <c r="H626" s="6" t="inlineStr">
        <is>
          <t>ver</t>
        </is>
      </c>
    </row>
    <row r="627">
      <c r="A627" s="15" t="n">
        <v>46312</v>
      </c>
      <c r="B627" s="5" t="inlineStr">
        <is>
          <t>Marketplace</t>
        </is>
      </c>
      <c r="C627" s="5" t="inlineStr">
        <is>
          <t>SSD NVMe 1TB</t>
        </is>
      </c>
      <c r="D627" s="5" t="inlineStr">
        <is>
          <t>Marketplace Cochabamba (particular)</t>
        </is>
      </c>
      <c r="E627" s="11" t="n">
        <v>1850</v>
      </c>
      <c r="F627" s="5" t="inlineStr">
        <is>
          <t>Bs</t>
        </is>
      </c>
      <c r="G627" s="5" t="inlineStr">
        <is>
          <t>Kingston NV3 1TB (estado sin dato)</t>
        </is>
      </c>
      <c r="H627" s="6" t="inlineStr">
        <is>
          <t>ver</t>
        </is>
      </c>
    </row>
    <row r="628">
      <c r="A628" s="15" t="n">
        <v>46310</v>
      </c>
      <c r="B628" s="5" t="inlineStr">
        <is>
          <t>Tienda</t>
        </is>
      </c>
      <c r="C628" s="5" t="inlineStr">
        <is>
          <t>SSD NVMe 2TB</t>
        </is>
      </c>
      <c r="D628" s="5" t="inlineStr">
        <is>
          <t>Shopping PC (catálogo PDF)</t>
        </is>
      </c>
      <c r="E628" s="11" t="n">
        <v>2726</v>
      </c>
      <c r="F628" s="5" t="inlineStr">
        <is>
          <t>Bs</t>
        </is>
      </c>
      <c r="G628" s="5" t="inlineStr">
        <is>
          <t>no cuenta: otro modelo (Crucial BX500 2TB es SATA, no NVMe; nuevo; lista mayorista USD 230 × 11,85 del 12/10, sin factura; 35 en stock; garantía solo de prueba; solo referencia)</t>
        </is>
      </c>
      <c r="H628" s="2" t="n"/>
    </row>
    <row r="629">
      <c r="A629" s="15" t="n">
        <v>46314</v>
      </c>
      <c r="B629" s="5" t="inlineStr">
        <is>
          <t>Marketplace</t>
        </is>
      </c>
      <c r="C629" s="5" t="inlineStr">
        <is>
          <t>Ryzen 5 5600</t>
        </is>
      </c>
      <c r="D629" s="5" t="inlineStr">
        <is>
          <t>Marketplace Cochabamba (particular)</t>
        </is>
      </c>
      <c r="E629" s="11" t="n">
        <v>1800</v>
      </c>
      <c r="F629" s="5" t="inlineStr">
        <is>
          <t>Bs</t>
        </is>
      </c>
      <c r="G629" s="5" t="inlineStr">
        <is>
          <t>no cuenta: otro modelo (es 5600X, solo procesador, recién publicado)</t>
        </is>
      </c>
      <c r="H629" s="6" t="inlineStr">
        <is>
          <t>ver</t>
        </is>
      </c>
    </row>
    <row r="630">
      <c r="A630" s="15" t="n">
        <v>46314</v>
      </c>
      <c r="B630" s="5" t="inlineStr">
        <is>
          <t>Marketplace</t>
        </is>
      </c>
      <c r="C630" s="5" t="inlineStr">
        <is>
          <t>Intel Core i5-13400</t>
        </is>
      </c>
      <c r="D630" s="5" t="inlineStr">
        <is>
          <t>Marketplace Cochabamba (particular)</t>
        </is>
      </c>
      <c r="E630" s="11" t="n">
        <v>1800</v>
      </c>
      <c r="F630" s="5" t="inlineStr">
        <is>
          <t>Bs</t>
        </is>
      </c>
      <c r="G630" s="5" t="inlineStr">
        <is>
          <t>no cuenta: otro modelo (i5-13400F, precio fijo)</t>
        </is>
      </c>
      <c r="H630" s="6" t="inlineStr">
        <is>
          <t>ver</t>
        </is>
      </c>
    </row>
    <row r="631">
      <c r="A631" s="15" t="n">
        <v>46314</v>
      </c>
      <c r="B631" s="5" t="inlineStr">
        <is>
          <t>Marketplace</t>
        </is>
      </c>
      <c r="C631" s="5" t="inlineStr">
        <is>
          <t>Intel Core i5-14400F</t>
        </is>
      </c>
      <c r="D631" s="5" t="inlineStr">
        <is>
          <t>Marketplace Cochabamba (particular)</t>
        </is>
      </c>
      <c r="E631" s="11" t="n">
        <v>2600</v>
      </c>
      <c r="F631" s="5" t="inlineStr">
        <is>
          <t>Bs</t>
        </is>
      </c>
      <c r="G631" s="5" t="inlineStr">
        <is>
          <t>no cuenta: otro modelo (i5-14400 sin F)</t>
        </is>
      </c>
      <c r="H631" s="6" t="inlineStr">
        <is>
          <t>ver</t>
        </is>
      </c>
    </row>
    <row r="632">
      <c r="A632" s="15" t="n">
        <v>46314</v>
      </c>
      <c r="B632" s="5" t="inlineStr">
        <is>
          <t>Marketplace</t>
        </is>
      </c>
      <c r="C632" s="5" t="inlineStr">
        <is>
          <t>Corsair Vengeance RGB DDR5 32GB (2x16) 6000</t>
        </is>
      </c>
      <c r="D632" s="5" t="inlineStr">
        <is>
          <t>Marketplace Cochabamba (particular)</t>
        </is>
      </c>
      <c r="E632" s="11" t="n">
        <v>5800</v>
      </c>
      <c r="F632" s="5" t="inlineStr">
        <is>
          <t>Bs</t>
        </is>
      </c>
      <c r="G632" s="5" t="inlineStr">
        <is>
          <t>Corsair Vengeance RGB 2x16 6000 MHz (estado sin dato)</t>
        </is>
      </c>
      <c r="H632" s="6" t="inlineStr">
        <is>
          <t>ver</t>
        </is>
      </c>
    </row>
    <row r="633">
      <c r="A633" s="15" t="n">
        <v>46314</v>
      </c>
      <c r="B633" s="5" t="inlineStr">
        <is>
          <t>Marketplace</t>
        </is>
      </c>
      <c r="C633" s="5" t="inlineStr">
        <is>
          <t>SSD NVMe 1TB</t>
        </is>
      </c>
      <c r="D633" s="5" t="inlineStr">
        <is>
          <t>Marketplace Cochabamba (particular)</t>
        </is>
      </c>
      <c r="E633" s="11" t="n">
        <v>2500</v>
      </c>
      <c r="F633" s="5" t="inlineStr">
        <is>
          <t>Bs</t>
        </is>
      </c>
      <c r="G633" s="5" t="inlineStr">
        <is>
          <t>Lexar NM790 1TB con disipador (estado sin dato)</t>
        </is>
      </c>
      <c r="H633" s="6" t="inlineStr">
        <is>
          <t>ver</t>
        </is>
      </c>
    </row>
    <row r="634">
      <c r="A634" s="15" t="n">
        <v>46314</v>
      </c>
      <c r="B634" s="5" t="inlineStr">
        <is>
          <t>Marketplace</t>
        </is>
      </c>
      <c r="C634" s="5" t="inlineStr">
        <is>
          <t>SSD NVMe 1TB</t>
        </is>
      </c>
      <c r="D634" s="5" t="inlineStr">
        <is>
          <t>Marketplace Cochabamba (particular)</t>
        </is>
      </c>
      <c r="E634" s="11" t="n">
        <v>2050</v>
      </c>
      <c r="F634" s="5" t="inlineStr">
        <is>
          <t>Bs</t>
        </is>
      </c>
      <c r="G634" s="5" t="inlineStr">
        <is>
          <t>WD Green SN3000 1TB (estado sin dato)</t>
        </is>
      </c>
      <c r="H634" s="6" t="inlineStr">
        <is>
          <t>ver</t>
        </is>
      </c>
    </row>
    <row r="635">
      <c r="A635" s="15" t="n">
        <v>46314</v>
      </c>
      <c r="B635" s="5" t="inlineStr">
        <is>
          <t>Tienda</t>
        </is>
      </c>
      <c r="C635" s="5" t="inlineStr">
        <is>
          <t>Ryzen 5 7600</t>
        </is>
      </c>
      <c r="D635" s="5" t="inlineStr">
        <is>
          <t>OverCity (WhatsApp)</t>
        </is>
      </c>
      <c r="E635" s="11" t="n">
        <v>2800</v>
      </c>
      <c r="F635" s="5" t="inlineStr">
        <is>
          <t>Bs</t>
        </is>
      </c>
      <c r="G635" s="5" t="inlineStr">
        <is>
          <t>nuevo OEM (reconfirmado 16:09)</t>
        </is>
      </c>
      <c r="H635" s="2" t="n"/>
    </row>
    <row r="636">
      <c r="A636" s="15" t="n">
        <v>46314</v>
      </c>
      <c r="B636" s="5" t="inlineStr">
        <is>
          <t>Tienda</t>
        </is>
      </c>
      <c r="C636" s="5" t="inlineStr">
        <is>
          <t>Intel Core Ultra 7 265K</t>
        </is>
      </c>
      <c r="D636" s="5" t="inlineStr">
        <is>
          <t>OverCity (WhatsApp)</t>
        </is>
      </c>
      <c r="E636" s="11" t="n">
        <v>4100</v>
      </c>
      <c r="F636" s="5" t="inlineStr">
        <is>
          <t>Bs</t>
        </is>
      </c>
      <c r="G636" s="5" t="inlineStr">
        <is>
          <t>nuevo OEM</t>
        </is>
      </c>
      <c r="H636" s="2" t="n"/>
    </row>
    <row r="637">
      <c r="A637" s="15" t="n">
        <v>46315</v>
      </c>
      <c r="B637" s="5" t="inlineStr">
        <is>
          <t>Marketplace</t>
        </is>
      </c>
      <c r="C637" s="5" t="inlineStr">
        <is>
          <t>Ryzen 7 7800X3D</t>
        </is>
      </c>
      <c r="D637" s="5" t="inlineStr">
        <is>
          <t>Marketplace Cochabamba (particular)</t>
        </is>
      </c>
      <c r="E637" s="11" t="n">
        <v>5190</v>
      </c>
      <c r="F637" s="5" t="inlineStr">
        <is>
          <t>Bs</t>
        </is>
      </c>
      <c r="G637" s="5" t="inlineStr">
        <is>
          <t>no cuenta: anuncio viejo (nuevo; publicado hace 13 semanas)</t>
        </is>
      </c>
      <c r="H637" s="6" t="inlineStr">
        <is>
          <t>ver</t>
        </is>
      </c>
    </row>
    <row r="638">
      <c r="A638" s="15" t="n">
        <v>46315</v>
      </c>
      <c r="B638" s="5" t="inlineStr">
        <is>
          <t>Marketplace</t>
        </is>
      </c>
      <c r="C638" s="5" t="inlineStr">
        <is>
          <t>Ryzen 7 7800X3D</t>
        </is>
      </c>
      <c r="D638" s="5" t="inlineStr">
        <is>
          <t>Marketplace Cochabamba (particular)</t>
        </is>
      </c>
      <c r="E638" s="11" t="n">
        <v>5390</v>
      </c>
      <c r="F638" s="5" t="inlineStr">
        <is>
          <t>Bs</t>
        </is>
      </c>
      <c r="G638" s="5" t="inlineStr">
        <is>
          <t>nuevo (anuncio 'El mejor para Gaming'; disponible)</t>
        </is>
      </c>
      <c r="H638" s="6" t="inlineStr">
        <is>
          <t>ver</t>
        </is>
      </c>
    </row>
    <row r="639">
      <c r="A639" s="15" t="n">
        <v>46315</v>
      </c>
      <c r="B639" s="5" t="inlineStr">
        <is>
          <t>Marketplace</t>
        </is>
      </c>
      <c r="C639" s="5" t="inlineStr">
        <is>
          <t>Intel Core Ultra 7 265K</t>
        </is>
      </c>
      <c r="D639" s="5" t="inlineStr">
        <is>
          <t>Marketplace La Paz (particular)</t>
        </is>
      </c>
      <c r="E639" s="11" t="n">
        <v>3950</v>
      </c>
      <c r="F639" s="5" t="inlineStr">
        <is>
          <t>Bs</t>
        </is>
      </c>
      <c r="G639" s="5" t="inlineStr">
        <is>
          <t>no cuenta: otra ciudad (La Paz; nuevo)</t>
        </is>
      </c>
      <c r="H639" s="2" t="n"/>
    </row>
    <row r="640">
      <c r="A640" s="15" t="n">
        <v>46315</v>
      </c>
      <c r="B640" s="5" t="inlineStr">
        <is>
          <t>Marketplace</t>
        </is>
      </c>
      <c r="C640" s="5" t="inlineStr">
        <is>
          <t>RAM DDR4 16GB (2x8) 3200</t>
        </is>
      </c>
      <c r="D640" s="5" t="inlineStr">
        <is>
          <t>Marketplace Cochabamba (particular)</t>
        </is>
      </c>
      <c r="E640" s="11" t="n">
        <v>1400</v>
      </c>
      <c r="F640" s="5" t="inlineStr">
        <is>
          <t>Bs</t>
        </is>
      </c>
      <c r="G640" s="5" t="inlineStr">
        <is>
          <t>2x8 = 16GB (marca y frecuencia sin dato; antes Bs 1.600; vuelve a aparecer)</t>
        </is>
      </c>
      <c r="H640" s="2" t="n"/>
    </row>
    <row r="641">
      <c r="A641" s="15" t="n">
        <v>46315</v>
      </c>
      <c r="B641" s="5" t="inlineStr">
        <is>
          <t>Marketplace</t>
        </is>
      </c>
      <c r="C641" s="5" t="inlineStr">
        <is>
          <t>Ryzen 7 7700X</t>
        </is>
      </c>
      <c r="D641" s="5" t="inlineStr">
        <is>
          <t>Marketplace Cochabamba (particular)</t>
        </is>
      </c>
      <c r="E641" s="11" t="n">
        <v>3000</v>
      </c>
      <c r="F641" s="5" t="inlineStr">
        <is>
          <t>Bs</t>
        </is>
      </c>
      <c r="G641" s="5" t="inlineStr">
        <is>
          <t>no cuenta: anuncio viejo (~7 semanas; nuevo (el anuncio dice "nuevo; se hacen pruebas si desconfía"; antes Bs 3.200))</t>
        </is>
      </c>
      <c r="H641" s="6" t="inlineStr">
        <is>
          <t>ver</t>
        </is>
      </c>
    </row>
    <row r="642">
      <c r="A642" s="15" t="n">
        <v>46315</v>
      </c>
      <c r="B642" s="5" t="inlineStr">
        <is>
          <t>Marketplace</t>
        </is>
      </c>
      <c r="C642" s="5" t="inlineStr">
        <is>
          <t>Ryzen 7 7700X</t>
        </is>
      </c>
      <c r="D642" s="5" t="inlineStr">
        <is>
          <t>Marketplace Cochabamba (particular)</t>
        </is>
      </c>
      <c r="E642" s="11" t="n">
        <v>4000</v>
      </c>
      <c r="F642" s="5" t="inlineStr">
        <is>
          <t>Bs</t>
        </is>
      </c>
      <c r="G642" s="5" t="inlineStr">
        <is>
          <t>sellado</t>
        </is>
      </c>
      <c r="H642" s="6" t="inlineStr">
        <is>
          <t>ver</t>
        </is>
      </c>
    </row>
    <row r="643">
      <c r="A643" s="15" t="n">
        <v>46315</v>
      </c>
      <c r="B643" s="5" t="inlineStr">
        <is>
          <t>Marketplace</t>
        </is>
      </c>
      <c r="C643" s="5" t="inlineStr">
        <is>
          <t>Ryzen 7 7700X</t>
        </is>
      </c>
      <c r="D643" s="5" t="inlineStr">
        <is>
          <t>Marketplace La Paz (particular o tienda sin confirmar)</t>
        </is>
      </c>
      <c r="E643" s="11" t="n">
        <v>2800</v>
      </c>
      <c r="F643" s="5" t="inlineStr">
        <is>
          <t>Bs</t>
        </is>
      </c>
      <c r="G643" s="5" t="inlineStr">
        <is>
          <t>no cuenta: otra ciudad (La Paz; nuevo OEM)</t>
        </is>
      </c>
      <c r="H643" s="6" t="inlineStr">
        <is>
          <t>ver</t>
        </is>
      </c>
    </row>
    <row r="644">
      <c r="A644" s="15" t="n">
        <v>46315</v>
      </c>
      <c r="B644" s="5" t="inlineStr">
        <is>
          <t>Marketplace</t>
        </is>
      </c>
      <c r="C644" s="5" t="inlineStr">
        <is>
          <t>Ryzen 7 7700X</t>
        </is>
      </c>
      <c r="D644" s="5" t="inlineStr">
        <is>
          <t>Marketplace La Paz (particular o tienda sin confirmar)</t>
        </is>
      </c>
      <c r="E644" s="11" t="n">
        <v>3450</v>
      </c>
      <c r="F644" s="5" t="inlineStr">
        <is>
          <t>Bs</t>
        </is>
      </c>
      <c r="G644" s="5" t="inlineStr">
        <is>
          <t>no cuenta: otra ciudad (La Paz; nuevo sellado)</t>
        </is>
      </c>
      <c r="H644" s="6" t="inlineStr">
        <is>
          <t>ver</t>
        </is>
      </c>
    </row>
    <row r="645">
      <c r="A645" s="15" t="n">
        <v>46315</v>
      </c>
      <c r="B645" s="5" t="inlineStr">
        <is>
          <t>Tienda</t>
        </is>
      </c>
      <c r="C645" s="5" t="inlineStr">
        <is>
          <t>Ryzen 7 7700X</t>
        </is>
      </c>
      <c r="D645" s="5" t="inlineStr">
        <is>
          <t>Cyrex Store (web)</t>
        </is>
      </c>
      <c r="E645" s="11" t="n">
        <v>3667</v>
      </c>
      <c r="F645" s="5" t="inlineStr">
        <is>
          <t>Bs</t>
        </is>
      </c>
      <c r="G645" s="5" t="inlineStr">
        <is>
          <t>nuevo BOX sellado (sin cooler)</t>
        </is>
      </c>
      <c r="H645" s="6" t="inlineStr">
        <is>
          <t>ver</t>
        </is>
      </c>
    </row>
    <row r="646">
      <c r="A646" s="15" t="n">
        <v>46316</v>
      </c>
      <c r="B646" s="5" t="inlineStr">
        <is>
          <t>Tienda</t>
        </is>
      </c>
      <c r="C646" s="5" t="inlineStr">
        <is>
          <t>Ryzen 7 7700X</t>
        </is>
      </c>
      <c r="D646" s="5" t="inlineStr">
        <is>
          <t>Geek Store Bolivia (WhatsApp)</t>
        </is>
      </c>
      <c r="E646" s="11" t="n">
        <v>3480</v>
      </c>
      <c r="F646" s="5" t="inlineStr">
        <is>
          <t>Bs</t>
        </is>
      </c>
      <c r="G646" s="5" t="inlineStr">
        <is>
          <t>nuevo sellado (caja)</t>
        </is>
      </c>
      <c r="H646" s="2" t="n"/>
    </row>
    <row r="647">
      <c r="A647" s="15" t="n">
        <v>46316</v>
      </c>
      <c r="B647" s="5" t="inlineStr">
        <is>
          <t>Marketplace</t>
        </is>
      </c>
      <c r="C647" s="5" t="inlineStr">
        <is>
          <t>Intel Core i5-12400F</t>
        </is>
      </c>
      <c r="D647" s="5" t="inlineStr">
        <is>
          <t>Marketplace Cochabamba (particular)</t>
        </is>
      </c>
      <c r="E647" s="11" t="n">
        <v>2350</v>
      </c>
      <c r="F647" s="5" t="inlineStr">
        <is>
          <t>Bs</t>
        </is>
      </c>
      <c r="G647" s="5" t="inlineStr">
        <is>
          <t>OEM (anuncio "Procesador CPU i5 12400f OEM"; estado sin dato)</t>
        </is>
      </c>
      <c r="H647" s="2" t="n"/>
    </row>
    <row r="648">
      <c r="A648" s="15" t="n">
        <v>46316</v>
      </c>
      <c r="B648" s="5" t="inlineStr">
        <is>
          <t>Marketplace</t>
        </is>
      </c>
      <c r="C648" s="5" t="inlineStr">
        <is>
          <t>Corsair Vengeance RGB DDR5 32GB (2x16) 6000</t>
        </is>
      </c>
      <c r="D648" s="5" t="inlineStr">
        <is>
          <t>Marketplace Cochabamba (particular)</t>
        </is>
      </c>
      <c r="E648" s="11" t="n">
        <v>6200</v>
      </c>
      <c r="F648" s="5" t="inlineStr">
        <is>
          <t>Bs</t>
        </is>
      </c>
      <c r="G648" s="5" t="inlineStr">
        <is>
          <t>Corsair Vengeance RGB RS 2x16 6000 MHz ("última unidad"; estado sin dato)</t>
        </is>
      </c>
      <c r="H648" s="2" t="n"/>
    </row>
    <row r="649">
      <c r="A649" s="15" t="n">
        <v>46316</v>
      </c>
      <c r="B649" s="5" t="inlineStr">
        <is>
          <t>Marketplace</t>
        </is>
      </c>
      <c r="C649" s="5" t="inlineStr">
        <is>
          <t>Ryzen 7 7800X3D</t>
        </is>
      </c>
      <c r="D649" s="5" t="inlineStr">
        <is>
          <t>Marketplace Cochabamba (tienda sin confirmar)</t>
        </is>
      </c>
      <c r="E649" s="11" t="n">
        <v>4860</v>
      </c>
      <c r="F649" s="5" t="inlineStr">
        <is>
          <t>Bs</t>
        </is>
      </c>
      <c r="G649" s="5" t="inlineStr">
        <is>
          <t>nuevo (anuncio multi-modelo "9800X3D, 7800X3D, 8700G"; precio desde)</t>
        </is>
      </c>
      <c r="H649" s="2" t="n"/>
    </row>
    <row r="650">
      <c r="A650" s="15" t="n">
        <v>46316</v>
      </c>
      <c r="B650" s="5" t="inlineStr">
        <is>
          <t>Marketplace</t>
        </is>
      </c>
      <c r="C650" s="5" t="inlineStr">
        <is>
          <t>SSD NVMe 1TB</t>
        </is>
      </c>
      <c r="D650" s="5" t="inlineStr">
        <is>
          <t>Marketplace Cochabamba (particular)</t>
        </is>
      </c>
      <c r="E650" s="11" t="n">
        <v>1700</v>
      </c>
      <c r="F650" s="5" t="inlineStr">
        <is>
          <t>Bs</t>
        </is>
      </c>
      <c r="G650" s="5" t="inlineStr">
        <is>
          <t>Kingston NV2 NVMe 1TB (estado sin dato; recién publicado)</t>
        </is>
      </c>
      <c r="H650" s="2" t="n"/>
    </row>
    <row r="651">
      <c r="A651" s="15" t="n">
        <v>46316</v>
      </c>
      <c r="B651" s="5" t="inlineStr">
        <is>
          <t>Marketplace</t>
        </is>
      </c>
      <c r="C651" s="5" t="inlineStr">
        <is>
          <t>SSD NVMe 1TB</t>
        </is>
      </c>
      <c r="D651" s="5" t="inlineStr">
        <is>
          <t>Marketplace Cochabamba (particular)</t>
        </is>
      </c>
      <c r="E651" s="11" t="n">
        <v>3050</v>
      </c>
      <c r="F651" s="5" t="inlineStr">
        <is>
          <t>Bs</t>
        </is>
      </c>
      <c r="G651" s="5" t="inlineStr">
        <is>
          <t>Samsung 9100 PRO 1TB PCIe 5.0 (gama alta; estado sin dato)</t>
        </is>
      </c>
      <c r="H651" s="2" t="n"/>
    </row>
    <row r="652">
      <c r="A652" s="15" t="n">
        <v>46316</v>
      </c>
      <c r="B652" s="5" t="inlineStr">
        <is>
          <t>Tienda</t>
        </is>
      </c>
      <c r="C652" s="5" t="inlineStr">
        <is>
          <t>Ryzen 7 7800X3D</t>
        </is>
      </c>
      <c r="D652" s="5" t="inlineStr">
        <is>
          <t>ADN Gamer Store (WhatsApp)</t>
        </is>
      </c>
      <c r="E652" s="11" t="n">
        <v>6193</v>
      </c>
      <c r="F652" s="5" t="inlineStr">
        <is>
          <t>Bs</t>
        </is>
      </c>
      <c r="G652" s="5" t="inlineStr">
        <is>
          <t>nuevo (estado y garantía sin confirmar; se preguntó)</t>
        </is>
      </c>
      <c r="H652" s="2" t="n"/>
    </row>
    <row r="653">
      <c r="A653" s="15" t="n">
        <v>46316</v>
      </c>
      <c r="B653" s="5" t="inlineStr">
        <is>
          <t>Tienda</t>
        </is>
      </c>
      <c r="C653" s="5" t="inlineStr">
        <is>
          <t>Ryzen 5 7600</t>
        </is>
      </c>
      <c r="D653" s="5" t="inlineStr">
        <is>
          <t>ADN Gamer Store (WhatsApp)</t>
        </is>
      </c>
      <c r="E653" s="11" t="n">
        <v>2918</v>
      </c>
      <c r="F653" s="5" t="inlineStr">
        <is>
          <t>Bs</t>
        </is>
      </c>
      <c r="G653" s="5" t="inlineStr">
        <is>
          <t>nuevo (es el 7600X, no el 7600; USD 245 × 11,91; solo referencia; no cuenta)</t>
        </is>
      </c>
      <c r="H653" s="2" t="n"/>
    </row>
    <row r="654">
      <c r="A654" s="15" t="n">
        <v>46317</v>
      </c>
      <c r="B654" s="5" t="inlineStr">
        <is>
          <t>Marketplace</t>
        </is>
      </c>
      <c r="C654" s="5" t="inlineStr">
        <is>
          <t>Ryzen 7 7700X</t>
        </is>
      </c>
      <c r="D654" s="5" t="inlineStr">
        <is>
          <t>Marketplace Cochabamba (particular)</t>
        </is>
      </c>
      <c r="E654" s="11" t="n">
        <v>3100</v>
      </c>
      <c r="F654" s="5" t="inlineStr">
        <is>
          <t>Bs</t>
        </is>
      </c>
      <c r="G654" s="5" t="inlineStr">
        <is>
          <t>estado sin dato (antes Bs 3.500 tachado; puede ser el mismo anuncio de Bs 3.000 de ayer con otro precio)</t>
        </is>
      </c>
      <c r="H654" s="6" t="inlineStr">
        <is>
          <t>ver</t>
        </is>
      </c>
    </row>
    <row r="655">
      <c r="A655" s="15" t="n">
        <v>46317</v>
      </c>
      <c r="B655" s="5" t="inlineStr">
        <is>
          <t>Marketplace</t>
        </is>
      </c>
      <c r="C655" s="5" t="inlineStr">
        <is>
          <t>RAM DDR4 16GB (2x8) 3200</t>
        </is>
      </c>
      <c r="D655" s="5" t="inlineStr">
        <is>
          <t>Marketplace Cochabamba (particular)</t>
        </is>
      </c>
      <c r="E655" s="11" t="n">
        <v>600</v>
      </c>
      <c r="F655" s="5" t="inlineStr">
        <is>
          <t>Bs</t>
        </is>
      </c>
      <c r="G655" s="5" t="inlineStr">
        <is>
          <t>estado sin dato (2x8 16GB; recién publicado)</t>
        </is>
      </c>
      <c r="H655" s="6" t="inlineStr">
        <is>
          <t>ver</t>
        </is>
      </c>
    </row>
    <row r="656">
      <c r="A656" s="15" t="n">
        <v>46317</v>
      </c>
      <c r="B656" s="5" t="inlineStr">
        <is>
          <t>Marketplace</t>
        </is>
      </c>
      <c r="C656" s="5" t="inlineStr">
        <is>
          <t>RAM DDR4 16GB (2x8) 3200</t>
        </is>
      </c>
      <c r="D656" s="5" t="inlineStr">
        <is>
          <t>Marketplace Cochabamba (particular)</t>
        </is>
      </c>
      <c r="E656" s="11" t="n">
        <v>540</v>
      </c>
      <c r="F656" s="5" t="inlineStr">
        <is>
          <t>Bs</t>
        </is>
      </c>
      <c r="G656" s="5" t="inlineStr">
        <is>
          <t>estado sin dato (Kingston Fury Beast RGB 16GB 3200; no queda claro si es 2x8 o un módulo)</t>
        </is>
      </c>
      <c r="H656" s="6" t="inlineStr">
        <is>
          <t>ver</t>
        </is>
      </c>
    </row>
    <row r="657">
      <c r="A657" s="15" t="n">
        <v>46317</v>
      </c>
      <c r="B657" s="5" t="inlineStr">
        <is>
          <t>Marketplace</t>
        </is>
      </c>
      <c r="C657" s="5" t="inlineStr">
        <is>
          <t>SSD NVMe 1TB</t>
        </is>
      </c>
      <c r="D657" s="5" t="inlineStr">
        <is>
          <t>Marketplace Cochabamba (particular)</t>
        </is>
      </c>
      <c r="E657" s="11" t="n">
        <v>2050</v>
      </c>
      <c r="F657" s="5" t="inlineStr">
        <is>
          <t>Bs</t>
        </is>
      </c>
      <c r="G657" s="5" t="inlineStr">
        <is>
          <t>estado sin dato (WD Green SN3000 1TB)</t>
        </is>
      </c>
      <c r="H657" s="6" t="inlineStr">
        <is>
          <t>ver</t>
        </is>
      </c>
    </row>
    <row r="658">
      <c r="A658" s="15" t="n">
        <v>46317</v>
      </c>
      <c r="B658" s="5" t="inlineStr">
        <is>
          <t>Marketplace</t>
        </is>
      </c>
      <c r="C658" s="5" t="inlineStr">
        <is>
          <t>SSD NVMe 1TB</t>
        </is>
      </c>
      <c r="D658" s="5" t="inlineStr">
        <is>
          <t>Marketplace Cochabamba (particular)</t>
        </is>
      </c>
      <c r="E658" s="11" t="n">
        <v>2060</v>
      </c>
      <c r="F658" s="5" t="inlineStr">
        <is>
          <t>Bs</t>
        </is>
      </c>
      <c r="G658" s="5" t="inlineStr">
        <is>
          <t>estado sin dato (WD Green SN3000 1TB)</t>
        </is>
      </c>
      <c r="H658" s="6" t="inlineStr">
        <is>
          <t>ver</t>
        </is>
      </c>
    </row>
    <row r="659">
      <c r="A659" s="15" t="n">
        <v>46317</v>
      </c>
      <c r="B659" s="5" t="inlineStr">
        <is>
          <t>Tienda</t>
        </is>
      </c>
      <c r="C659" s="5" t="inlineStr">
        <is>
          <t>Ryzen 7 7800X3D</t>
        </is>
      </c>
      <c r="D659" s="5" t="inlineStr">
        <is>
          <t>ADN Gamer Store (WhatsApp)</t>
        </is>
      </c>
      <c r="E659" s="11" t="n">
        <v>6162</v>
      </c>
      <c r="F659" s="5" t="inlineStr">
        <is>
          <t>Bs</t>
        </is>
      </c>
      <c r="G659" s="5" t="inlineStr">
        <is>
          <t>nuevo en caja (box); garantía sin dato (se preguntó)</t>
        </is>
      </c>
      <c r="H659" s="2" t="n"/>
    </row>
    <row r="660">
      <c r="A660" s="15" t="n">
        <v>46317</v>
      </c>
      <c r="B660" s="5" t="inlineStr">
        <is>
          <t>Tienda</t>
        </is>
      </c>
      <c r="C660" s="5" t="inlineStr">
        <is>
          <t>Intel Core Ultra 7 265K</t>
        </is>
      </c>
      <c r="D660" s="5" t="inlineStr">
        <is>
          <t>TechMax Computers Cbba (WhatsApp)</t>
        </is>
      </c>
      <c r="E660" s="11" t="n">
        <v>4300</v>
      </c>
      <c r="F660" s="5" t="inlineStr">
        <is>
          <t>Bs</t>
        </is>
      </c>
      <c r="G660" s="5" t="inlineStr">
        <is>
          <t>no cuenta: modelo sin confirmar (dijo 'Core Ultra 7'; se preguntó si es el 265K); sin garantía, traído de EEUU; estado 'perfecto estado'</t>
        </is>
      </c>
      <c r="H660" s="2" t="n"/>
    </row>
    <row r="661">
      <c r="A661" s="15" t="n">
        <v>46318</v>
      </c>
      <c r="B661" s="5" t="inlineStr">
        <is>
          <t>Tienda</t>
        </is>
      </c>
      <c r="C661" s="5" t="inlineStr">
        <is>
          <t>Ryzen 5 5600</t>
        </is>
      </c>
      <c r="D661" s="5" t="inlineStr">
        <is>
          <t>Punto Tecnológico · Supermall (web, vista en Google 23/10)</t>
        </is>
      </c>
      <c r="E661" s="11" t="n">
        <v>1710</v>
      </c>
      <c r="F661" s="5" t="inlineStr">
        <is>
          <t>Bs</t>
        </is>
      </c>
      <c r="G661" s="5" t="inlineStr">
        <is>
          <t>no cuenta: agotado (referencia web; ya anotada el 12/10, la web sigue mostrando el mismo precio)</t>
        </is>
      </c>
      <c r="H661" s="6" t="inlineStr">
        <is>
          <t>ver</t>
        </is>
      </c>
    </row>
    <row r="662">
      <c r="A662" s="15" t="n">
        <v>46318</v>
      </c>
      <c r="B662" s="5" t="inlineStr">
        <is>
          <t>Tienda</t>
        </is>
      </c>
      <c r="C662" s="5" t="inlineStr">
        <is>
          <t>Ryzen 7 5700X3D</t>
        </is>
      </c>
      <c r="D662" s="5" t="inlineStr">
        <is>
          <t>Facebook grupo TEAM PC's BOLIVIA (web, vista en Google 23/10)</t>
        </is>
      </c>
      <c r="E662" s="11" t="n">
        <v>3800</v>
      </c>
      <c r="F662" s="5" t="inlineStr">
        <is>
          <t>Bs</t>
        </is>
      </c>
      <c r="G662" s="5" t="inlineStr">
        <is>
          <t>no cuenta: referencia vieja (comentario "de 3.800 Bs arriba" en el grupo TEAM PC's BOLIVIA; nuevo; sin ciudad ni anuncio)</t>
        </is>
      </c>
      <c r="H662" s="2" t="n"/>
    </row>
    <row r="663">
      <c r="A663" s="15" t="n">
        <v>46318</v>
      </c>
      <c r="B663" s="5" t="inlineStr">
        <is>
          <t>Tienda</t>
        </is>
      </c>
      <c r="C663" s="5" t="inlineStr">
        <is>
          <t>Ryzen 5 7500F</t>
        </is>
      </c>
      <c r="D663" s="5" t="inlineStr">
        <is>
          <t>Facebook grupo PC GAMERS BOLIVIA (web, vista en Google 23/10)</t>
        </is>
      </c>
      <c r="E663" s="11" t="n">
        <v>2050</v>
      </c>
      <c r="F663" s="5" t="inlineStr">
        <is>
          <t>Bs</t>
        </is>
      </c>
      <c r="G663" s="5" t="inlineStr">
        <is>
          <t>no cuenta: referencia vieja (2 unidades nuevas "recién llegadas" en el grupo PC GAMERS BOLIVIA; sin ciudad)</t>
        </is>
      </c>
      <c r="H663" s="2" t="n"/>
    </row>
    <row r="664">
      <c r="A664" s="15" t="n">
        <v>46318</v>
      </c>
      <c r="B664" s="5" t="inlineStr">
        <is>
          <t>Marketplace</t>
        </is>
      </c>
      <c r="C664" s="5" t="inlineStr">
        <is>
          <t>RAM DDR4 16GB (2x8) 3200</t>
        </is>
      </c>
      <c r="D664" s="5" t="inlineStr">
        <is>
          <t>Marketplace Cochabamba (particular)</t>
        </is>
      </c>
      <c r="E664" s="11" t="n">
        <v>1600</v>
      </c>
      <c r="F664" s="5" t="inlineStr">
        <is>
          <t>Bs</t>
        </is>
      </c>
      <c r="G664" s="5" t="inlineStr">
        <is>
          <t>sin dato de estado (Corsair Vengeance Pro 2x8GB 3200 MHz)</t>
        </is>
      </c>
      <c r="H664" s="6" t="inlineStr">
        <is>
          <t>ver</t>
        </is>
      </c>
    </row>
    <row r="665">
      <c r="A665" s="15" t="n">
        <v>46318</v>
      </c>
      <c r="B665" s="5" t="inlineStr">
        <is>
          <t>Marketplace</t>
        </is>
      </c>
      <c r="C665" s="5" t="inlineStr">
        <is>
          <t>RAM DDR4 16GB (2x8) 3200</t>
        </is>
      </c>
      <c r="D665" s="5" t="inlineStr">
        <is>
          <t>Marketplace Cochabamba (particular)</t>
        </is>
      </c>
      <c r="E665" s="11" t="n">
        <v>1300</v>
      </c>
      <c r="F665" s="5" t="inlineStr">
        <is>
          <t>Bs</t>
        </is>
      </c>
      <c r="G665" s="5" t="inlineStr">
        <is>
          <t>no cuenta: velocidad sin dato (anuncio "Ram 2 x 8 = 16Gb"; estado sin dato; tachado Bs 1.600)</t>
        </is>
      </c>
      <c r="H665" s="6" t="inlineStr">
        <is>
          <t>ver</t>
        </is>
      </c>
    </row>
    <row r="666">
      <c r="A666" s="15" t="n">
        <v>46318</v>
      </c>
      <c r="B666" s="5" t="inlineStr">
        <is>
          <t>Marketplace</t>
        </is>
      </c>
      <c r="C666" s="5" t="inlineStr">
        <is>
          <t>SSD NVMe 2TB</t>
        </is>
      </c>
      <c r="D666" s="5" t="inlineStr">
        <is>
          <t>Marketplace Cochabamba (particular)</t>
        </is>
      </c>
      <c r="E666" s="11" t="n">
        <v>3350</v>
      </c>
      <c r="F666" s="5" t="inlineStr">
        <is>
          <t>Bs</t>
        </is>
      </c>
      <c r="G666" s="5" t="inlineStr">
        <is>
          <t>no cuenta: tipo sin confirmar (anuncio "Sandisk SSD 2 TB recién llegadas"; tachado Bs 3.550; no dice si es NVMe o SATA)</t>
        </is>
      </c>
      <c r="H666" s="6" t="inlineStr">
        <is>
          <t>ver</t>
        </is>
      </c>
    </row>
    <row r="667">
      <c r="A667" s="15" t="n">
        <v>46318</v>
      </c>
      <c r="B667" s="5" t="inlineStr">
        <is>
          <t>Tienda</t>
        </is>
      </c>
      <c r="C667" s="5" t="inlineStr">
        <is>
          <t>Ryzen 7 7700X</t>
        </is>
      </c>
      <c r="D667" s="5" t="inlineStr">
        <is>
          <t>Cyrex Store (WhatsApp)</t>
        </is>
      </c>
      <c r="E667" s="11" t="n">
        <v>3673.5</v>
      </c>
      <c r="F667" s="5" t="inlineStr">
        <is>
          <t>Bs</t>
        </is>
      </c>
      <c r="G667" s="5" t="inlineStr">
        <is>
          <t>nuevo BOX (según foto de su chat; solo queda 1 unidad)</t>
        </is>
      </c>
      <c r="H667" s="2" t="n"/>
    </row>
    <row r="668">
      <c r="A668" s="15" t="n">
        <v>46318</v>
      </c>
      <c r="B668" s="5" t="inlineStr">
        <is>
          <t>Tienda</t>
        </is>
      </c>
      <c r="C668" s="5" t="inlineStr">
        <is>
          <t>Ryzen 5 7600</t>
        </is>
      </c>
      <c r="D668" s="5" t="inlineStr">
        <is>
          <t>Nerd Tecnologias (WhatsApp)</t>
        </is>
      </c>
      <c r="E668" s="11" t="n">
        <v>2700</v>
      </c>
      <c r="F668" s="5" t="inlineStr">
        <is>
          <t>Bs</t>
        </is>
      </c>
      <c r="G668" s="5" t="inlineStr">
        <is>
          <t>no cuenta: precio de segunda mano (lo consultó a un colega); estado y garantía sin confirmar</t>
        </is>
      </c>
      <c r="H668" s="2" t="n"/>
    </row>
    <row r="669">
      <c r="A669" s="15" t="n">
        <v>46318</v>
      </c>
      <c r="B669" s="5" t="inlineStr">
        <is>
          <t>Tienda</t>
        </is>
      </c>
      <c r="C669" s="5" t="inlineStr">
        <is>
          <t>SSD NVMe 1TB</t>
        </is>
      </c>
      <c r="D669" s="5" t="inlineStr">
        <is>
          <t>Nerd Tecnologias (WhatsApp)</t>
        </is>
      </c>
      <c r="E669" s="11" t="n">
        <v>1600</v>
      </c>
      <c r="F669" s="5" t="inlineStr">
        <is>
          <t>Bs</t>
        </is>
      </c>
      <c r="G669" s="5" t="inlineStr">
        <is>
          <t>no cuenta: precio de segunda mano (colega); marca y tipo sin confirmar ("M2 de 1 tera")</t>
        </is>
      </c>
      <c r="H669" s="2" t="n"/>
    </row>
    <row r="670">
      <c r="A670" s="15" t="n">
        <v>46318</v>
      </c>
      <c r="B670" s="5" t="inlineStr">
        <is>
          <t>Tienda</t>
        </is>
      </c>
      <c r="C670" s="5" t="inlineStr">
        <is>
          <t>Intel Core Ultra 7 265K</t>
        </is>
      </c>
      <c r="D670" s="5" t="inlineStr">
        <is>
          <t>TechMax Computers Cbba (WhatsApp)</t>
        </is>
      </c>
      <c r="E670" s="11" t="n">
        <v>4300</v>
      </c>
      <c r="F670" s="5" t="inlineStr">
        <is>
          <t>Bs</t>
        </is>
      </c>
      <c r="G670" s="5" t="inlineStr">
        <is>
          <t>no cuenta: es el Core Ultra 7 270K (no el 265K); sin garantía, traído de EEUU</t>
        </is>
      </c>
      <c r="H670" s="2" t="n"/>
    </row>
    <row r="671">
      <c r="A671" s="15" t="n">
        <v>46321</v>
      </c>
      <c r="B671" s="5" t="inlineStr">
        <is>
          <t>Marketplace</t>
        </is>
      </c>
      <c r="C671" s="5" t="inlineStr">
        <is>
          <t>Ryzen 7 7800X3D</t>
        </is>
      </c>
      <c r="D671" s="5" t="inlineStr">
        <is>
          <t>Marketplace Cochabamba (particular)</t>
        </is>
      </c>
      <c r="E671" s="11" t="n">
        <v>4800</v>
      </c>
      <c r="F671" s="5" t="inlineStr">
        <is>
          <t>Bs</t>
        </is>
      </c>
      <c r="G671" s="5" t="inlineStr">
        <is>
          <t>nuevo sellado (anuncio "AMD Ryzen 7 7800X3D (Sellado)"; el vendedor dijo el 13/10 que acepta ofertas, no se oferta)</t>
        </is>
      </c>
      <c r="H671" s="2" t="n"/>
    </row>
    <row r="672">
      <c r="A672" s="15" t="n">
        <v>46321</v>
      </c>
      <c r="B672" s="5" t="inlineStr">
        <is>
          <t>Marketplace</t>
        </is>
      </c>
      <c r="C672" s="5" t="inlineStr">
        <is>
          <t>SSD NVMe 1TB</t>
        </is>
      </c>
      <c r="D672" s="5" t="inlineStr">
        <is>
          <t>Marketplace Cochabamba (particular)</t>
        </is>
      </c>
      <c r="E672" s="11" t="n">
        <v>1850</v>
      </c>
      <c r="F672" s="5" t="inlineStr">
        <is>
          <t>Bs</t>
        </is>
      </c>
      <c r="G672" s="5" t="inlineStr">
        <is>
          <t>Kingston NV3 NVMe 1TB 6000MB/s (estado sin dato)</t>
        </is>
      </c>
      <c r="H672" s="2" t="n"/>
    </row>
    <row r="673">
      <c r="A673" s="15" t="n">
        <v>46321</v>
      </c>
      <c r="B673" s="5" t="inlineStr">
        <is>
          <t>Tienda</t>
        </is>
      </c>
      <c r="C673" s="5" t="inlineStr">
        <is>
          <t>SSD NVMe 1TB</t>
        </is>
      </c>
      <c r="D673" s="5" t="inlineStr">
        <is>
          <t>Punto Tecnológico (WhatsApp)</t>
        </is>
      </c>
      <c r="E673" s="11" t="n">
        <v>2000</v>
      </c>
      <c r="F673" s="5" t="inlineStr">
        <is>
          <t>Bs</t>
        </is>
      </c>
      <c r="G673" s="5" t="inlineStr">
        <is>
          <t>nuevo, NVMe (modelo SN3000), garantía 6 meses (confirmado 28/10)</t>
        </is>
      </c>
      <c r="H673" s="2" t="n"/>
    </row>
    <row r="674">
      <c r="A674" s="15" t="n">
        <v>46321</v>
      </c>
      <c r="B674" s="5" t="inlineStr">
        <is>
          <t>Tienda</t>
        </is>
      </c>
      <c r="C674" s="5" t="inlineStr">
        <is>
          <t>Ryzen 7 9700X</t>
        </is>
      </c>
      <c r="D674" s="5" t="inlineStr">
        <is>
          <t>Punto Tecnológico (WhatsApp)</t>
        </is>
      </c>
      <c r="E674" s="11" t="n">
        <v>3680</v>
      </c>
      <c r="F674" s="5" t="inlineStr">
        <is>
          <t>Bs</t>
        </is>
      </c>
      <c r="G674" s="5" t="inlineStr">
        <is>
          <t>no cuenta: no es producto de vigilar; OEM</t>
        </is>
      </c>
      <c r="H674" s="2" t="n"/>
    </row>
    <row r="675">
      <c r="A675" s="15" t="n">
        <v>46323</v>
      </c>
      <c r="B675" s="5" t="inlineStr">
        <is>
          <t>Marketplace</t>
        </is>
      </c>
      <c r="C675" s="5" t="inlineStr">
        <is>
          <t>Ryzen 7 7700X</t>
        </is>
      </c>
      <c r="D675" s="5" t="inlineStr">
        <is>
          <t>Marketplace Cochabamba (particular)</t>
        </is>
      </c>
      <c r="E675" s="11" t="n">
        <v>4000</v>
      </c>
      <c r="F675" s="5" t="inlineStr">
        <is>
          <t>Bs</t>
        </is>
      </c>
      <c r="G675" s="5" t="inlineStr">
        <is>
          <t>nuevo sellado ("Ryzen 7 7700x Sellado"); Cochabamba</t>
        </is>
      </c>
      <c r="H675" s="2" t="n"/>
    </row>
    <row r="676">
      <c r="A676" s="15" t="n">
        <v>46323</v>
      </c>
      <c r="B676" s="5" t="inlineStr">
        <is>
          <t>Marketplace</t>
        </is>
      </c>
      <c r="C676" s="5" t="inlineStr">
        <is>
          <t>SSD NVMe 1TB</t>
        </is>
      </c>
      <c r="D676" s="5" t="inlineStr">
        <is>
          <t>Marketplace Cochabamba (particular)</t>
        </is>
      </c>
      <c r="E676" s="11" t="n">
        <v>1700</v>
      </c>
      <c r="F676" s="5" t="inlineStr">
        <is>
          <t>Bs</t>
        </is>
      </c>
      <c r="G676" s="5" t="inlineStr">
        <is>
          <t>Kingston NV2 NVMe PCIe 4.0 1TB (estado sin dato); Cochabamba</t>
        </is>
      </c>
      <c r="H676" s="2" t="n"/>
    </row>
    <row r="677">
      <c r="A677" s="15" t="n">
        <v>46323</v>
      </c>
      <c r="B677" s="5" t="inlineStr">
        <is>
          <t>Marketplace</t>
        </is>
      </c>
      <c r="C677" s="5" t="inlineStr">
        <is>
          <t>SSD NVMe 1TB</t>
        </is>
      </c>
      <c r="D677" s="5" t="inlineStr">
        <is>
          <t>Marketplace Cochabamba (particular)</t>
        </is>
      </c>
      <c r="E677" s="11" t="n">
        <v>1100</v>
      </c>
      <c r="F677" s="5" t="inlineStr">
        <is>
          <t>Bs</t>
        </is>
      </c>
      <c r="G677" s="5" t="inlineStr">
        <is>
          <t>"Disco duro m2 NVMe 1 tb" marca y estado sin dato; Cochabamba</t>
        </is>
      </c>
      <c r="H677" s="2" t="n"/>
    </row>
    <row r="678">
      <c r="A678" s="15" t="n">
        <v>46323</v>
      </c>
      <c r="B678" s="5" t="inlineStr">
        <is>
          <t>Marketplace</t>
        </is>
      </c>
      <c r="C678" s="5" t="inlineStr">
        <is>
          <t>SSD NVMe 1TB</t>
        </is>
      </c>
      <c r="D678" s="5" t="inlineStr">
        <is>
          <t>Marketplace Cochabamba (particular)</t>
        </is>
      </c>
      <c r="E678" s="11" t="n">
        <v>1675</v>
      </c>
      <c r="F678" s="5" t="inlineStr">
        <is>
          <t>Bs</t>
        </is>
      </c>
      <c r="G678" s="5" t="inlineStr">
        <is>
          <t>Kingston NV2 NVMe 1TB (estado sin dato; "SSD NV2 de 1TB"); Cochabamba</t>
        </is>
      </c>
      <c r="H678" s="2" t="n"/>
    </row>
    <row r="679">
      <c r="A679" s="15" t="n">
        <v>46325</v>
      </c>
      <c r="B679" s="5" t="inlineStr">
        <is>
          <t>Marketplace</t>
        </is>
      </c>
      <c r="C679" s="5" t="inlineStr">
        <is>
          <t>Ryzen 7 7800X3D</t>
        </is>
      </c>
      <c r="D679" s="5" t="inlineStr">
        <is>
          <t>Marketplace Cochabamba (particular)</t>
        </is>
      </c>
      <c r="E679" s="11" t="n">
        <v>5190</v>
      </c>
      <c r="F679" s="5" t="inlineStr">
        <is>
          <t>Bs</t>
        </is>
      </c>
      <c r="G679" s="5" t="inlineStr">
        <is>
          <t>nuevo/sin dato</t>
        </is>
      </c>
      <c r="H679" s="6" t="inlineStr">
        <is>
          <t>ver</t>
        </is>
      </c>
    </row>
    <row r="680">
      <c r="A680" s="15" t="n">
        <v>46325</v>
      </c>
      <c r="B680" s="5" t="inlineStr">
        <is>
          <t>Marketplace</t>
        </is>
      </c>
      <c r="C680" s="5" t="inlineStr">
        <is>
          <t>Ryzen 7 7800X3D</t>
        </is>
      </c>
      <c r="D680" s="5" t="inlineStr">
        <is>
          <t>Marketplace Cochabamba (particular)</t>
        </is>
      </c>
      <c r="E680" s="11" t="n">
        <v>4860</v>
      </c>
      <c r="F680" s="5" t="inlineStr">
        <is>
          <t>Bs</t>
        </is>
      </c>
      <c r="G680" s="5" t="inlineStr">
        <is>
          <t>no cuenta: multi-modelo a cotizar (9800X3D, 7800X3D, 8700G)</t>
        </is>
      </c>
      <c r="H680" s="6" t="inlineStr">
        <is>
          <t>ver</t>
        </is>
      </c>
    </row>
    <row r="681">
      <c r="A681" s="15" t="n">
        <v>46325</v>
      </c>
      <c r="B681" s="5" t="inlineStr">
        <is>
          <t>Marketplace</t>
        </is>
      </c>
      <c r="C681" s="5" t="inlineStr">
        <is>
          <t>Ryzen 7 7700X</t>
        </is>
      </c>
      <c r="D681" s="5" t="inlineStr">
        <is>
          <t>Marketplace Cochabamba (particular)</t>
        </is>
      </c>
      <c r="E681" s="11" t="n">
        <v>3000</v>
      </c>
      <c r="F681" s="5" t="inlineStr">
        <is>
          <t>Bs</t>
        </is>
      </c>
      <c r="G681" s="5" t="inlineStr">
        <is>
          <t>estado sin dato</t>
        </is>
      </c>
      <c r="H681" s="6" t="inlineStr">
        <is>
          <t>ver</t>
        </is>
      </c>
    </row>
    <row r="682">
      <c r="A682" s="15" t="n">
        <v>46325</v>
      </c>
      <c r="B682" s="5" t="inlineStr">
        <is>
          <t>Marketplace</t>
        </is>
      </c>
      <c r="C682" s="5" t="inlineStr">
        <is>
          <t>Corsair Vengeance RGB DDR5 32GB (2x16) 6000</t>
        </is>
      </c>
      <c r="D682" s="5" t="inlineStr">
        <is>
          <t>Marketplace Cochabamba (particular)</t>
        </is>
      </c>
      <c r="E682" s="11" t="n">
        <v>6200</v>
      </c>
      <c r="F682" s="5" t="inlineStr">
        <is>
          <t>Bs</t>
        </is>
      </c>
      <c r="G682" s="5" t="inlineStr">
        <is>
          <t>sin dato (dice 'última unidad'; Vengeance RGB RS 32GB 2x16 DDR5 6000)</t>
        </is>
      </c>
      <c r="H682" s="6" t="inlineStr">
        <is>
          <t>ver</t>
        </is>
      </c>
    </row>
    <row r="683">
      <c r="A683" s="15" t="n">
        <v>46325</v>
      </c>
      <c r="B683" s="5" t="inlineStr">
        <is>
          <t>Marketplace</t>
        </is>
      </c>
      <c r="C683" s="5" t="inlineStr">
        <is>
          <t>SSD NVMe 1TB</t>
        </is>
      </c>
      <c r="D683" s="5" t="inlineStr">
        <is>
          <t>Marketplace Cochabamba (particular)</t>
        </is>
      </c>
      <c r="E683" s="11" t="n">
        <v>1700</v>
      </c>
      <c r="F683" s="5" t="inlineStr">
        <is>
          <t>Bs</t>
        </is>
      </c>
      <c r="G683" s="5" t="inlineStr">
        <is>
          <t>Kingston NV2 1TB; estado sin dato</t>
        </is>
      </c>
      <c r="H683" s="6" t="inlineStr">
        <is>
          <t>ver</t>
        </is>
      </c>
    </row>
    <row r="684">
      <c r="A684" s="15" t="n">
        <v>46325</v>
      </c>
      <c r="B684" s="5" t="inlineStr">
        <is>
          <t>Marketplace</t>
        </is>
      </c>
      <c r="C684" s="5" t="inlineStr">
        <is>
          <t>SSD NVMe 1TB</t>
        </is>
      </c>
      <c r="D684" s="5" t="inlineStr">
        <is>
          <t>Marketplace Cochabamba (particular)</t>
        </is>
      </c>
      <c r="E684" s="11" t="n">
        <v>1675</v>
      </c>
      <c r="F684" s="5" t="inlineStr">
        <is>
          <t>Bs</t>
        </is>
      </c>
      <c r="G684" s="5" t="inlineStr">
        <is>
          <t>Kingston NV2 1TB; posible el mismo anuncio de 1.700</t>
        </is>
      </c>
      <c r="H684" s="6" t="inlineStr">
        <is>
          <t>ver</t>
        </is>
      </c>
    </row>
    <row r="685">
      <c r="A685" s="15" t="n">
        <v>46325</v>
      </c>
      <c r="B685" s="5" t="inlineStr">
        <is>
          <t>Marketplace</t>
        </is>
      </c>
      <c r="C685" s="5" t="inlineStr">
        <is>
          <t>SSD NVMe 1TB</t>
        </is>
      </c>
      <c r="D685" s="5" t="inlineStr">
        <is>
          <t>Marketplace Cochabamba (particular)</t>
        </is>
      </c>
      <c r="E685" s="11" t="n">
        <v>1850</v>
      </c>
      <c r="F685" s="5" t="inlineStr">
        <is>
          <t>Bs</t>
        </is>
      </c>
      <c r="G685" s="5" t="inlineStr">
        <is>
          <t>Kingston NV3 1TB; estado sin dato</t>
        </is>
      </c>
      <c r="H685" s="6" t="inlineStr">
        <is>
          <t>ver</t>
        </is>
      </c>
    </row>
    <row r="686">
      <c r="A686" s="15" t="n">
        <v>46325</v>
      </c>
      <c r="B686" s="5" t="inlineStr">
        <is>
          <t>Marketplace</t>
        </is>
      </c>
      <c r="C686" s="5" t="inlineStr">
        <is>
          <t>SSD NVMe 1TB</t>
        </is>
      </c>
      <c r="D686" s="5" t="inlineStr">
        <is>
          <t>Marketplace Cochabamba (particular)</t>
        </is>
      </c>
      <c r="E686" s="11" t="n">
        <v>3050</v>
      </c>
      <c r="F686" s="5" t="inlineStr">
        <is>
          <t>Bs</t>
        </is>
      </c>
      <c r="G686" s="5" t="inlineStr">
        <is>
          <t>no cuenta: otro modelo (Samsung 9100 PRO PCIe 5.0)</t>
        </is>
      </c>
      <c r="H686" s="6" t="inlineStr">
        <is>
          <t>ver</t>
        </is>
      </c>
    </row>
    <row r="687">
      <c r="A687" s="15" t="n">
        <v>46325</v>
      </c>
      <c r="B687" s="5" t="inlineStr">
        <is>
          <t>Marketplace</t>
        </is>
      </c>
      <c r="C687" s="5" t="inlineStr">
        <is>
          <t>SSD NVMe 2TB</t>
        </is>
      </c>
      <c r="D687" s="5" t="inlineStr">
        <is>
          <t>Marketplace Cochabamba (particular)</t>
        </is>
      </c>
      <c r="E687" s="11" t="n">
        <v>3100</v>
      </c>
      <c r="F687" s="5" t="inlineStr">
        <is>
          <t>Bs</t>
        </is>
      </c>
      <c r="G687" s="5" t="inlineStr">
        <is>
          <t>SanDisk 2TB 'recién llegadas' (interfaz sin confirmar); 3.100 a 3.550</t>
        </is>
      </c>
      <c r="H687" s="6" t="inlineStr">
        <is>
          <t>ver</t>
        </is>
      </c>
    </row>
    <row r="688">
      <c r="A688" s="15" t="n">
        <v>46325</v>
      </c>
      <c r="B688" s="5" t="inlineStr">
        <is>
          <t>Marketplace</t>
        </is>
      </c>
      <c r="C688" s="5" t="inlineStr">
        <is>
          <t>Intel Core i5-12400F</t>
        </is>
      </c>
      <c r="D688" s="5" t="inlineStr">
        <is>
          <t>Marketplace Cochabamba (particular)</t>
        </is>
      </c>
      <c r="E688" s="11" t="n">
        <v>7280</v>
      </c>
      <c r="F688" s="5" t="inlineStr">
        <is>
          <t>Bs</t>
        </is>
      </c>
      <c r="G688" s="5" t="inlineStr">
        <is>
          <t>no cuenta: combo i5-12400F + placa B760 + 16GB RAM (7 combos entre 7.280 y 8.150)</t>
        </is>
      </c>
      <c r="H688" s="6" t="inlineStr">
        <is>
          <t>ver</t>
        </is>
      </c>
    </row>
    <row r="689">
      <c r="A689" s="15" t="n">
        <v>46325</v>
      </c>
      <c r="B689" s="5" t="inlineStr">
        <is>
          <t>Marketplace</t>
        </is>
      </c>
      <c r="C689" s="5" t="inlineStr">
        <is>
          <t>Intel Core i5-14400F</t>
        </is>
      </c>
      <c r="D689" s="5" t="inlineStr">
        <is>
          <t>Marketplace Cochabamba (particular)</t>
        </is>
      </c>
      <c r="E689" s="11" t="n">
        <v>2700</v>
      </c>
      <c r="F689" s="5" t="inlineStr">
        <is>
          <t>Bs</t>
        </is>
      </c>
      <c r="G689" s="5" t="inlineStr">
        <is>
          <t>no cuenta: otro modelo (i5 14400 con gráficos); 28/10 salía a 2.600</t>
        </is>
      </c>
      <c r="H689" s="6" t="inlineStr">
        <is>
          <t>ver</t>
        </is>
      </c>
    </row>
    <row r="690">
      <c r="A690" s="15" t="n">
        <v>46325</v>
      </c>
      <c r="B690" s="5" t="inlineStr">
        <is>
          <t>Tienda</t>
        </is>
      </c>
      <c r="C690" s="5" t="inlineStr">
        <is>
          <t>Intel Core i5-13400</t>
        </is>
      </c>
      <c r="D690" s="5" t="inlineStr">
        <is>
          <t>MSR Computers (web)</t>
        </is>
      </c>
      <c r="E690" s="11" t="n">
        <v>2300</v>
      </c>
      <c r="F690" s="5" t="inlineStr">
        <is>
          <t>Bs</t>
        </is>
      </c>
      <c r="G690" s="5" t="inlineStr">
        <is>
          <t>nuevo (web MSR Computers; fecha de actualización desconocida; no vende sueltos: solo referencia, no cuenta)</t>
        </is>
      </c>
      <c r="H690" s="6" t="inlineStr">
        <is>
          <t>ver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9" r:id="rId594"/>
    <hyperlink xmlns:r="http://schemas.openxmlformats.org/officeDocument/2006/relationships" ref="H601" r:id="rId595"/>
    <hyperlink xmlns:r="http://schemas.openxmlformats.org/officeDocument/2006/relationships" ref="H602" r:id="rId596"/>
    <hyperlink xmlns:r="http://schemas.openxmlformats.org/officeDocument/2006/relationships" ref="H618" r:id="rId597"/>
    <hyperlink xmlns:r="http://schemas.openxmlformats.org/officeDocument/2006/relationships" ref="H619" r:id="rId598"/>
    <hyperlink xmlns:r="http://schemas.openxmlformats.org/officeDocument/2006/relationships" ref="H620" r:id="rId599"/>
    <hyperlink xmlns:r="http://schemas.openxmlformats.org/officeDocument/2006/relationships" ref="H621" r:id="rId600"/>
    <hyperlink xmlns:r="http://schemas.openxmlformats.org/officeDocument/2006/relationships" ref="H625" r:id="rId601"/>
    <hyperlink xmlns:r="http://schemas.openxmlformats.org/officeDocument/2006/relationships" ref="H626" r:id="rId602"/>
    <hyperlink xmlns:r="http://schemas.openxmlformats.org/officeDocument/2006/relationships" ref="H627" r:id="rId603"/>
    <hyperlink xmlns:r="http://schemas.openxmlformats.org/officeDocument/2006/relationships" ref="H629" r:id="rId604"/>
    <hyperlink xmlns:r="http://schemas.openxmlformats.org/officeDocument/2006/relationships" ref="H630" r:id="rId605"/>
    <hyperlink xmlns:r="http://schemas.openxmlformats.org/officeDocument/2006/relationships" ref="H631" r:id="rId606"/>
    <hyperlink xmlns:r="http://schemas.openxmlformats.org/officeDocument/2006/relationships" ref="H632" r:id="rId607"/>
    <hyperlink xmlns:r="http://schemas.openxmlformats.org/officeDocument/2006/relationships" ref="H633" r:id="rId608"/>
    <hyperlink xmlns:r="http://schemas.openxmlformats.org/officeDocument/2006/relationships" ref="H634" r:id="rId609"/>
    <hyperlink xmlns:r="http://schemas.openxmlformats.org/officeDocument/2006/relationships" ref="H637" r:id="rId610"/>
    <hyperlink xmlns:r="http://schemas.openxmlformats.org/officeDocument/2006/relationships" ref="H638" r:id="rId611"/>
    <hyperlink xmlns:r="http://schemas.openxmlformats.org/officeDocument/2006/relationships" ref="H641" r:id="rId612"/>
    <hyperlink xmlns:r="http://schemas.openxmlformats.org/officeDocument/2006/relationships" ref="H642" r:id="rId613"/>
    <hyperlink xmlns:r="http://schemas.openxmlformats.org/officeDocument/2006/relationships" ref="H643" r:id="rId614"/>
    <hyperlink xmlns:r="http://schemas.openxmlformats.org/officeDocument/2006/relationships" ref="H644" r:id="rId615"/>
    <hyperlink xmlns:r="http://schemas.openxmlformats.org/officeDocument/2006/relationships" ref="H645" r:id="rId616"/>
    <hyperlink xmlns:r="http://schemas.openxmlformats.org/officeDocument/2006/relationships" ref="H654" r:id="rId617"/>
    <hyperlink xmlns:r="http://schemas.openxmlformats.org/officeDocument/2006/relationships" ref="H655" r:id="rId618"/>
    <hyperlink xmlns:r="http://schemas.openxmlformats.org/officeDocument/2006/relationships" ref="H656" r:id="rId619"/>
    <hyperlink xmlns:r="http://schemas.openxmlformats.org/officeDocument/2006/relationships" ref="H657" r:id="rId620"/>
    <hyperlink xmlns:r="http://schemas.openxmlformats.org/officeDocument/2006/relationships" ref="H658" r:id="rId621"/>
    <hyperlink xmlns:r="http://schemas.openxmlformats.org/officeDocument/2006/relationships" ref="H661" r:id="rId622"/>
    <hyperlink xmlns:r="http://schemas.openxmlformats.org/officeDocument/2006/relationships" ref="H664" r:id="rId623"/>
    <hyperlink xmlns:r="http://schemas.openxmlformats.org/officeDocument/2006/relationships" ref="H665" r:id="rId624"/>
    <hyperlink xmlns:r="http://schemas.openxmlformats.org/officeDocument/2006/relationships" ref="H666" r:id="rId625"/>
    <hyperlink xmlns:r="http://schemas.openxmlformats.org/officeDocument/2006/relationships" ref="H679" r:id="rId626"/>
    <hyperlink xmlns:r="http://schemas.openxmlformats.org/officeDocument/2006/relationships" ref="H680" r:id="rId627"/>
    <hyperlink xmlns:r="http://schemas.openxmlformats.org/officeDocument/2006/relationships" ref="H681" r:id="rId628"/>
    <hyperlink xmlns:r="http://schemas.openxmlformats.org/officeDocument/2006/relationships" ref="H682" r:id="rId629"/>
    <hyperlink xmlns:r="http://schemas.openxmlformats.org/officeDocument/2006/relationships" ref="H683" r:id="rId630"/>
    <hyperlink xmlns:r="http://schemas.openxmlformats.org/officeDocument/2006/relationships" ref="H684" r:id="rId631"/>
    <hyperlink xmlns:r="http://schemas.openxmlformats.org/officeDocument/2006/relationships" ref="H685" r:id="rId632"/>
    <hyperlink xmlns:r="http://schemas.openxmlformats.org/officeDocument/2006/relationships" ref="H686" r:id="rId633"/>
    <hyperlink xmlns:r="http://schemas.openxmlformats.org/officeDocument/2006/relationships" ref="H687" r:id="rId634"/>
    <hyperlink xmlns:r="http://schemas.openxmlformats.org/officeDocument/2006/relationships" ref="H688" r:id="rId635"/>
    <hyperlink xmlns:r="http://schemas.openxmlformats.org/officeDocument/2006/relationships" ref="H689" r:id="rId636"/>
    <hyperlink xmlns:r="http://schemas.openxmlformats.org/officeDocument/2006/relationships" ref="H690" r:id="rId637"/>
  </hyperlinks>
  <pageMargins left="0.75" right="0.75" top="1" bottom="1" header="0.5" footer="0.5"/>
  <tableParts count="1">
    <tablePart xmlns:r="http://schemas.openxmlformats.org/officeDocument/2006/relationships" r:id="rId63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2026-10-30T17:12:13Z</dcterms:created>
  <dcterms:modified xsi:type="dcterms:W3CDTF">2026-10-30T17:12:13Z</dcterms:modified>
</cp:coreProperties>
</file>