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83" headerRowCount="1">
  <autoFilter ref="A1:O28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64" headerRowCount="1">
  <autoFilter ref="A1:H664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17481448193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117348328956" TargetMode="External" Id="rId12" /><Relationship Type="http://schemas.openxmlformats.org/officeDocument/2006/relationships/hyperlink" Target="https://www.ebay.com/itm/920083302531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1734832895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920083302531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960126966354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147595555861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298166712086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336864548932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389732753480" TargetMode="External" Id="rId25" /><Relationship Type="http://schemas.openxmlformats.org/officeDocument/2006/relationships/hyperlink" Target="https://www.ebay.com/itm/168233637342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96012391411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98749932768" TargetMode="External" Id="rId30" /><Relationship Type="http://schemas.openxmlformats.org/officeDocument/2006/relationships/hyperlink" Target="https://www.ebay.com/itm/147595569594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298166712086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820281781602" TargetMode="External" Id="rId38" /><Relationship Type="http://schemas.openxmlformats.org/officeDocument/2006/relationships/hyperlink" Target="https://www.ebay.com/itm/336864548932" TargetMode="External" Id="rId39" /><Relationship Type="http://schemas.openxmlformats.org/officeDocument/2006/relationships/hyperlink" Target="https://www.ebay.com/itm/178171158022" TargetMode="External" Id="rId40" /><Relationship Type="http://schemas.openxmlformats.org/officeDocument/2006/relationships/hyperlink" Target="https://www.ebay.com/itm/186930960267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267823787358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278191566067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8022" TargetMode="External" Id="rId56" /><Relationship Type="http://schemas.openxmlformats.org/officeDocument/2006/relationships/hyperlink" Target="https://www.ebay.com/itm/389732753480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18668183718" TargetMode="External" Id="rId60" /><Relationship Type="http://schemas.openxmlformats.org/officeDocument/2006/relationships/hyperlink" Target="https://www.ebay.com/itm/840035484357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267823787358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377593610877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267799061448" TargetMode="External" Id="rId69" /><Relationship Type="http://schemas.openxmlformats.org/officeDocument/2006/relationships/hyperlink" Target="https://www.ebay.com/itm/820274913467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57424692080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366757503836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147595555861" TargetMode="External" Id="rId79" /><Relationship Type="http://schemas.openxmlformats.org/officeDocument/2006/relationships/hyperlink" Target="https://www.ebay.com/itm/327408972899" TargetMode="External" Id="rId80" /><Relationship Type="http://schemas.openxmlformats.org/officeDocument/2006/relationships/hyperlink" Target="https://www.ebay.com/itm/377593610877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267799061448" TargetMode="External" Id="rId85" /><Relationship Type="http://schemas.openxmlformats.org/officeDocument/2006/relationships/hyperlink" Target="https://www.ebay.com/itm/307246440324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157424692080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366757503836" TargetMode="External" Id="rId92" /><Relationship Type="http://schemas.openxmlformats.org/officeDocument/2006/relationships/hyperlink" Target="https://www.ebay.com/itm/117481448193" TargetMode="External" Id="rId93" /><Relationship Type="http://schemas.openxmlformats.org/officeDocument/2006/relationships/hyperlink" Target="https://www.ebay.com/itm/128145077866" TargetMode="External" Id="rId94" /><Relationship Type="http://schemas.openxmlformats.org/officeDocument/2006/relationships/hyperlink" Target="https://www.ebay.com/itm/147595555861" TargetMode="External" Id="rId95" /><Relationship Type="http://schemas.openxmlformats.org/officeDocument/2006/relationships/hyperlink" Target="https://www.ebay.com/itm/327408972899" TargetMode="External" Id="rId96" /><Relationship Type="http://schemas.openxmlformats.org/officeDocument/2006/relationships/hyperlink" Target="https://www.ebay.com/itm/237139218732" TargetMode="External" Id="rId97" /><Relationship Type="http://schemas.openxmlformats.org/officeDocument/2006/relationships/hyperlink" Target="https://www.ebay.com/itm/800821980146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206610079456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128148777373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266764723704" TargetMode="External" Id="rId105" /><Relationship Type="http://schemas.openxmlformats.org/officeDocument/2006/relationships/hyperlink" Target="https://www.ebay.com/itm/147407453126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128148988213" TargetMode="External" Id="rId108" /><Relationship Type="http://schemas.openxmlformats.org/officeDocument/2006/relationships/hyperlink" Target="https://www.ebay.com/itm/117481448193" TargetMode="External" Id="rId109" /><Relationship Type="http://schemas.openxmlformats.org/officeDocument/2006/relationships/hyperlink" Target="https://www.ebay.com/itm/128145077866" TargetMode="External" Id="rId110" /><Relationship Type="http://schemas.openxmlformats.org/officeDocument/2006/relationships/hyperlink" Target="https://www.ebay.com/itm/820263539684" TargetMode="External" Id="rId111" /><Relationship Type="http://schemas.openxmlformats.org/officeDocument/2006/relationships/hyperlink" Target="https://www.ebay.com/itm/287663939921" TargetMode="External" Id="rId112" /><Relationship Type="http://schemas.openxmlformats.org/officeDocument/2006/relationships/hyperlink" Target="https://www.ebay.com/itm/206636986020" TargetMode="External" Id="rId113" /><Relationship Type="http://schemas.openxmlformats.org/officeDocument/2006/relationships/hyperlink" Target="https://www.ebay.com/itm/800821980146" TargetMode="External" Id="rId114" /><Relationship Type="http://schemas.openxmlformats.org/officeDocument/2006/relationships/hyperlink" Target="https://www.ebay.com/itm/305729926018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147636765969" TargetMode="External" Id="rId117" /><Relationship Type="http://schemas.openxmlformats.org/officeDocument/2006/relationships/hyperlink" Target="https://www.ebay.com/itm/198733125600" TargetMode="External" Id="rId118" /><Relationship Type="http://schemas.openxmlformats.org/officeDocument/2006/relationships/hyperlink" Target="https://www.ebay.com/itm/128148777373" TargetMode="External" Id="rId119" /><Relationship Type="http://schemas.openxmlformats.org/officeDocument/2006/relationships/hyperlink" Target="https://www.ebay.com/itm/178171157775" TargetMode="External" Id="rId120" /><Relationship Type="http://schemas.openxmlformats.org/officeDocument/2006/relationships/hyperlink" Target="https://www.ebay.com/itm/266764723704" TargetMode="External" Id="rId121" /><Relationship Type="http://schemas.openxmlformats.org/officeDocument/2006/relationships/hyperlink" Target="https://www.ebay.com/itm/287572296725" TargetMode="External" Id="rId122" /><Relationship Type="http://schemas.openxmlformats.org/officeDocument/2006/relationships/hyperlink" Target="https://www.ebay.com/itm/389945918228" TargetMode="External" Id="rId123" /><Relationship Type="http://schemas.openxmlformats.org/officeDocument/2006/relationships/hyperlink" Target="https://www.ebay.com/itm/128148988213" TargetMode="External" Id="rId124" /><Relationship Type="http://schemas.openxmlformats.org/officeDocument/2006/relationships/hyperlink" Target="https://www.ebay.com/itm/800773514419" TargetMode="External" Id="rId125" /><Relationship Type="http://schemas.openxmlformats.org/officeDocument/2006/relationships/hyperlink" Target="https://www.ebay.com/itm/206529899548" TargetMode="External" Id="rId126" /><Relationship Type="http://schemas.openxmlformats.org/officeDocument/2006/relationships/hyperlink" Target="https://www.ebay.com/itm/820263539684" TargetMode="External" Id="rId127" /><Relationship Type="http://schemas.openxmlformats.org/officeDocument/2006/relationships/hyperlink" Target="https://www.ebay.com/itm/287663939921" TargetMode="External" Id="rId128" /><Relationship Type="http://schemas.openxmlformats.org/officeDocument/2006/relationships/hyperlink" Target="https://www.ebay.com/itm/206636986020" TargetMode="External" Id="rId129" /><Relationship Type="http://schemas.openxmlformats.org/officeDocument/2006/relationships/hyperlink" Target="https://www.ebay.com/itm/800814608902" TargetMode="External" Id="rId130" /><Relationship Type="http://schemas.openxmlformats.org/officeDocument/2006/relationships/hyperlink" Target="https://www.ebay.com/itm/168805855615" TargetMode="External" Id="rId131" /><Relationship Type="http://schemas.openxmlformats.org/officeDocument/2006/relationships/hyperlink" Target="https://www.ebay.com/itm/187668752673" TargetMode="External" Id="rId132" /><Relationship Type="http://schemas.openxmlformats.org/officeDocument/2006/relationships/hyperlink" Target="https://www.ebay.com/itm/147636765969" TargetMode="External" Id="rId133" /><Relationship Type="http://schemas.openxmlformats.org/officeDocument/2006/relationships/hyperlink" Target="https://www.ebay.com/itm/198733125600" TargetMode="External" Id="rId134" /><Relationship Type="http://schemas.openxmlformats.org/officeDocument/2006/relationships/hyperlink" Target="https://www.ebay.com/itm/327326823612" TargetMode="External" Id="rId135" /><Relationship Type="http://schemas.openxmlformats.org/officeDocument/2006/relationships/hyperlink" Target="https://www.ebay.com/itm/178171157775" TargetMode="External" Id="rId136" /><Relationship Type="http://schemas.openxmlformats.org/officeDocument/2006/relationships/hyperlink" Target="https://www.ebay.com/itm/389732753480" TargetMode="External" Id="rId137" /><Relationship Type="http://schemas.openxmlformats.org/officeDocument/2006/relationships/hyperlink" Target="https://www.ebay.com/itm/287572296725" TargetMode="External" Id="rId138" /><Relationship Type="http://schemas.openxmlformats.org/officeDocument/2006/relationships/hyperlink" Target="https://www.ebay.com/itm/389945918228" TargetMode="External" Id="rId139" /><Relationship Type="http://schemas.openxmlformats.org/officeDocument/2006/relationships/hyperlink" Target="https://www.ebay.com/itm/318668183718" TargetMode="External" Id="rId140" /><Relationship Type="http://schemas.openxmlformats.org/officeDocument/2006/relationships/hyperlink" Target="https://www.ebay.com/itm/800773514419" TargetMode="External" Id="rId141" /><Relationship Type="http://schemas.openxmlformats.org/officeDocument/2006/relationships/hyperlink" Target="https://www.ebay.com/itm/206529899548" TargetMode="External" Id="rId142" /><Relationship Type="http://schemas.openxmlformats.org/officeDocument/2006/relationships/hyperlink" Target="https://www.ebay.com/itm/267816522689" TargetMode="External" Id="rId143" /><Relationship Type="http://schemas.openxmlformats.org/officeDocument/2006/relationships/hyperlink" Target="https://www.ebay.com/itm/327408972899" TargetMode="External" Id="rId144" /><Relationship Type="http://schemas.openxmlformats.org/officeDocument/2006/relationships/hyperlink" Target="https://www.ebay.com/itm/147643723246" TargetMode="External" Id="rId145" /><Relationship Type="http://schemas.openxmlformats.org/officeDocument/2006/relationships/hyperlink" Target="https://www.ebay.com/itm/800814608902" TargetMode="External" Id="rId146" /><Relationship Type="http://schemas.openxmlformats.org/officeDocument/2006/relationships/hyperlink" Target="https://www.ebay.com/itm/305729926018" TargetMode="External" Id="rId147" /><Relationship Type="http://schemas.openxmlformats.org/officeDocument/2006/relationships/hyperlink" Target="https://www.ebay.com/itm/168798006867" TargetMode="External" Id="rId148" /><Relationship Type="http://schemas.openxmlformats.org/officeDocument/2006/relationships/hyperlink" Target="https://www.ebay.com/itm/880031658199" TargetMode="External" Id="rId149" /><Relationship Type="http://schemas.openxmlformats.org/officeDocument/2006/relationships/hyperlink" Target="https://www.ebay.com/itm/278191566067" TargetMode="External" Id="rId150" /><Relationship Type="http://schemas.openxmlformats.org/officeDocument/2006/relationships/hyperlink" Target="https://www.ebay.com/itm/327326823612" TargetMode="External" Id="rId151" /><Relationship Type="http://schemas.openxmlformats.org/officeDocument/2006/relationships/hyperlink" Target="https://www.ebay.com/itm/389732753480" TargetMode="External" Id="rId152" /><Relationship Type="http://schemas.openxmlformats.org/officeDocument/2006/relationships/hyperlink" Target="https://www.ebay.com/itm/307216088615" TargetMode="External" Id="rId153" /><Relationship Type="http://schemas.openxmlformats.org/officeDocument/2006/relationships/hyperlink" Target="https://www.ebay.com/itm/389945918228" TargetMode="External" Id="rId154" /><Relationship Type="http://schemas.openxmlformats.org/officeDocument/2006/relationships/hyperlink" Target="https://www.ebay.com/itm/318668183718" TargetMode="External" Id="rId155" /><Relationship Type="http://schemas.openxmlformats.org/officeDocument/2006/relationships/hyperlink" Target="https://www.ebay.com/itm/800773514419" TargetMode="External" Id="rId156" /><Relationship Type="http://schemas.openxmlformats.org/officeDocument/2006/relationships/hyperlink" Target="https://www.ebay.com/itm/189020669164" TargetMode="External" Id="rId157" /><Relationship Type="http://schemas.openxmlformats.org/officeDocument/2006/relationships/hyperlink" Target="https://www.ebay.com/itm/117476040544" TargetMode="External" Id="rId158" /><Relationship Type="http://schemas.openxmlformats.org/officeDocument/2006/relationships/hyperlink" Target="https://www.ebay.com/itm/327408972899" TargetMode="External" Id="rId159" /><Relationship Type="http://schemas.openxmlformats.org/officeDocument/2006/relationships/hyperlink" Target="https://www.ebay.com/itm/227402767941" TargetMode="External" Id="rId160" /><Relationship Type="http://schemas.openxmlformats.org/officeDocument/2006/relationships/hyperlink" Target="https://www.ebay.com/itm/137849777981" TargetMode="External" Id="rId161" /><Relationship Type="http://schemas.openxmlformats.org/officeDocument/2006/relationships/hyperlink" Target="https://www.ebay.com/itm/305729926018" TargetMode="External" Id="rId162" /><Relationship Type="http://schemas.openxmlformats.org/officeDocument/2006/relationships/hyperlink" Target="https://www.ebay.com/itm/168798006867" TargetMode="External" Id="rId163" /><Relationship Type="http://schemas.openxmlformats.org/officeDocument/2006/relationships/hyperlink" Target="https://www.ebay.com/itm/278191566067" TargetMode="External" Id="rId164" /><Relationship Type="http://schemas.openxmlformats.org/officeDocument/2006/relationships/hyperlink" Target="https://www.ebay.com/itm/960087777882" TargetMode="External" Id="rId165" /><Relationship Type="http://schemas.openxmlformats.org/officeDocument/2006/relationships/hyperlink" Target="https://www.ebay.com/itm/3897327534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89945918228" TargetMode="External" Id="rId168" /><Relationship Type="http://schemas.openxmlformats.org/officeDocument/2006/relationships/hyperlink" Target="https://www.ebay.com/itm/366720837166" TargetMode="External" Id="rId169" /><Relationship Type="http://schemas.openxmlformats.org/officeDocument/2006/relationships/hyperlink" Target="https://www.ebay.com/itm/800773514419" TargetMode="External" Id="rId170" /><Relationship Type="http://schemas.openxmlformats.org/officeDocument/2006/relationships/hyperlink" Target="https://www.ebay.com/itm/336848782800" TargetMode="External" Id="rId171" /><Relationship Type="http://schemas.openxmlformats.org/officeDocument/2006/relationships/hyperlink" Target="https://www.ebay.com/itm/267816522689" TargetMode="External" Id="rId172" /><Relationship Type="http://schemas.openxmlformats.org/officeDocument/2006/relationships/hyperlink" Target="https://www.ebay.com/itm/128104115525" TargetMode="External" Id="rId173" /><Relationship Type="http://schemas.openxmlformats.org/officeDocument/2006/relationships/hyperlink" Target="https://www.ebay.com/itm/227402767941" TargetMode="External" Id="rId174" /><Relationship Type="http://schemas.openxmlformats.org/officeDocument/2006/relationships/hyperlink" Target="https://www.ebay.com/itm/267395567857" TargetMode="External" Id="rId175" /><Relationship Type="http://schemas.openxmlformats.org/officeDocument/2006/relationships/hyperlink" Target="https://www.ebay.com/itm/305729926018" TargetMode="External" Id="rId176" /><Relationship Type="http://schemas.openxmlformats.org/officeDocument/2006/relationships/hyperlink" Target="https://www.ebay.com/itm/168798006867" TargetMode="External" Id="rId177" /><Relationship Type="http://schemas.openxmlformats.org/officeDocument/2006/relationships/hyperlink" Target="https://www.ebay.com/itm/900019342104" TargetMode="External" Id="rId178" /><Relationship Type="http://schemas.openxmlformats.org/officeDocument/2006/relationships/hyperlink" Target="https://www.ebay.com/itm/327326823612" TargetMode="External" Id="rId179" /><Relationship Type="http://schemas.openxmlformats.org/officeDocument/2006/relationships/hyperlink" Target="https://www.ebay.com/itm/389732753480" TargetMode="External" Id="rId180" /><Relationship Type="http://schemas.openxmlformats.org/officeDocument/2006/relationships/hyperlink" Target="https://www.ebay.com/itm/237116946397" TargetMode="External" Id="rId181" /><Relationship Type="http://schemas.openxmlformats.org/officeDocument/2006/relationships/hyperlink" Target="https://www.ebay.com/itm/389945918228" TargetMode="External" Id="rId182" /><Relationship Type="http://schemas.openxmlformats.org/officeDocument/2006/relationships/hyperlink" Target="https://www.ebay.com/itm/227570397990" TargetMode="External" Id="rId183" /><Relationship Type="http://schemas.openxmlformats.org/officeDocument/2006/relationships/hyperlink" Target="https://www.ebay.com/itm/800773514419" TargetMode="External" Id="rId184" /><Relationship Type="http://schemas.openxmlformats.org/officeDocument/2006/relationships/hyperlink" Target="https://www.ebay.com/itm/336848782800" TargetMode="External" Id="rId185" /><Relationship Type="http://schemas.openxmlformats.org/officeDocument/2006/relationships/hyperlink" Target="https://www.ebay.com/itm/267816522689" TargetMode="External" Id="rId186" /><Relationship Type="http://schemas.openxmlformats.org/officeDocument/2006/relationships/hyperlink" Target="https://www.ebay.com/itm/128104115525" TargetMode="External" Id="rId187" /><Relationship Type="http://schemas.openxmlformats.org/officeDocument/2006/relationships/hyperlink" Target="https://www.ebay.com/itm/227402767941" TargetMode="External" Id="rId188" /><Relationship Type="http://schemas.openxmlformats.org/officeDocument/2006/relationships/hyperlink" Target="https://www.ebay.com/itm/314675451357" TargetMode="External" Id="rId189" /><Relationship Type="http://schemas.openxmlformats.org/officeDocument/2006/relationships/hyperlink" Target="https://www.ebay.com/itm/305729926018" TargetMode="External" Id="rId190" /><Relationship Type="http://schemas.openxmlformats.org/officeDocument/2006/relationships/hyperlink" Target="https://www.ebay.com/itm/168798006867" TargetMode="External" Id="rId191" /><Relationship Type="http://schemas.openxmlformats.org/officeDocument/2006/relationships/hyperlink" Target="https://www.ebay.com/itm/900019342104" TargetMode="External" Id="rId192" /><Relationship Type="http://schemas.openxmlformats.org/officeDocument/2006/relationships/hyperlink" Target="https://www.ebay.com/itm/158132772011" TargetMode="External" Id="rId193" /><Relationship Type="http://schemas.openxmlformats.org/officeDocument/2006/relationships/hyperlink" Target="https://www.ebay.com/itm/389732753480" TargetMode="External" Id="rId194" /><Relationship Type="http://schemas.openxmlformats.org/officeDocument/2006/relationships/hyperlink" Target="https://www.ebay.com/itm/237116946397" TargetMode="External" Id="rId195" /><Relationship Type="http://schemas.openxmlformats.org/officeDocument/2006/relationships/hyperlink" Target="https://www.ebay.com/itm/389945918228" TargetMode="External" Id="rId196" /><Relationship Type="http://schemas.openxmlformats.org/officeDocument/2006/relationships/hyperlink" Target="https://www.ebay.com/itm/227570397990" TargetMode="External" Id="rId197" /><Relationship Type="http://schemas.openxmlformats.org/officeDocument/2006/relationships/hyperlink" Target="https://www.ebay.com/itm/800773514419" TargetMode="External" Id="rId198" /><Relationship Type="http://schemas.openxmlformats.org/officeDocument/2006/relationships/hyperlink" Target="https://www.ebay.com/itm/336848782800" TargetMode="External" Id="rId199" /><Relationship Type="http://schemas.openxmlformats.org/officeDocument/2006/relationships/hyperlink" Target="https://www.ebay.com/itm/277814335680" TargetMode="External" Id="rId200" /><Relationship Type="http://schemas.openxmlformats.org/officeDocument/2006/relationships/hyperlink" Target="https://www.ebay.com/itm/128104115525" TargetMode="External" Id="rId201" /><Relationship Type="http://schemas.openxmlformats.org/officeDocument/2006/relationships/hyperlink" Target="https://www.ebay.com/itm/227402767941" TargetMode="External" Id="rId202" /><Relationship Type="http://schemas.openxmlformats.org/officeDocument/2006/relationships/hyperlink" Target="https://www.ebay.com/itm/227568754751" TargetMode="External" Id="rId203" /><Relationship Type="http://schemas.openxmlformats.org/officeDocument/2006/relationships/hyperlink" Target="https://www.ebay.com/itm/305729926018" TargetMode="External" Id="rId204" /><Relationship Type="http://schemas.openxmlformats.org/officeDocument/2006/relationships/hyperlink" Target="https://www.ebay.com/itm/920041309011" TargetMode="External" Id="rId205" /><Relationship Type="http://schemas.openxmlformats.org/officeDocument/2006/relationships/hyperlink" Target="https://www.ebay.com/itm/327407001080" TargetMode="External" Id="rId206" /><Relationship Type="http://schemas.openxmlformats.org/officeDocument/2006/relationships/hyperlink" Target="https://www.ebay.com/itm/158132772011" TargetMode="External" Id="rId207" /><Relationship Type="http://schemas.openxmlformats.org/officeDocument/2006/relationships/hyperlink" Target="https://www.ebay.com/itm/389732753480" TargetMode="External" Id="rId208" /><Relationship Type="http://schemas.openxmlformats.org/officeDocument/2006/relationships/hyperlink" Target="https://www.ebay.com/itm/237116946397" TargetMode="External" Id="rId209" /><Relationship Type="http://schemas.openxmlformats.org/officeDocument/2006/relationships/hyperlink" Target="https://www.ebay.com/itm/389945918228" TargetMode="External" Id="rId210" /><Relationship Type="http://schemas.openxmlformats.org/officeDocument/2006/relationships/hyperlink" Target="https://www.ebay.com/itm/366720837166" TargetMode="External" Id="rId211" /><Relationship Type="http://schemas.openxmlformats.org/officeDocument/2006/relationships/hyperlink" Target="https://www.ebay.com/itm/800773514419" TargetMode="External" Id="rId212" /><Relationship Type="http://schemas.openxmlformats.org/officeDocument/2006/relationships/hyperlink" Target="https://www.ebay.com/itm/366718755179" TargetMode="External" Id="rId213" /><Relationship Type="http://schemas.openxmlformats.org/officeDocument/2006/relationships/hyperlink" Target="https://www.ebay.com/itm/277814335680" TargetMode="External" Id="rId214" /><Relationship Type="http://schemas.openxmlformats.org/officeDocument/2006/relationships/hyperlink" Target="https://www.ebay.com/itm/128104115525" TargetMode="External" Id="rId215" /><Relationship Type="http://schemas.openxmlformats.org/officeDocument/2006/relationships/hyperlink" Target="https://www.ebay.com/itm/227402767941" TargetMode="External" Id="rId216" /><Relationship Type="http://schemas.openxmlformats.org/officeDocument/2006/relationships/hyperlink" Target="https://www.ebay.com/itm/314675451357" TargetMode="External" Id="rId217" /><Relationship Type="http://schemas.openxmlformats.org/officeDocument/2006/relationships/hyperlink" Target="https://www.ebay.com/itm/335784468289" TargetMode="External" Id="rId218" /><Relationship Type="http://schemas.openxmlformats.org/officeDocument/2006/relationships/hyperlink" Target="https://www.ebay.com/itm/920041309011" TargetMode="External" Id="rId219" /><Relationship Type="http://schemas.openxmlformats.org/officeDocument/2006/relationships/hyperlink" Target="https://www.ebay.com/itm/307230030575" TargetMode="External" Id="rId220" /><Relationship Type="http://schemas.openxmlformats.org/officeDocument/2006/relationships/hyperlink" Target="https://www.ebay.com/itm/158132772011" TargetMode="External" Id="rId221" /><Relationship Type="http://schemas.openxmlformats.org/officeDocument/2006/relationships/hyperlink" Target="https://www.ebay.com/itm/389732753480" TargetMode="External" Id="rId222" /><Relationship Type="http://schemas.openxmlformats.org/officeDocument/2006/relationships/hyperlink" Target="https://www.ebay.com/itm/198709471618" TargetMode="External" Id="rId223" /><Relationship Type="http://schemas.openxmlformats.org/officeDocument/2006/relationships/hyperlink" Target="https://www.ebay.com/itm/389945918228" TargetMode="External" Id="rId224" /><Relationship Type="http://schemas.openxmlformats.org/officeDocument/2006/relationships/hyperlink" Target="https://www.ebay.com/itm/366720837166" TargetMode="External" Id="rId225" /><Relationship Type="http://schemas.openxmlformats.org/officeDocument/2006/relationships/hyperlink" Target="https://www.ebay.com/itm/800773514419" TargetMode="External" Id="rId226" /><Relationship Type="http://schemas.openxmlformats.org/officeDocument/2006/relationships/hyperlink" Target="https://www.ebay.com/itm/366718755179" TargetMode="External" Id="rId227" /><Relationship Type="http://schemas.openxmlformats.org/officeDocument/2006/relationships/hyperlink" Target="https://www.ebay.com/itm/960033835048" TargetMode="External" Id="rId228" /><Relationship Type="http://schemas.openxmlformats.org/officeDocument/2006/relationships/hyperlink" Target="https://www.ebay.com/itm/128104115525" TargetMode="External" Id="rId229" /><Relationship Type="http://schemas.openxmlformats.org/officeDocument/2006/relationships/hyperlink" Target="https://www.ebay.com/itm/227402767941" TargetMode="External" Id="rId230" /><Relationship Type="http://schemas.openxmlformats.org/officeDocument/2006/relationships/hyperlink" Target="https://www.ebay.com/itm/364224496605" TargetMode="External" Id="rId231" /><Relationship Type="http://schemas.openxmlformats.org/officeDocument/2006/relationships/hyperlink" Target="https://www.ebay.com/itm/267809260226" TargetMode="External" Id="rId232" /><Relationship Type="http://schemas.openxmlformats.org/officeDocument/2006/relationships/hyperlink" Target="https://www.ebay.com/itm/389401265654" TargetMode="External" Id="rId233" /><Relationship Type="http://schemas.openxmlformats.org/officeDocument/2006/relationships/hyperlink" Target="https://www.ebay.com/itm/307230030575" TargetMode="External" Id="rId234" /><Relationship Type="http://schemas.openxmlformats.org/officeDocument/2006/relationships/hyperlink" Target="https://www.ebay.com/itm/158132772011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77567672653" TargetMode="External" Id="rId237" /><Relationship Type="http://schemas.openxmlformats.org/officeDocument/2006/relationships/hyperlink" Target="https://www.ebay.com/itm/389945918228" TargetMode="External" Id="rId238" /><Relationship Type="http://schemas.openxmlformats.org/officeDocument/2006/relationships/hyperlink" Target="https://www.ebay.com/itm/366720837166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66718755179" TargetMode="External" Id="rId241" /><Relationship Type="http://schemas.openxmlformats.org/officeDocument/2006/relationships/hyperlink" Target="https://www.ebay.com/itm/960033835048" TargetMode="External" Id="rId242" /><Relationship Type="http://schemas.openxmlformats.org/officeDocument/2006/relationships/hyperlink" Target="https://www.ebay.com/itm/128104115525" TargetMode="External" Id="rId243" /><Relationship Type="http://schemas.openxmlformats.org/officeDocument/2006/relationships/hyperlink" Target="https://www.ebay.com/itm/227402767941" TargetMode="External" Id="rId244" /><Relationship Type="http://schemas.openxmlformats.org/officeDocument/2006/relationships/hyperlink" Target="https://www.ebay.com/itm/800572518683" TargetMode="External" Id="rId245" /><Relationship Type="http://schemas.openxmlformats.org/officeDocument/2006/relationships/hyperlink" Target="https://www.ebay.com/itm/267809260226" TargetMode="External" Id="rId246" /><Relationship Type="http://schemas.openxmlformats.org/officeDocument/2006/relationships/hyperlink" Target="https://www.ebay.com/itm/187668752673" TargetMode="External" Id="rId247" /><Relationship Type="http://schemas.openxmlformats.org/officeDocument/2006/relationships/hyperlink" Target="https://www.ebay.com/itm/398398409741" TargetMode="External" Id="rId248" /><Relationship Type="http://schemas.openxmlformats.org/officeDocument/2006/relationships/hyperlink" Target="https://www.ebay.com/itm/158132772011" TargetMode="External" Id="rId249" /><Relationship Type="http://schemas.openxmlformats.org/officeDocument/2006/relationships/hyperlink" Target="https://www.ebay.com/itm/389732753480" TargetMode="External" Id="rId250" /><Relationship Type="http://schemas.openxmlformats.org/officeDocument/2006/relationships/hyperlink" Target="https://www.ebay.com/itm/327369990511" TargetMode="External" Id="rId251" /><Relationship Type="http://schemas.openxmlformats.org/officeDocument/2006/relationships/hyperlink" Target="https://www.ebay.com/itm/389945918228" TargetMode="External" Id="rId252" /><Relationship Type="http://schemas.openxmlformats.org/officeDocument/2006/relationships/hyperlink" Target="https://www.ebay.com/itm/366720837166" TargetMode="External" Id="rId253" /><Relationship Type="http://schemas.openxmlformats.org/officeDocument/2006/relationships/hyperlink" Target="https://www.ebay.com/itm/800773514419" TargetMode="External" Id="rId254" /><Relationship Type="http://schemas.openxmlformats.org/officeDocument/2006/relationships/hyperlink" Target="https://www.ebay.com/itm/366718755179" TargetMode="External" Id="rId255" /><Relationship Type="http://schemas.openxmlformats.org/officeDocument/2006/relationships/hyperlink" Target="https://www.ebay.com/itm/960033835048" TargetMode="External" Id="rId256" /><Relationship Type="http://schemas.openxmlformats.org/officeDocument/2006/relationships/hyperlink" Target="https://www.ebay.com/itm/237072275336" TargetMode="External" Id="rId257" /><Relationship Type="http://schemas.openxmlformats.org/officeDocument/2006/relationships/hyperlink" Target="https://www.ebay.com/itm/227402767941" TargetMode="External" Id="rId258" /><Relationship Type="http://schemas.openxmlformats.org/officeDocument/2006/relationships/hyperlink" Target="https://www.ebay.com/itm/800572518683" TargetMode="External" Id="rId259" /><Relationship Type="http://schemas.openxmlformats.org/officeDocument/2006/relationships/hyperlink" Target="https://www.ebay.com/itm/267809260226" TargetMode="External" Id="rId260" /><Relationship Type="http://schemas.openxmlformats.org/officeDocument/2006/relationships/hyperlink" Target="https://www.ebay.com/itm/187668752673" TargetMode="External" Id="rId261" /><Relationship Type="http://schemas.openxmlformats.org/officeDocument/2006/relationships/hyperlink" Target="https://www.ebay.com/itm/377562785374" TargetMode="External" Id="rId262" /><Relationship Type="http://schemas.openxmlformats.org/officeDocument/2006/relationships/hyperlink" Target="https://www.ebay.com/itm/158132772011" TargetMode="External" Id="rId263" /><Relationship Type="http://schemas.openxmlformats.org/officeDocument/2006/relationships/hyperlink" Target="https://www.ebay.com/itm/389732753480" TargetMode="External" Id="rId264" /><Relationship Type="http://schemas.openxmlformats.org/officeDocument/2006/relationships/hyperlink" Target="https://www.ebay.com/itm/198709471618" TargetMode="External" Id="rId265" /><Relationship Type="http://schemas.openxmlformats.org/officeDocument/2006/relationships/hyperlink" Target="https://www.ebay.com/itm/389945918228" TargetMode="External" Id="rId266" /><Relationship Type="http://schemas.openxmlformats.org/officeDocument/2006/relationships/hyperlink" Target="https://www.ebay.com/itm/278289521729" TargetMode="External" Id="rId267" /><Relationship Type="http://schemas.openxmlformats.org/officeDocument/2006/relationships/hyperlink" Target="https://www.ebay.com/itm/800773514419" TargetMode="External" Id="rId268" /><Relationship Type="http://schemas.openxmlformats.org/officeDocument/2006/relationships/hyperlink" Target="https://www.ebay.com/itm/840012484062" TargetMode="External" Id="rId269" /><Relationship Type="http://schemas.openxmlformats.org/officeDocument/2006/relationships/hyperlink" Target="https://www.ebay.com/itm/960033835048" TargetMode="External" Id="rId270" /><Relationship Type="http://schemas.openxmlformats.org/officeDocument/2006/relationships/hyperlink" Target="https://www.ebay.com/itm/237072275336" TargetMode="External" Id="rId271" /><Relationship Type="http://schemas.openxmlformats.org/officeDocument/2006/relationships/hyperlink" Target="https://www.facebook.com/marketplace/item/1448988227128820/" TargetMode="External" Id="rId272" /><Relationship Type="http://schemas.openxmlformats.org/officeDocument/2006/relationships/hyperlink" Target="https://msrcomputers.framer.website/" TargetMode="External" Id="rId273" /><Relationship Type="http://schemas.openxmlformats.org/officeDocument/2006/relationships/hyperlink" Target="https://www.facebook.com/marketplace/item/2555034215012611/" TargetMode="External" Id="rId274" /><Relationship Type="http://schemas.openxmlformats.org/officeDocument/2006/relationships/hyperlink" Target="https://www.facebook.com/marketplace/item/959874386670350/" TargetMode="External" Id="rId275" /><Relationship Type="http://schemas.openxmlformats.org/officeDocument/2006/relationships/hyperlink" Target="https://msrcomputers.framer.website/" TargetMode="External" Id="rId276" /><Relationship Type="http://schemas.openxmlformats.org/officeDocument/2006/relationships/hyperlink" Target="https://msrcomputers.framer.website/" TargetMode="External" Id="rId277" /><Relationship Type="http://schemas.openxmlformats.org/officeDocument/2006/relationships/hyperlink" Target="https://www.facebook.com/marketplace/item/1414394683871926/" TargetMode="External" Id="rId278" /><Relationship Type="http://schemas.openxmlformats.org/officeDocument/2006/relationships/table" Target="/xl/tables/table2.xml" Id="rId279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www.ebay.com/itm/389732753480" TargetMode="External" Id="rId502" /><Relationship Type="http://schemas.openxmlformats.org/officeDocument/2006/relationships/hyperlink" Target="https://www.ebay.com/itm/128148777373" TargetMode="External" Id="rId503" /><Relationship Type="http://schemas.openxmlformats.org/officeDocument/2006/relationships/hyperlink" Target="https://www.ebay.com/itm/298166712086" TargetMode="External" Id="rId504" /><Relationship Type="http://schemas.openxmlformats.org/officeDocument/2006/relationships/hyperlink" Target="https://www.ebay.com/itm/305729926018" TargetMode="External" Id="rId505" /><Relationship Type="http://schemas.openxmlformats.org/officeDocument/2006/relationships/hyperlink" Target="https://www.ebay.com/itm/117481448193" TargetMode="External" Id="rId506" /><Relationship Type="http://schemas.openxmlformats.org/officeDocument/2006/relationships/hyperlink" Target="https://www.ebay.com/itm/389945918228" TargetMode="External" Id="rId507" /><Relationship Type="http://schemas.openxmlformats.org/officeDocument/2006/relationships/hyperlink" Target="https://www.ebay.com/itm/128145077866" TargetMode="External" Id="rId508" /><Relationship Type="http://schemas.openxmlformats.org/officeDocument/2006/relationships/hyperlink" Target="https://www.ebay.com/itm/327408972899" TargetMode="External" Id="rId509" /><Relationship Type="http://schemas.openxmlformats.org/officeDocument/2006/relationships/hyperlink" Target="https://www.ebay.com/itm/147595555861" TargetMode="External" Id="rId510" /><Relationship Type="http://schemas.openxmlformats.org/officeDocument/2006/relationships/hyperlink" Target="https://www.ebay.com/itm/920083302531" TargetMode="External" Id="rId511" /><Relationship Type="http://schemas.openxmlformats.org/officeDocument/2006/relationships/hyperlink" Target="https://www.ebay.com/itm/117348328956" TargetMode="External" Id="rId512" /><Relationship Type="http://schemas.openxmlformats.org/officeDocument/2006/relationships/hyperlink" Target="https://www.ebay.com/itm/227402767941" TargetMode="External" Id="rId513" /><Relationship Type="http://schemas.openxmlformats.org/officeDocument/2006/relationships/hyperlink" Target="https://www.ebay.com/itm/267799061448" TargetMode="External" Id="rId514" /><Relationship Type="http://schemas.openxmlformats.org/officeDocument/2006/relationships/hyperlink" Target="https://www.ebay.com/itm/178171158022" TargetMode="External" Id="rId515" /><Relationship Type="http://schemas.openxmlformats.org/officeDocument/2006/relationships/hyperlink" Target="https://www.ebay.com/itm/117471054969" TargetMode="External" Id="rId516" /><Relationship Type="http://schemas.openxmlformats.org/officeDocument/2006/relationships/hyperlink" Target="https://www.ebay.com/itm/278191566067" TargetMode="External" Id="rId517" /><Relationship Type="http://schemas.openxmlformats.org/officeDocument/2006/relationships/hyperlink" Target="https://www.ebay.com/itm/287650346237" TargetMode="External" Id="rId518" /><Relationship Type="http://schemas.openxmlformats.org/officeDocument/2006/relationships/hyperlink" Target="https://www.ebay.com/itm/336868626113" TargetMode="External" Id="rId519" /><Relationship Type="http://schemas.openxmlformats.org/officeDocument/2006/relationships/hyperlink" Target="https://www.ebay.com/itm/257573828939" TargetMode="External" Id="rId520" /><Relationship Type="http://schemas.openxmlformats.org/officeDocument/2006/relationships/hyperlink" Target="https://www.ebay.com/itm/227499788298" TargetMode="External" Id="rId521" /><Relationship Type="http://schemas.openxmlformats.org/officeDocument/2006/relationships/hyperlink" Target="https://www.ebay.com/itm/960126966354" TargetMode="External" Id="rId522" /><Relationship Type="http://schemas.openxmlformats.org/officeDocument/2006/relationships/hyperlink" Target="https://www.ebay.com/itm/960102500017" TargetMode="External" Id="rId523" /><Relationship Type="http://schemas.openxmlformats.org/officeDocument/2006/relationships/hyperlink" Target="https://www.ebay.com/itm/116462308934" TargetMode="External" Id="rId524" /><Relationship Type="http://schemas.openxmlformats.org/officeDocument/2006/relationships/hyperlink" Target="https://www.ebay.com/itm/116205098653" TargetMode="External" Id="rId525" /><Relationship Type="http://schemas.openxmlformats.org/officeDocument/2006/relationships/hyperlink" Target="https://www.ebay.com/itm/116237423865" TargetMode="External" Id="rId526" /><Relationship Type="http://schemas.openxmlformats.org/officeDocument/2006/relationships/hyperlink" Target="https://www.ebay.com/itm/820274045603" TargetMode="External" Id="rId527" /><Relationship Type="http://schemas.openxmlformats.org/officeDocument/2006/relationships/hyperlink" Target="https://www.ebay.com/itm/227579390661" TargetMode="External" Id="rId528" /><Relationship Type="http://schemas.openxmlformats.org/officeDocument/2006/relationships/hyperlink" Target="https://www.ebay.com/itm/318826733936" TargetMode="External" Id="rId529" /><Relationship Type="http://schemas.openxmlformats.org/officeDocument/2006/relationships/hyperlink" Target="https://www.ebay.com/itm/327275170355" TargetMode="External" Id="rId530" /><Relationship Type="http://schemas.openxmlformats.org/officeDocument/2006/relationships/hyperlink" Target="https://www.ebay.com/itm/257792135268" TargetMode="External" Id="rId531" /><Relationship Type="http://schemas.openxmlformats.org/officeDocument/2006/relationships/hyperlink" Target="https://msrcomputers.framer.website/" TargetMode="External" Id="rId532" /><Relationship Type="http://schemas.openxmlformats.org/officeDocument/2006/relationships/hyperlink" Target="https://msrcomputers.framer.website/" TargetMode="External" Id="rId533" /><Relationship Type="http://schemas.openxmlformats.org/officeDocument/2006/relationships/hyperlink" Target="https://msrcomputers.framer.website/" TargetMode="External" Id="rId534" /><Relationship Type="http://schemas.openxmlformats.org/officeDocument/2006/relationships/hyperlink" Target="https://www.facebook.com/marketplace/item/2555034215012611/" TargetMode="External" Id="rId535" /><Relationship Type="http://schemas.openxmlformats.org/officeDocument/2006/relationships/hyperlink" Target="https://www.facebook.com/marketplace/item/2669179450145313/" TargetMode="External" Id="rId536" /><Relationship Type="http://schemas.openxmlformats.org/officeDocument/2006/relationships/hyperlink" Target="https://www.facebook.com/marketplace/item/1361869715871206/" TargetMode="External" Id="rId537" /><Relationship Type="http://schemas.openxmlformats.org/officeDocument/2006/relationships/hyperlink" Target="https://www.facebook.com/marketplace/item/1582597166589691/" TargetMode="External" Id="rId538" /><Relationship Type="http://schemas.openxmlformats.org/officeDocument/2006/relationships/hyperlink" Target="https://www.facebook.com/marketplace/item/2167313420829167/" TargetMode="External" Id="rId539" /><Relationship Type="http://schemas.openxmlformats.org/officeDocument/2006/relationships/hyperlink" Target="https://www.facebook.com/marketplace/item/1796562071723775/" TargetMode="External" Id="rId540" /><Relationship Type="http://schemas.openxmlformats.org/officeDocument/2006/relationships/hyperlink" Target="https://www.facebook.com/marketplace/item/1414394683871926/" TargetMode="External" Id="rId541" /><Relationship Type="http://schemas.openxmlformats.org/officeDocument/2006/relationships/hyperlink" Target="https://www.facebook.com/marketplace/item/1074400352041144/" TargetMode="External" Id="rId542" /><Relationship Type="http://schemas.openxmlformats.org/officeDocument/2006/relationships/hyperlink" Target="https://www.facebook.com/marketplace/item/959874386670350/" TargetMode="External" Id="rId543" /><Relationship Type="http://schemas.openxmlformats.org/officeDocument/2006/relationships/hyperlink" Target="https://www.facebook.com/marketplace/item/2347323546077904/" TargetMode="External" Id="rId544" /><Relationship Type="http://schemas.openxmlformats.org/officeDocument/2006/relationships/hyperlink" Target="https://www.facebook.com/marketplace/item/2345958202816013/" TargetMode="External" Id="rId545" /><Relationship Type="http://schemas.openxmlformats.org/officeDocument/2006/relationships/hyperlink" Target="https://www.facebook.com/marketplace/item/1448988227128820/" TargetMode="External" Id="rId546" /><Relationship Type="http://schemas.openxmlformats.org/officeDocument/2006/relationships/hyperlink" Target="https://www.facebook.com/marketplace/item/2817371738643128/" TargetMode="External" Id="rId547" /><Relationship Type="http://schemas.openxmlformats.org/officeDocument/2006/relationships/hyperlink" Target="https://www.facebook.com/marketplace/item/2078197563584097/" TargetMode="External" Id="rId548" /><Relationship Type="http://schemas.openxmlformats.org/officeDocument/2006/relationships/hyperlink" Target="https://www.facebook.com/marketplace/item/1537210071754803/" TargetMode="External" Id="rId549" /><Relationship Type="http://schemas.openxmlformats.org/officeDocument/2006/relationships/hyperlink" Target="https://cyrexstore.com/" TargetMode="External" Id="rId550" /><Relationship Type="http://schemas.openxmlformats.org/officeDocument/2006/relationships/hyperlink" Target="https://cyrexstore.com/" TargetMode="External" Id="rId551" /><Relationship Type="http://schemas.openxmlformats.org/officeDocument/2006/relationships/hyperlink" Target="https://cyrexstore.com/" TargetMode="External" Id="rId552" /><Relationship Type="http://schemas.openxmlformats.org/officeDocument/2006/relationships/hyperlink" Target="https://compucenter.store/" TargetMode="External" Id="rId553" /><Relationship Type="http://schemas.openxmlformats.org/officeDocument/2006/relationships/hyperlink" Target="https://www.facebook.com/marketplace/item/1292124363069503/" TargetMode="External" Id="rId554" /><Relationship Type="http://schemas.openxmlformats.org/officeDocument/2006/relationships/hyperlink" Target="https://www.facebook.com/marketplace/item/1292124363069503/" TargetMode="External" Id="rId555" /><Relationship Type="http://schemas.openxmlformats.org/officeDocument/2006/relationships/hyperlink" Target="https://www.pccomponents-bo.com/" TargetMode="External" Id="rId556" /><Relationship Type="http://schemas.openxmlformats.org/officeDocument/2006/relationships/hyperlink" Target="https://www.pccomponents-bo.com/" TargetMode="External" Id="rId557" /><Relationship Type="http://schemas.openxmlformats.org/officeDocument/2006/relationships/hyperlink" Target="https://www.pccomponents-bo.com/" TargetMode="External" Id="rId558" /><Relationship Type="http://schemas.openxmlformats.org/officeDocument/2006/relationships/hyperlink" Target="https://www.facebook.com/marketplace/item/2840215069674304/" TargetMode="External" Id="rId559" /><Relationship Type="http://schemas.openxmlformats.org/officeDocument/2006/relationships/hyperlink" Target="https://www.pccomponents-bo.com/" TargetMode="External" Id="rId560" /><Relationship Type="http://schemas.openxmlformats.org/officeDocument/2006/relationships/hyperlink" Target="https://www.puntotecnologic.com/categories/procesadores" TargetMode="External" Id="rId561" /><Relationship Type="http://schemas.openxmlformats.org/officeDocument/2006/relationships/hyperlink" Target="https://www.puntotecnologic.com/categories/procesadores" TargetMode="External" Id="rId562" /><Relationship Type="http://schemas.openxmlformats.org/officeDocument/2006/relationships/hyperlink" Target="https://www.puntotecnologic.com/categories/procesadores" TargetMode="External" Id="rId563" /><Relationship Type="http://schemas.openxmlformats.org/officeDocument/2006/relationships/hyperlink" Target="https://www.puntotecnologic.com/categories/procesadores" TargetMode="External" Id="rId564" /><Relationship Type="http://schemas.openxmlformats.org/officeDocument/2006/relationships/hyperlink" Target="https://www.puntotecnologic.com/categories/procesadores" TargetMode="External" Id="rId565" /><Relationship Type="http://schemas.openxmlformats.org/officeDocument/2006/relationships/hyperlink" Target="https://www.puntotecnologic.com/categories/procesadores" TargetMode="External" Id="rId566" /><Relationship Type="http://schemas.openxmlformats.org/officeDocument/2006/relationships/hyperlink" Target="https://www.puntotecnologic.com/categories/procesadores" TargetMode="External" Id="rId567" /><Relationship Type="http://schemas.openxmlformats.org/officeDocument/2006/relationships/hyperlink" Target="https://www.puntotecnologic.com/categories/memoria-ram" TargetMode="External" Id="rId568" /><Relationship Type="http://schemas.openxmlformats.org/officeDocument/2006/relationships/hyperlink" Target="https://www.puntotecnologic.com/categories/memoria-ram" TargetMode="External" Id="rId569" /><Relationship Type="http://schemas.openxmlformats.org/officeDocument/2006/relationships/hyperlink" Target="https://www.puntotecnologic.com/categories/memoria-ram" TargetMode="External" Id="rId570" /><Relationship Type="http://schemas.openxmlformats.org/officeDocument/2006/relationships/hyperlink" Target="https://www.puntotecnologic.com/categories/memoria-ram" TargetMode="External" Id="rId571" /><Relationship Type="http://schemas.openxmlformats.org/officeDocument/2006/relationships/hyperlink" Target="https://www.puntotecnologic.com/categories/disco-solido" TargetMode="External" Id="rId572" /><Relationship Type="http://schemas.openxmlformats.org/officeDocument/2006/relationships/hyperlink" Target="https://www.puntotecnologic.com/categories/disco-solido" TargetMode="External" Id="rId573" /><Relationship Type="http://schemas.openxmlformats.org/officeDocument/2006/relationships/hyperlink" Target="https://www.puntotecnologic.com/categories/disco-solido" TargetMode="External" Id="rId574" /><Relationship Type="http://schemas.openxmlformats.org/officeDocument/2006/relationships/hyperlink" Target="https://www.puntotecnologic.com/categories/disco-solido" TargetMode="External" Id="rId575" /><Relationship Type="http://schemas.openxmlformats.org/officeDocument/2006/relationships/hyperlink" Target="https://www.puntotecnologic.com/categories/disco-solido" TargetMode="External" Id="rId576" /><Relationship Type="http://schemas.openxmlformats.org/officeDocument/2006/relationships/hyperlink" Target="https://www.facebook.com/computadorascochabamba/" TargetMode="External" Id="rId577" /><Relationship Type="http://schemas.openxmlformats.org/officeDocument/2006/relationships/hyperlink" Target="https://www.facebook.com/computadorascochabamba/" TargetMode="External" Id="rId578" /><Relationship Type="http://schemas.openxmlformats.org/officeDocument/2006/relationships/hyperlink" Target="https://www.facebook.com/computadorascochabamba/" TargetMode="External" Id="rId579" /><Relationship Type="http://schemas.openxmlformats.org/officeDocument/2006/relationships/hyperlink" Target="https://www.facebook.com/marketplace/item/2555034215012611/" TargetMode="External" Id="rId580" /><Relationship Type="http://schemas.openxmlformats.org/officeDocument/2006/relationships/hyperlink" Target="https://www.facebook.com/marketplace/item/1408789477863562/" TargetMode="External" Id="rId581" /><Relationship Type="http://schemas.openxmlformats.org/officeDocument/2006/relationships/hyperlink" Target="https://geek-store-bolivia.kyte.site/es/c/procesadores/1732582305626-dxXRD" TargetMode="External" Id="rId582" /><Relationship Type="http://schemas.openxmlformats.org/officeDocument/2006/relationships/hyperlink" Target="https://www.facebook.com/marketplace/item/1412645017712543/" TargetMode="External" Id="rId583" /><Relationship Type="http://schemas.openxmlformats.org/officeDocument/2006/relationships/hyperlink" Target="https://cyrexstore.com/tienda?category=procesadores" TargetMode="External" Id="rId584" /><Relationship Type="http://schemas.openxmlformats.org/officeDocument/2006/relationships/hyperlink" Target="https://cyrexstore.com/tienda?category=procesadores" TargetMode="External" Id="rId585" /><Relationship Type="http://schemas.openxmlformats.org/officeDocument/2006/relationships/hyperlink" Target="https://cyrexstore.com/tienda?category=procesadores" TargetMode="External" Id="rId586" /><Relationship Type="http://schemas.openxmlformats.org/officeDocument/2006/relationships/hyperlink" Target="https://www.facebook.com/marketplace/item/1412645017712543/" TargetMode="External" Id="rId587" /><Relationship Type="http://schemas.openxmlformats.org/officeDocument/2006/relationships/hyperlink" Target="https://www.facebook.com/marketplace/item/1098289102810322/" TargetMode="External" Id="rId588" /><Relationship Type="http://schemas.openxmlformats.org/officeDocument/2006/relationships/hyperlink" Target="https://www.facebook.com/marketplace/item/1448988227128820/" TargetMode="External" Id="rId589" /><Relationship Type="http://schemas.openxmlformats.org/officeDocument/2006/relationships/hyperlink" Target="https://www.facebook.com/marketplace/item/1827642128274261/" TargetMode="External" Id="rId590" /><Relationship Type="http://schemas.openxmlformats.org/officeDocument/2006/relationships/hyperlink" Target="https://www.facebook.com/marketplace/item/1705669717854463/" TargetMode="External" Id="rId591" /><Relationship Type="http://schemas.openxmlformats.org/officeDocument/2006/relationships/hyperlink" Target="https://www.facebook.com/marketplace/item/1442061974651151/" TargetMode="External" Id="rId592" /><Relationship Type="http://schemas.openxmlformats.org/officeDocument/2006/relationships/hyperlink" Target="https://www.facebook.com/marketplace/item/1625374825929437/" TargetMode="External" Id="rId593" /><Relationship Type="http://schemas.openxmlformats.org/officeDocument/2006/relationships/hyperlink" Target="https://www.facebook.com/marketplace/item/2891757594521096/" TargetMode="External" Id="rId594" /><Relationship Type="http://schemas.openxmlformats.org/officeDocument/2006/relationships/hyperlink" Target="https://www.facebook.com/marketplace/item/3707244856102112/" TargetMode="External" Id="rId595" /><Relationship Type="http://schemas.openxmlformats.org/officeDocument/2006/relationships/hyperlink" Target="https://www.facebook.com/marketplace/item/2669179450145313/" TargetMode="External" Id="rId596" /><Relationship Type="http://schemas.openxmlformats.org/officeDocument/2006/relationships/hyperlink" Target="https://www.facebook.com/marketplace/item/1361869715871206/" TargetMode="External" Id="rId597" /><Relationship Type="http://schemas.openxmlformats.org/officeDocument/2006/relationships/hyperlink" Target="https://www.facebook.com/marketplace/item/1047051831574251/" TargetMode="External" Id="rId598" /><Relationship Type="http://schemas.openxmlformats.org/officeDocument/2006/relationships/hyperlink" Target="https://www.facebook.com/marketplace/item/887277370696710/" TargetMode="External" Id="rId599" /><Relationship Type="http://schemas.openxmlformats.org/officeDocument/2006/relationships/hyperlink" Target="https://www.facebook.com/marketplace/item/1339516938090376/" TargetMode="External" Id="rId600" /><Relationship Type="http://schemas.openxmlformats.org/officeDocument/2006/relationships/hyperlink" Target="https://www.facebook.com/marketplace/item/1679211106494937/" TargetMode="External" Id="rId601" /><Relationship Type="http://schemas.openxmlformats.org/officeDocument/2006/relationships/hyperlink" Target="https://cyrexstore.com/producto/procesador-amd-ryzen-7-7700x-box" TargetMode="External" Id="rId602" /><Relationship Type="http://schemas.openxmlformats.org/officeDocument/2006/relationships/hyperlink" Target="https://www.facebook.com/marketplace/item/1080072357820250/" TargetMode="External" Id="rId603" /><Relationship Type="http://schemas.openxmlformats.org/officeDocument/2006/relationships/hyperlink" Target="https://www.facebook.com/marketplace/item/1975520143403882/" TargetMode="External" Id="rId604" /><Relationship Type="http://schemas.openxmlformats.org/officeDocument/2006/relationships/hyperlink" Target="https://www.facebook.com/marketplace/item/1643334157386642/" TargetMode="External" Id="rId605" /><Relationship Type="http://schemas.openxmlformats.org/officeDocument/2006/relationships/hyperlink" Target="https://www.facebook.com/marketplace/item/3707244856102112/" TargetMode="External" Id="rId606" /><Relationship Type="http://schemas.openxmlformats.org/officeDocument/2006/relationships/hyperlink" Target="https://www.facebook.com/marketplace/item/27971414262519546/" TargetMode="External" Id="rId607" /><Relationship Type="http://schemas.openxmlformats.org/officeDocument/2006/relationships/hyperlink" Target="https://www.puntotecnologic.com/categories/procesadores" TargetMode="External" Id="rId608" /><Relationship Type="http://schemas.openxmlformats.org/officeDocument/2006/relationships/hyperlink" Target="https://www.facebook.com/marketplace/item/1726943245105041/" TargetMode="External" Id="rId609" /><Relationship Type="http://schemas.openxmlformats.org/officeDocument/2006/relationships/hyperlink" Target="https://www.facebook.com/marketplace/item/1668384550897935/" TargetMode="External" Id="rId610" /><Relationship Type="http://schemas.openxmlformats.org/officeDocument/2006/relationships/hyperlink" Target="https://www.facebook.com/marketplace/item/1080392851443431/" TargetMode="External" Id="rId611" /><Relationship Type="http://schemas.openxmlformats.org/officeDocument/2006/relationships/table" Target="/xl/tables/table3.xml" Id="rId6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29/10/2026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i5-12400F</t>
        </is>
      </c>
      <c r="B6" s="5" t="inlineStr">
        <is>
          <t>CPU</t>
        </is>
      </c>
      <c r="C6" s="6" t="inlineStr">
        <is>
          <t>ver en eBay</t>
        </is>
      </c>
      <c r="D6" s="7" t="n">
        <v>140</v>
      </c>
      <c r="E6" s="7" t="n">
        <v>0</v>
      </c>
      <c r="F6" s="7" t="n">
        <v>119.99</v>
      </c>
      <c r="G6" s="8" t="n">
        <v>2350</v>
      </c>
      <c r="H6" s="8" t="n">
        <v>2260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250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249.99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325</v>
      </c>
      <c r="E8" s="7" t="n">
        <v>0</v>
      </c>
      <c r="F8" s="7" t="n">
        <v>265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130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114.99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389.99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SSD NVMe 1TB</t>
        </is>
      </c>
      <c r="B16" s="5" t="inlineStr">
        <is>
          <t>SSD</t>
        </is>
      </c>
      <c r="C16" s="6" t="inlineStr">
        <is>
          <t>ver en eBay</t>
        </is>
      </c>
      <c r="D16" s="7" t="n">
        <v>135</v>
      </c>
      <c r="E16" s="7" t="n">
        <v>0</v>
      </c>
      <c r="F16" s="7" t="n">
        <v>99</v>
      </c>
      <c r="G16" s="8" t="n">
        <v>1100</v>
      </c>
      <c r="H16" s="8" t="n">
        <v>1754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80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89.98999999999999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114.99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46324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46323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46324</v>
      </c>
      <c r="B3" s="5" t="inlineStr">
        <is>
          <t>SSD NVMe 1TB</t>
        </is>
      </c>
      <c r="C3" s="5" t="inlineStr">
        <is>
          <t>SSD</t>
        </is>
      </c>
      <c r="D3" s="7" t="n">
        <v>135</v>
      </c>
      <c r="E3" s="7" t="n">
        <v>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46323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46324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46323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46324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265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46323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46324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46323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46324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46323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46324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114.99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46323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46324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114.99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46323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46324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131.99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46323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46324</v>
      </c>
      <c r="B11" s="5" t="inlineStr">
        <is>
          <t>RAM DDR4 16GB (2x8) 3200</t>
        </is>
      </c>
      <c r="C11" s="5" t="inlineStr">
        <is>
          <t>RAM</t>
        </is>
      </c>
      <c r="D11" s="7" t="n">
        <v>89.98999999999999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46323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46324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46323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46324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129.99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46323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46324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46323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46324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7" t="n">
        <v>249.99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46323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46324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419.99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46323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46324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46323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46322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46323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1100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46322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46323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46322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46323</v>
      </c>
      <c r="B21" s="5" t="inlineStr">
        <is>
          <t>Ryzen 7 7800X3D</t>
        </is>
      </c>
      <c r="C21" s="5" t="inlineStr">
        <is>
          <t>CPU</t>
        </is>
      </c>
      <c r="D21" s="7" t="n">
        <v>325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46322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46323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8" t="n">
        <v>4000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46322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46323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46322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46323</v>
      </c>
      <c r="B24" s="5" t="inlineStr">
        <is>
          <t>Ryzen 5 7600</t>
        </is>
      </c>
      <c r="C24" s="5" t="inlineStr">
        <is>
          <t>CPU</t>
        </is>
      </c>
      <c r="D24" s="7" t="n">
        <v>146.98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46322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46323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46322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46323</v>
      </c>
      <c r="B26" s="5" t="inlineStr">
        <is>
          <t>Ryzen 5 5600</t>
        </is>
      </c>
      <c r="C26" s="5" t="inlineStr">
        <is>
          <t>CPU</t>
        </is>
      </c>
      <c r="D26" s="7" t="n">
        <v>138.9</v>
      </c>
      <c r="E26" s="7" t="n">
        <v>131.99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46322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46323</v>
      </c>
      <c r="B27" s="5" t="inlineStr">
        <is>
          <t>RAM DDR4 16GB (2x8) 3200</t>
        </is>
      </c>
      <c r="C27" s="5" t="inlineStr">
        <is>
          <t>RAM</t>
        </is>
      </c>
      <c r="D27" s="7" t="n">
        <v>100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46322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46323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46322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46323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46322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46323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124.85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46322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46323</v>
      </c>
      <c r="B31" s="5" t="inlineStr">
        <is>
          <t>Intel Core Ultra 7 265K</t>
        </is>
      </c>
      <c r="C31" s="5" t="inlineStr">
        <is>
          <t>CPU</t>
        </is>
      </c>
      <c r="D31" s="7" t="n">
        <v>250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46322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46323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46323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46322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46321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46322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89.95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46321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46322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430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46321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46322</v>
      </c>
      <c r="B37" s="5" t="inlineStr">
        <is>
          <t>Ryzen 7 7800X3D</t>
        </is>
      </c>
      <c r="C37" s="5" t="inlineStr">
        <is>
          <t>CPU</t>
        </is>
      </c>
      <c r="D37" s="7" t="n">
        <v>325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46321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46322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46321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46322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319.99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46321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46322</v>
      </c>
      <c r="B40" s="5" t="inlineStr">
        <is>
          <t>Ryzen 5 7600</t>
        </is>
      </c>
      <c r="C40" s="5" t="inlineStr">
        <is>
          <t>CPU</t>
        </is>
      </c>
      <c r="D40" s="7" t="n">
        <v>146.98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46321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46322</v>
      </c>
      <c r="B41" s="5" t="inlineStr">
        <is>
          <t>Ryzen 5 7500F</t>
        </is>
      </c>
      <c r="C41" s="5" t="inlineStr">
        <is>
          <t>CPU</t>
        </is>
      </c>
      <c r="D41" s="7" t="n">
        <v>135.6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46321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46322</v>
      </c>
      <c r="B42" s="5" t="inlineStr">
        <is>
          <t>Ryzen 5 5600</t>
        </is>
      </c>
      <c r="C42" s="5" t="inlineStr">
        <is>
          <t>CPU</t>
        </is>
      </c>
      <c r="D42" s="7" t="n">
        <v>159.99</v>
      </c>
      <c r="E42" s="7" t="n">
        <v>133.99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46321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46322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46321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46322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46321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46322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46321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46322</v>
      </c>
      <c r="B46" s="5" t="inlineStr">
        <is>
          <t>Intel Core i5-12400F</t>
        </is>
      </c>
      <c r="C46" s="5" t="inlineStr">
        <is>
          <t>CPU</t>
        </is>
      </c>
      <c r="D46" s="7" t="n">
        <v>140</v>
      </c>
      <c r="E46" s="7" t="n">
        <v>119.89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46321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46322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46321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46322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46322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46321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154.99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46320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46321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8" t="n">
        <v>1850</v>
      </c>
      <c r="G51" s="8" t="n">
        <v>2000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46320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46321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46320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46321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269.99</v>
      </c>
      <c r="F53" s="8" t="n">
        <v>4800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46320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46321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189.99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46320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46321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336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46320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46321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46320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46321</v>
      </c>
      <c r="B57" s="5" t="inlineStr">
        <is>
          <t>Ryzen 5 7500F</t>
        </is>
      </c>
      <c r="C57" s="5" t="inlineStr">
        <is>
          <t>CPU</t>
        </is>
      </c>
      <c r="D57" s="7" t="n">
        <v>135.6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46320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46321</v>
      </c>
      <c r="B58" s="5" t="inlineStr">
        <is>
          <t>Ryzen 5 5600</t>
        </is>
      </c>
      <c r="C58" s="5" t="inlineStr">
        <is>
          <t>CPU</t>
        </is>
      </c>
      <c r="D58" s="7" t="n">
        <v>138.9</v>
      </c>
      <c r="E58" s="7" t="n">
        <v>135.99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46320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46321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59.99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46320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46321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46320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46321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150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46320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46321</v>
      </c>
      <c r="B62" s="5" t="inlineStr">
        <is>
          <t>Intel Core i5-12400F</t>
        </is>
      </c>
      <c r="C62" s="5" t="inlineStr">
        <is>
          <t>CPU</t>
        </is>
      </c>
      <c r="D62" s="7" t="n">
        <v>140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46320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46321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46320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46321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399.99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46320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46321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46320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46320</v>
      </c>
      <c r="B66" s="5" t="inlineStr">
        <is>
          <t>SSD NVMe 2TB</t>
        </is>
      </c>
      <c r="C66" s="5" t="inlineStr">
        <is>
          <t>SSD</t>
        </is>
      </c>
      <c r="D66" s="7" t="n">
        <v>185</v>
      </c>
      <c r="E66" s="7" t="n">
        <v>169.99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46319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46320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46319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46320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46319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46320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46319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46320</v>
      </c>
      <c r="B70" s="5" t="inlineStr">
        <is>
          <t>Ryzen 7 7700X</t>
        </is>
      </c>
      <c r="C70" s="5" t="inlineStr">
        <is>
          <t>CPU</t>
        </is>
      </c>
      <c r="D70" s="7" t="n">
        <v>219</v>
      </c>
      <c r="E70" s="7" t="n">
        <v>149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46319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46320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299.5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46319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46320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46319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46320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46319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46320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120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46319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46320</v>
      </c>
      <c r="B75" s="5" t="inlineStr">
        <is>
          <t>RAM DDR4 16GB (2x8) 3200</t>
        </is>
      </c>
      <c r="C75" s="5" t="inlineStr">
        <is>
          <t>RAM</t>
        </is>
      </c>
      <c r="D75" s="7" t="n">
        <v>109</v>
      </c>
      <c r="E75" s="7" t="n">
        <v>59.99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46319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46320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129.99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46319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46320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149.95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46319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46320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112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46319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46320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7" t="n">
        <v>238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46319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46320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450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46320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459</v>
      </c>
      <c r="E81" s="7" t="n">
        <v>389.99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46319</v>
      </c>
      <c r="B82" s="5" t="inlineStr">
        <is>
          <t>SSD NVMe 2TB</t>
        </is>
      </c>
      <c r="C82" s="5" t="inlineStr">
        <is>
          <t>SSD</t>
        </is>
      </c>
      <c r="D82" s="7" t="n">
        <v>185</v>
      </c>
      <c r="E82" s="7" t="n">
        <v>179.99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46318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46319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46318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46319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46318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46319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275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46318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46319</v>
      </c>
      <c r="B86" s="5" t="inlineStr">
        <is>
          <t>Ryzen 7 7700X</t>
        </is>
      </c>
      <c r="C86" s="5" t="inlineStr">
        <is>
          <t>CPU</t>
        </is>
      </c>
      <c r="D86" s="7" t="n">
        <v>219</v>
      </c>
      <c r="E86" s="7" t="n">
        <v>189.99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46318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46319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299.99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46318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46319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119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46318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46319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46318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46319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135.99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46318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46319</v>
      </c>
      <c r="B91" s="5" t="inlineStr">
        <is>
          <t>RAM DDR4 16GB (2x8) 3200</t>
        </is>
      </c>
      <c r="C91" s="5" t="inlineStr">
        <is>
          <t>RAM</t>
        </is>
      </c>
      <c r="D91" s="7" t="n">
        <v>109</v>
      </c>
      <c r="E91" s="7" t="n">
        <v>69.98999999999999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46318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46319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129.99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46318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46319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149.95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46318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46319</v>
      </c>
      <c r="B94" s="5" t="inlineStr">
        <is>
          <t>Intel Core i5-12400F</t>
        </is>
      </c>
      <c r="C94" s="5" t="inlineStr">
        <is>
          <t>CPU</t>
        </is>
      </c>
      <c r="D94" s="7" t="n">
        <v>145</v>
      </c>
      <c r="E94" s="7" t="n">
        <v>112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46318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46319</v>
      </c>
      <c r="B95" s="5" t="inlineStr">
        <is>
          <t>Intel Core Ultra 7 265K</t>
        </is>
      </c>
      <c r="C95" s="5" t="inlineStr">
        <is>
          <t>CPU</t>
        </is>
      </c>
      <c r="D95" s="7" t="n">
        <v>259.99</v>
      </c>
      <c r="E95" s="7" t="n">
        <v>225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46318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46319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450</v>
      </c>
      <c r="E96" s="7" t="n">
        <v>389.99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46319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459</v>
      </c>
      <c r="E97" s="7" t="n">
        <v>389.99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46318</v>
      </c>
      <c r="B98" s="5" t="inlineStr">
        <is>
          <t>SSD NVMe 2TB</t>
        </is>
      </c>
      <c r="C98" s="5" t="inlineStr">
        <is>
          <t>SSD</t>
        </is>
      </c>
      <c r="D98" s="7" t="n">
        <v>200</v>
      </c>
      <c r="E98" s="7" t="n">
        <v>179.99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46317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46318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85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46317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46318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46317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46318</v>
      </c>
      <c r="B101" s="5" t="inlineStr">
        <is>
          <t>Ryzen 7 7800X3D</t>
        </is>
      </c>
      <c r="C101" s="5" t="inlineStr">
        <is>
          <t>CPU</t>
        </is>
      </c>
      <c r="D101" s="7" t="n">
        <v>299.99</v>
      </c>
      <c r="E101" s="7" t="n">
        <v>279.95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46317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46318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2" t="n"/>
      <c r="G102" s="8" t="n">
        <v>3673.5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46317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46318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46317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46318</v>
      </c>
      <c r="B104" s="5" t="inlineStr">
        <is>
          <t>Ryzen 5 7600</t>
        </is>
      </c>
      <c r="C104" s="5" t="inlineStr">
        <is>
          <t>CPU</t>
        </is>
      </c>
      <c r="D104" s="7" t="n">
        <v>199.99</v>
      </c>
      <c r="E104" s="7" t="n">
        <v>119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46317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46318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46317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46318</v>
      </c>
      <c r="B106" s="5" t="inlineStr">
        <is>
          <t>Ryzen 5 5600</t>
        </is>
      </c>
      <c r="C106" s="5" t="inlineStr">
        <is>
          <t>CPU</t>
        </is>
      </c>
      <c r="D106" s="7" t="n">
        <v>135.98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46317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46318</v>
      </c>
      <c r="B107" s="5" t="inlineStr">
        <is>
          <t>RAM DDR4 16GB (2x8) 3200</t>
        </is>
      </c>
      <c r="C107" s="5" t="inlineStr">
        <is>
          <t>RAM</t>
        </is>
      </c>
      <c r="D107" s="7" t="n">
        <v>98.66</v>
      </c>
      <c r="E107" s="7" t="n">
        <v>64.98999999999999</v>
      </c>
      <c r="F107" s="8" t="n">
        <v>1600</v>
      </c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46317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46318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130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46317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46318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46317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46318</v>
      </c>
      <c r="B110" s="5" t="inlineStr">
        <is>
          <t>Intel Core i5-12400F</t>
        </is>
      </c>
      <c r="C110" s="5" t="inlineStr">
        <is>
          <t>CPU</t>
        </is>
      </c>
      <c r="D110" s="7" t="n">
        <v>145</v>
      </c>
      <c r="E110" s="7" t="n">
        <v>119.99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46317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46318</v>
      </c>
      <c r="B111" s="5" t="inlineStr">
        <is>
          <t>Intel Core Ultra 7 265K</t>
        </is>
      </c>
      <c r="C111" s="5" t="inlineStr">
        <is>
          <t>CPU</t>
        </is>
      </c>
      <c r="D111" s="7" t="n">
        <v>259.99</v>
      </c>
      <c r="E111" s="2" t="n"/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46317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46318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465</v>
      </c>
      <c r="E112" s="7" t="n">
        <v>389.99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46318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465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46317</v>
      </c>
      <c r="B114" s="5" t="inlineStr">
        <is>
          <t>SSD NVMe 2TB</t>
        </is>
      </c>
      <c r="C114" s="5" t="inlineStr">
        <is>
          <t>SSD</t>
        </is>
      </c>
      <c r="D114" s="7" t="n">
        <v>208</v>
      </c>
      <c r="E114" s="7" t="n">
        <v>184.99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46316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46317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85</v>
      </c>
      <c r="F115" s="8" t="n">
        <v>2050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46316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46317</v>
      </c>
      <c r="B116" s="5" t="inlineStr">
        <is>
          <t>Ryzen 9 9950X</t>
        </is>
      </c>
      <c r="C116" s="5" t="inlineStr">
        <is>
          <t>CPU</t>
        </is>
      </c>
      <c r="D116" s="7" t="n">
        <v>549.99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46316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46317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274.99</v>
      </c>
      <c r="F117" s="2" t="n"/>
      <c r="G117" s="8" t="n">
        <v>6162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46316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46317</v>
      </c>
      <c r="B118" s="5" t="inlineStr">
        <is>
          <t>Ryzen 7 7700X</t>
        </is>
      </c>
      <c r="C118" s="5" t="inlineStr">
        <is>
          <t>CPU</t>
        </is>
      </c>
      <c r="D118" s="7" t="n">
        <v>212</v>
      </c>
      <c r="E118" s="7" t="n">
        <v>189.99</v>
      </c>
      <c r="F118" s="8" t="n">
        <v>3100</v>
      </c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46316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46317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304.95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46316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46317</v>
      </c>
      <c r="B120" s="5" t="inlineStr">
        <is>
          <t>Ryzen 5 7600</t>
        </is>
      </c>
      <c r="C120" s="5" t="inlineStr">
        <is>
          <t>CPU</t>
        </is>
      </c>
      <c r="D120" s="7" t="n">
        <v>199.99</v>
      </c>
      <c r="E120" s="7" t="n">
        <v>124.99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46316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46317</v>
      </c>
      <c r="B121" s="5" t="inlineStr">
        <is>
          <t>Ryzen 5 7500F</t>
        </is>
      </c>
      <c r="C121" s="5" t="inlineStr">
        <is>
          <t>CPU</t>
        </is>
      </c>
      <c r="D121" s="7" t="n">
        <v>135.99</v>
      </c>
      <c r="E121" s="7" t="n">
        <v>129.99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46316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46317</v>
      </c>
      <c r="B122" s="5" t="inlineStr">
        <is>
          <t>Ryzen 5 5600</t>
        </is>
      </c>
      <c r="C122" s="5" t="inlineStr">
        <is>
          <t>CPU</t>
        </is>
      </c>
      <c r="D122" s="7" t="n">
        <v>135.98</v>
      </c>
      <c r="E122" s="7" t="n">
        <v>129.99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46316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46317</v>
      </c>
      <c r="B123" s="5" t="inlineStr">
        <is>
          <t>RAM DDR4 16GB (2x8) 3200</t>
        </is>
      </c>
      <c r="C123" s="5" t="inlineStr">
        <is>
          <t>RAM</t>
        </is>
      </c>
      <c r="D123" s="7" t="n">
        <v>97.98999999999999</v>
      </c>
      <c r="E123" s="7" t="n">
        <v>69.95</v>
      </c>
      <c r="F123" s="8" t="n">
        <v>540</v>
      </c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46316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46317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46316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46317</v>
      </c>
      <c r="B125" s="5" t="inlineStr">
        <is>
          <t>Intel Core i5-13400</t>
        </is>
      </c>
      <c r="C125" s="5" t="inlineStr">
        <is>
          <t>CPU</t>
        </is>
      </c>
      <c r="D125" s="2" t="n"/>
      <c r="E125" s="7" t="n">
        <v>145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46316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46317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119.99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46316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46317</v>
      </c>
      <c r="B127" s="5" t="inlineStr">
        <is>
          <t>Intel Core Ultra 7 265K</t>
        </is>
      </c>
      <c r="C127" s="5" t="inlineStr">
        <is>
          <t>CPU</t>
        </is>
      </c>
      <c r="D127" s="7" t="n">
        <v>243.6</v>
      </c>
      <c r="E127" s="2" t="n"/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46316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46317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465</v>
      </c>
      <c r="E128" s="7" t="n">
        <v>419.99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46316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46317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465</v>
      </c>
      <c r="E129" s="7" t="n">
        <v>399.99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46316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46316</v>
      </c>
      <c r="B130" s="5" t="inlineStr">
        <is>
          <t>SSD NVMe 2TB</t>
        </is>
      </c>
      <c r="C130" s="5" t="inlineStr">
        <is>
          <t>SSD</t>
        </is>
      </c>
      <c r="D130" s="7" t="n">
        <v>208</v>
      </c>
      <c r="E130" s="7" t="n">
        <v>174.99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46315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46316</v>
      </c>
      <c r="B131" s="5" t="inlineStr">
        <is>
          <t>SSD NVMe 1TB</t>
        </is>
      </c>
      <c r="C131" s="5" t="inlineStr">
        <is>
          <t>SSD</t>
        </is>
      </c>
      <c r="D131" s="7" t="n">
        <v>114.99</v>
      </c>
      <c r="E131" s="7" t="n">
        <v>90</v>
      </c>
      <c r="F131" s="8" t="n">
        <v>1700</v>
      </c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46315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46316</v>
      </c>
      <c r="B132" s="5" t="inlineStr">
        <is>
          <t>Ryzen 9 9950X</t>
        </is>
      </c>
      <c r="C132" s="5" t="inlineStr">
        <is>
          <t>CPU</t>
        </is>
      </c>
      <c r="D132" s="7" t="n">
        <v>499</v>
      </c>
      <c r="E132" s="7" t="n">
        <v>454.99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46315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46316</v>
      </c>
      <c r="B133" s="5" t="inlineStr">
        <is>
          <t>Ryzen 7 7800X3D</t>
        </is>
      </c>
      <c r="C133" s="5" t="inlineStr">
        <is>
          <t>CPU</t>
        </is>
      </c>
      <c r="D133" s="7" t="n">
        <v>329</v>
      </c>
      <c r="E133" s="7" t="n">
        <v>289.99</v>
      </c>
      <c r="F133" s="8" t="n">
        <v>4860</v>
      </c>
      <c r="G133" s="8" t="n">
        <v>6193</v>
      </c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46315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46316</v>
      </c>
      <c r="B134" s="5" t="inlineStr">
        <is>
          <t>Ryzen 7 7700X</t>
        </is>
      </c>
      <c r="C134" s="5" t="inlineStr">
        <is>
          <t>CPU</t>
        </is>
      </c>
      <c r="D134" s="7" t="n">
        <v>212</v>
      </c>
      <c r="E134" s="7" t="n">
        <v>189.99</v>
      </c>
      <c r="F134" s="2" t="n"/>
      <c r="G134" s="8" t="n">
        <v>3480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46315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46316</v>
      </c>
      <c r="B135" s="5" t="inlineStr">
        <is>
          <t>Ryzen 7 5700X3D</t>
        </is>
      </c>
      <c r="C135" s="5" t="inlineStr">
        <is>
          <t>CPU</t>
        </is>
      </c>
      <c r="D135" s="2" t="n"/>
      <c r="E135" s="7" t="n">
        <v>304.95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46315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46316</v>
      </c>
      <c r="B136" s="5" t="inlineStr">
        <is>
          <t>Ryzen 5 7600</t>
        </is>
      </c>
      <c r="C136" s="5" t="inlineStr">
        <is>
          <t>CPU</t>
        </is>
      </c>
      <c r="D136" s="7" t="n">
        <v>213.85</v>
      </c>
      <c r="E136" s="7" t="n">
        <v>125.99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46315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46316</v>
      </c>
      <c r="B137" s="5" t="inlineStr">
        <is>
          <t>Ryzen 5 7500F</t>
        </is>
      </c>
      <c r="C137" s="5" t="inlineStr">
        <is>
          <t>CPU</t>
        </is>
      </c>
      <c r="D137" s="7" t="n">
        <v>135.99</v>
      </c>
      <c r="E137" s="7" t="n">
        <v>115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5" t="n"/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46316</v>
      </c>
      <c r="B138" s="5" t="inlineStr">
        <is>
          <t>Ryzen 5 5600</t>
        </is>
      </c>
      <c r="C138" s="5" t="inlineStr">
        <is>
          <t>CPU</t>
        </is>
      </c>
      <c r="D138" s="7" t="n">
        <v>138.9</v>
      </c>
      <c r="E138" s="7" t="n">
        <v>129.99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46315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46316</v>
      </c>
      <c r="B139" s="5" t="inlineStr">
        <is>
          <t>RAM DDR4 16GB (2x8) 3200</t>
        </is>
      </c>
      <c r="C139" s="5" t="inlineStr">
        <is>
          <t>RAM</t>
        </is>
      </c>
      <c r="D139" s="7" t="n">
        <v>97.98999999999999</v>
      </c>
      <c r="E139" s="7" t="n">
        <v>69.95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46315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46316</v>
      </c>
      <c r="B140" s="5" t="inlineStr">
        <is>
          <t>Intel Core i5-14400F</t>
        </is>
      </c>
      <c r="C140" s="5" t="inlineStr">
        <is>
          <t>CPU</t>
        </is>
      </c>
      <c r="D140" s="7" t="n">
        <v>164.49</v>
      </c>
      <c r="E140" s="7" t="n">
        <v>139.99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46315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46316</v>
      </c>
      <c r="B141" s="5" t="inlineStr">
        <is>
          <t>Intel Core i5-13400</t>
        </is>
      </c>
      <c r="C141" s="5" t="inlineStr">
        <is>
          <t>CPU</t>
        </is>
      </c>
      <c r="D141" s="2" t="n"/>
      <c r="E141" s="7" t="n">
        <v>150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46315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46316</v>
      </c>
      <c r="B142" s="5" t="inlineStr">
        <is>
          <t>Intel Core i5-12400F</t>
        </is>
      </c>
      <c r="C142" s="5" t="inlineStr">
        <is>
          <t>CPU</t>
        </is>
      </c>
      <c r="D142" s="7" t="n">
        <v>150</v>
      </c>
      <c r="E142" s="7" t="n">
        <v>124</v>
      </c>
      <c r="F142" s="8" t="n">
        <v>2350</v>
      </c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46315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46316</v>
      </c>
      <c r="B143" s="5" t="inlineStr">
        <is>
          <t>Intel Core Ultra 7 265K</t>
        </is>
      </c>
      <c r="C143" s="5" t="inlineStr">
        <is>
          <t>CPU</t>
        </is>
      </c>
      <c r="D143" s="7" t="n">
        <v>243.6</v>
      </c>
      <c r="E143" s="7" t="n">
        <v>230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46315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46316</v>
      </c>
      <c r="B144" s="5" t="inlineStr">
        <is>
          <t>Corsair Vengeance RGB DDR5 32GB (2x16) 6000</t>
        </is>
      </c>
      <c r="C144" s="5" t="inlineStr">
        <is>
          <t>RAM</t>
        </is>
      </c>
      <c r="D144" s="7" t="n">
        <v>450</v>
      </c>
      <c r="E144" s="7" t="n">
        <v>399.99</v>
      </c>
      <c r="F144" s="8" t="n">
        <v>6200</v>
      </c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46315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46316</v>
      </c>
      <c r="B145" s="5" t="inlineStr">
        <is>
          <t>Corsair Vengeance RGB DDR5 32GB (2x16) 5600</t>
        </is>
      </c>
      <c r="C145" s="5" t="inlineStr">
        <is>
          <t>RAM</t>
        </is>
      </c>
      <c r="D145" s="7" t="n">
        <v>479.99</v>
      </c>
      <c r="E145" s="7" t="n">
        <v>399.99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46315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46315</v>
      </c>
      <c r="B146" s="5" t="inlineStr">
        <is>
          <t>SSD NVMe 2TB</t>
        </is>
      </c>
      <c r="C146" s="5" t="inlineStr">
        <is>
          <t>SSD</t>
        </is>
      </c>
      <c r="D146" s="7" t="n">
        <v>163.11</v>
      </c>
      <c r="E146" s="7" t="n">
        <v>184.99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46314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46315</v>
      </c>
      <c r="B147" s="5" t="inlineStr">
        <is>
          <t>SSD NVMe 1TB</t>
        </is>
      </c>
      <c r="C147" s="5" t="inlineStr">
        <is>
          <t>SSD</t>
        </is>
      </c>
      <c r="D147" s="7" t="n">
        <v>114.99</v>
      </c>
      <c r="E147" s="7" t="n">
        <v>90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46314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46315</v>
      </c>
      <c r="B148" s="5" t="inlineStr">
        <is>
          <t>Ryzen 9 9950X</t>
        </is>
      </c>
      <c r="C148" s="5" t="inlineStr">
        <is>
          <t>CPU</t>
        </is>
      </c>
      <c r="D148" s="7" t="n">
        <v>549.99</v>
      </c>
      <c r="E148" s="7" t="n">
        <v>454.99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46314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46315</v>
      </c>
      <c r="B149" s="5" t="inlineStr">
        <is>
          <t>Ryzen 7 7800X3D</t>
        </is>
      </c>
      <c r="C149" s="5" t="inlineStr">
        <is>
          <t>CPU</t>
        </is>
      </c>
      <c r="D149" s="7" t="n">
        <v>324.99</v>
      </c>
      <c r="E149" s="7" t="n">
        <v>289.99</v>
      </c>
      <c r="F149" s="8" t="n">
        <v>5390</v>
      </c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46314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46315</v>
      </c>
      <c r="B150" s="5" t="inlineStr">
        <is>
          <t>Ryzen 7 7700X</t>
        </is>
      </c>
      <c r="C150" s="5" t="inlineStr">
        <is>
          <t>CPU</t>
        </is>
      </c>
      <c r="D150" s="7" t="n">
        <v>199.99</v>
      </c>
      <c r="E150" s="7" t="n">
        <v>169.99</v>
      </c>
      <c r="F150" s="8" t="n">
        <v>4000</v>
      </c>
      <c r="G150" s="8" t="n">
        <v>3667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46310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46315</v>
      </c>
      <c r="B151" s="5" t="inlineStr">
        <is>
          <t>Ryzen 7 5700X3D</t>
        </is>
      </c>
      <c r="C151" s="5" t="inlineStr">
        <is>
          <t>CPU</t>
        </is>
      </c>
      <c r="D151" s="2" t="n"/>
      <c r="E151" s="7" t="n">
        <v>336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46314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46315</v>
      </c>
      <c r="B152" s="5" t="inlineStr">
        <is>
          <t>Ryzen 5 7600</t>
        </is>
      </c>
      <c r="C152" s="5" t="inlineStr">
        <is>
          <t>CPU</t>
        </is>
      </c>
      <c r="D152" s="7" t="n">
        <v>213.95</v>
      </c>
      <c r="E152" s="7" t="n">
        <v>120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46314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46315</v>
      </c>
      <c r="B153" s="5" t="inlineStr">
        <is>
          <t>Ryzen 5 5600</t>
        </is>
      </c>
      <c r="C153" s="5" t="inlineStr">
        <is>
          <t>CPU</t>
        </is>
      </c>
      <c r="D153" s="7" t="n">
        <v>138.9</v>
      </c>
      <c r="E153" s="7" t="n">
        <v>129.99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46314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46315</v>
      </c>
      <c r="B154" s="5" t="inlineStr">
        <is>
          <t>RAM DDR4 16GB (2x8) 3200</t>
        </is>
      </c>
      <c r="C154" s="5" t="inlineStr">
        <is>
          <t>RAM</t>
        </is>
      </c>
      <c r="D154" s="7" t="n">
        <v>77.98999999999999</v>
      </c>
      <c r="E154" s="7" t="n">
        <v>69.95</v>
      </c>
      <c r="F154" s="8" t="n">
        <v>1400</v>
      </c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46314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46315</v>
      </c>
      <c r="B155" s="5" t="inlineStr">
        <is>
          <t>Intel Core i5-14400F</t>
        </is>
      </c>
      <c r="C155" s="5" t="inlineStr">
        <is>
          <t>CPU</t>
        </is>
      </c>
      <c r="D155" s="7" t="n">
        <v>164.49</v>
      </c>
      <c r="E155" s="7" t="n">
        <v>134.99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46314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46315</v>
      </c>
      <c r="B156" s="5" t="inlineStr">
        <is>
          <t>Intel Core i5-13400</t>
        </is>
      </c>
      <c r="C156" s="5" t="inlineStr">
        <is>
          <t>CPU</t>
        </is>
      </c>
      <c r="D156" s="2" t="n"/>
      <c r="E156" s="7" t="n">
        <v>150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46314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46315</v>
      </c>
      <c r="B157" s="5" t="inlineStr">
        <is>
          <t>Intel Core i5-12400F</t>
        </is>
      </c>
      <c r="C157" s="5" t="inlineStr">
        <is>
          <t>CPU</t>
        </is>
      </c>
      <c r="D157" s="7" t="n">
        <v>150</v>
      </c>
      <c r="E157" s="7" t="n">
        <v>124.99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46314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46315</v>
      </c>
      <c r="B158" s="5" t="inlineStr">
        <is>
          <t>Intel Core Ultra 7 265K</t>
        </is>
      </c>
      <c r="C158" s="5" t="inlineStr">
        <is>
          <t>CPU</t>
        </is>
      </c>
      <c r="D158" s="7" t="n">
        <v>244.88</v>
      </c>
      <c r="E158" s="2" t="n"/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46314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46315</v>
      </c>
      <c r="B159" s="5" t="inlineStr">
        <is>
          <t>Corsair Vengeance RGB DDR5 32GB (2x16) 6000</t>
        </is>
      </c>
      <c r="C159" s="5" t="inlineStr">
        <is>
          <t>RAM</t>
        </is>
      </c>
      <c r="D159" s="7" t="n">
        <v>444.99</v>
      </c>
      <c r="E159" s="7" t="n">
        <v>399.99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46314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46315</v>
      </c>
      <c r="B160" s="5" t="inlineStr">
        <is>
          <t>Corsair Vengeance RGB DDR5 32GB (2x16) 5600</t>
        </is>
      </c>
      <c r="C160" s="5" t="inlineStr">
        <is>
          <t>RAM</t>
        </is>
      </c>
      <c r="D160" s="7" t="n">
        <v>479.99</v>
      </c>
      <c r="E160" s="7" t="n">
        <v>379.99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46314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46314</v>
      </c>
      <c r="B161" s="5" t="inlineStr">
        <is>
          <t>SSD NVMe 2TB</t>
        </is>
      </c>
      <c r="C161" s="5" t="inlineStr">
        <is>
          <t>SSD</t>
        </is>
      </c>
      <c r="D161" s="7" t="n">
        <v>209.99</v>
      </c>
      <c r="E161" s="7" t="n">
        <v>154.99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46313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46314</v>
      </c>
      <c r="B162" s="5" t="inlineStr">
        <is>
          <t>SSD NVMe 1TB</t>
        </is>
      </c>
      <c r="C162" s="5" t="inlineStr">
        <is>
          <t>SSD</t>
        </is>
      </c>
      <c r="D162" s="7" t="n">
        <v>117.94</v>
      </c>
      <c r="E162" s="7" t="n">
        <v>95</v>
      </c>
      <c r="F162" s="8" t="n">
        <v>2050</v>
      </c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46313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46314</v>
      </c>
      <c r="B163" s="5" t="inlineStr">
        <is>
          <t>Ryzen 9 9950X</t>
        </is>
      </c>
      <c r="C163" s="5" t="inlineStr">
        <is>
          <t>CPU</t>
        </is>
      </c>
      <c r="D163" s="7" t="n">
        <v>549.99</v>
      </c>
      <c r="E163" s="7" t="n">
        <v>454.99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46313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46314</v>
      </c>
      <c r="B164" s="5" t="inlineStr">
        <is>
          <t>Ryzen 7 7800X3D</t>
        </is>
      </c>
      <c r="C164" s="5" t="inlineStr">
        <is>
          <t>CPU</t>
        </is>
      </c>
      <c r="D164" s="7" t="n">
        <v>324.99</v>
      </c>
      <c r="E164" s="7" t="n">
        <v>285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46313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46314</v>
      </c>
      <c r="B165" s="5" t="inlineStr">
        <is>
          <t>Ryzen 7 5700X3D</t>
        </is>
      </c>
      <c r="C165" s="5" t="inlineStr">
        <is>
          <t>CPU</t>
        </is>
      </c>
      <c r="D165" s="2" t="n"/>
      <c r="E165" s="7" t="n">
        <v>336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46313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46314</v>
      </c>
      <c r="B166" s="5" t="inlineStr">
        <is>
          <t>Ryzen 5 7600</t>
        </is>
      </c>
      <c r="C166" s="5" t="inlineStr">
        <is>
          <t>CPU</t>
        </is>
      </c>
      <c r="D166" s="7" t="n">
        <v>140.26</v>
      </c>
      <c r="E166" s="7" t="n">
        <v>120</v>
      </c>
      <c r="F166" s="2" t="n"/>
      <c r="G166" s="8" t="n">
        <v>2800</v>
      </c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46313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46314</v>
      </c>
      <c r="B167" s="5" t="inlineStr">
        <is>
          <t>Ryzen 5 5600</t>
        </is>
      </c>
      <c r="C167" s="5" t="inlineStr">
        <is>
          <t>CPU</t>
        </is>
      </c>
      <c r="D167" s="7" t="n">
        <v>138.9</v>
      </c>
      <c r="E167" s="7" t="n">
        <v>107.99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46313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46314</v>
      </c>
      <c r="B168" s="5" t="inlineStr">
        <is>
          <t>RAM DDR4 16GB (2x8) 3200</t>
        </is>
      </c>
      <c r="C168" s="5" t="inlineStr">
        <is>
          <t>RAM</t>
        </is>
      </c>
      <c r="D168" s="7" t="n">
        <v>118.96</v>
      </c>
      <c r="E168" s="7" t="n">
        <v>69.98999999999999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46313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46314</v>
      </c>
      <c r="B169" s="5" t="inlineStr">
        <is>
          <t>Intel Core i5-14400F</t>
        </is>
      </c>
      <c r="C169" s="5" t="inlineStr">
        <is>
          <t>CPU</t>
        </is>
      </c>
      <c r="D169" s="7" t="n">
        <v>164.49</v>
      </c>
      <c r="E169" s="7" t="n">
        <v>139.99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46313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46314</v>
      </c>
      <c r="B170" s="5" t="inlineStr">
        <is>
          <t>Intel Core i5-13400</t>
        </is>
      </c>
      <c r="C170" s="5" t="inlineStr">
        <is>
          <t>CPU</t>
        </is>
      </c>
      <c r="D170" s="2" t="n"/>
      <c r="E170" s="7" t="n">
        <v>149.99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46313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46314</v>
      </c>
      <c r="B171" s="5" t="inlineStr">
        <is>
          <t>Intel Core i5-12400F</t>
        </is>
      </c>
      <c r="C171" s="5" t="inlineStr">
        <is>
          <t>CPU</t>
        </is>
      </c>
      <c r="D171" s="7" t="n">
        <v>150</v>
      </c>
      <c r="E171" s="7" t="n">
        <v>124.99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46313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46314</v>
      </c>
      <c r="B172" s="5" t="inlineStr">
        <is>
          <t>Intel Core Ultra 7 265K</t>
        </is>
      </c>
      <c r="C172" s="5" t="inlineStr">
        <is>
          <t>CPU</t>
        </is>
      </c>
      <c r="D172" s="7" t="n">
        <v>235.27</v>
      </c>
      <c r="E172" s="7" t="n">
        <v>239.99</v>
      </c>
      <c r="F172" s="2" t="n"/>
      <c r="G172" s="8" t="n">
        <v>4100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46313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46314</v>
      </c>
      <c r="B173" s="5" t="inlineStr">
        <is>
          <t>Corsair Vengeance RGB DDR5 32GB (2x16) 6000</t>
        </is>
      </c>
      <c r="C173" s="5" t="inlineStr">
        <is>
          <t>RAM</t>
        </is>
      </c>
      <c r="D173" s="7" t="n">
        <v>450</v>
      </c>
      <c r="E173" s="7" t="n">
        <v>419.99</v>
      </c>
      <c r="F173" s="8" t="n">
        <v>5800</v>
      </c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46313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46314</v>
      </c>
      <c r="B174" s="5" t="inlineStr">
        <is>
          <t>Corsair Vengeance RGB DDR5 32GB (2x16) 5600</t>
        </is>
      </c>
      <c r="C174" s="5" t="inlineStr">
        <is>
          <t>RAM</t>
        </is>
      </c>
      <c r="D174" s="7" t="n">
        <v>429.97</v>
      </c>
      <c r="E174" s="7" t="n">
        <v>379.99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46313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46313</v>
      </c>
      <c r="B175" s="5" t="inlineStr">
        <is>
          <t>SSD NVMe 2TB</t>
        </is>
      </c>
      <c r="C175" s="5" t="inlineStr">
        <is>
          <t>SSD</t>
        </is>
      </c>
      <c r="D175" s="7" t="n">
        <v>209.99</v>
      </c>
      <c r="E175" s="7" t="n">
        <v>160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46312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46313</v>
      </c>
      <c r="B176" s="5" t="inlineStr">
        <is>
          <t>SSD NVMe 1TB</t>
        </is>
      </c>
      <c r="C176" s="5" t="inlineStr">
        <is>
          <t>SSD</t>
        </is>
      </c>
      <c r="D176" s="7" t="n">
        <v>93.5</v>
      </c>
      <c r="E176" s="7" t="n">
        <v>96.94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46312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46313</v>
      </c>
      <c r="B177" s="5" t="inlineStr">
        <is>
          <t>Ryzen 9 9950X</t>
        </is>
      </c>
      <c r="C177" s="5" t="inlineStr">
        <is>
          <t>CPU</t>
        </is>
      </c>
      <c r="D177" s="7" t="n">
        <v>549.99</v>
      </c>
      <c r="E177" s="7" t="n">
        <v>454.99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46312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46313</v>
      </c>
      <c r="B178" s="5" t="inlineStr">
        <is>
          <t>Ryzen 7 7800X3D</t>
        </is>
      </c>
      <c r="C178" s="5" t="inlineStr">
        <is>
          <t>CPU</t>
        </is>
      </c>
      <c r="D178" s="7" t="n">
        <v>324.99</v>
      </c>
      <c r="E178" s="7" t="n">
        <v>289.99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46312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46313</v>
      </c>
      <c r="B179" s="5" t="inlineStr">
        <is>
          <t>Ryzen 7 5700X3D</t>
        </is>
      </c>
      <c r="C179" s="5" t="inlineStr">
        <is>
          <t>CPU</t>
        </is>
      </c>
      <c r="D179" s="2" t="n"/>
      <c r="E179" s="7" t="n">
        <v>315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46312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46313</v>
      </c>
      <c r="B180" s="5" t="inlineStr">
        <is>
          <t>Ryzen 5 7600</t>
        </is>
      </c>
      <c r="C180" s="5" t="inlineStr">
        <is>
          <t>CPU</t>
        </is>
      </c>
      <c r="D180" s="7" t="n">
        <v>213.95</v>
      </c>
      <c r="E180" s="7" t="n">
        <v>120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46312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46313</v>
      </c>
      <c r="B181" s="5" t="inlineStr">
        <is>
          <t>Ryzen 5 5600</t>
        </is>
      </c>
      <c r="C181" s="5" t="inlineStr">
        <is>
          <t>CPU</t>
        </is>
      </c>
      <c r="D181" s="7" t="n">
        <v>138.9</v>
      </c>
      <c r="E181" s="7" t="n">
        <v>129.99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46312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46313</v>
      </c>
      <c r="B182" s="5" t="inlineStr">
        <is>
          <t>RAM DDR4 16GB (2x8) 3200</t>
        </is>
      </c>
      <c r="C182" s="5" t="inlineStr">
        <is>
          <t>RAM</t>
        </is>
      </c>
      <c r="D182" s="7" t="n">
        <v>118.96</v>
      </c>
      <c r="E182" s="7" t="n">
        <v>72.95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46312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46313</v>
      </c>
      <c r="B183" s="5" t="inlineStr">
        <is>
          <t>Intel Core i5-14400F</t>
        </is>
      </c>
      <c r="C183" s="5" t="inlineStr">
        <is>
          <t>CPU</t>
        </is>
      </c>
      <c r="D183" s="7" t="n">
        <v>164.49</v>
      </c>
      <c r="E183" s="7" t="n">
        <v>139.99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46312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46313</v>
      </c>
      <c r="B184" s="5" t="inlineStr">
        <is>
          <t>Intel Core i5-13400</t>
        </is>
      </c>
      <c r="C184" s="5" t="inlineStr">
        <is>
          <t>CPU</t>
        </is>
      </c>
      <c r="D184" s="2" t="n"/>
      <c r="E184" s="7" t="n">
        <v>125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46312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46313</v>
      </c>
      <c r="B185" s="5" t="inlineStr">
        <is>
          <t>Intel Core i5-12400F</t>
        </is>
      </c>
      <c r="C185" s="5" t="inlineStr">
        <is>
          <t>CPU</t>
        </is>
      </c>
      <c r="D185" s="7" t="n">
        <v>150</v>
      </c>
      <c r="E185" s="7" t="n">
        <v>124.99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46312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46313</v>
      </c>
      <c r="B186" s="5" t="inlineStr">
        <is>
          <t>Intel Core Ultra 7 265K</t>
        </is>
      </c>
      <c r="C186" s="5" t="inlineStr">
        <is>
          <t>CPU</t>
        </is>
      </c>
      <c r="D186" s="7" t="n">
        <v>235.27</v>
      </c>
      <c r="E186" s="7" t="n">
        <v>209.68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46312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46313</v>
      </c>
      <c r="B187" s="5" t="inlineStr">
        <is>
          <t>Corsair Vengeance RGB DDR5 32GB (2x16) 6000</t>
        </is>
      </c>
      <c r="C187" s="5" t="inlineStr">
        <is>
          <t>RAM</t>
        </is>
      </c>
      <c r="D187" s="7" t="n">
        <v>450</v>
      </c>
      <c r="E187" s="7" t="n">
        <v>419.99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46312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46313</v>
      </c>
      <c r="B188" s="5" t="inlineStr">
        <is>
          <t>Corsair Vengeance RGB DDR5 32GB (2x16) 5600</t>
        </is>
      </c>
      <c r="C188" s="5" t="inlineStr">
        <is>
          <t>RAM</t>
        </is>
      </c>
      <c r="D188" s="7" t="n">
        <v>429.97</v>
      </c>
      <c r="E188" s="7" t="n">
        <v>379.99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46312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46312</v>
      </c>
      <c r="B189" s="5" t="inlineStr">
        <is>
          <t>SSD NVMe 2TB</t>
        </is>
      </c>
      <c r="C189" s="5" t="inlineStr">
        <is>
          <t>SSD</t>
        </is>
      </c>
      <c r="D189" s="7" t="n">
        <v>209.99</v>
      </c>
      <c r="E189" s="7" t="n">
        <v>160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46311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46312</v>
      </c>
      <c r="B190" s="5" t="inlineStr">
        <is>
          <t>SSD NVMe 1TB</t>
        </is>
      </c>
      <c r="C190" s="5" t="inlineStr">
        <is>
          <t>SSD</t>
        </is>
      </c>
      <c r="D190" s="7" t="n">
        <v>128.99</v>
      </c>
      <c r="E190" s="7" t="n">
        <v>98.59</v>
      </c>
      <c r="F190" s="8" t="n">
        <v>1230</v>
      </c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46311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46312</v>
      </c>
      <c r="B191" s="5" t="inlineStr">
        <is>
          <t>Ryzen 9 9950X</t>
        </is>
      </c>
      <c r="C191" s="5" t="inlineStr">
        <is>
          <t>CPU</t>
        </is>
      </c>
      <c r="D191" s="7" t="n">
        <v>549.99</v>
      </c>
      <c r="E191" s="7" t="n">
        <v>454.99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46311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46312</v>
      </c>
      <c r="B192" s="5" t="inlineStr">
        <is>
          <t>Ryzen 7 7800X3D</t>
        </is>
      </c>
      <c r="C192" s="5" t="inlineStr">
        <is>
          <t>CPU</t>
        </is>
      </c>
      <c r="D192" s="7" t="n">
        <v>324.99</v>
      </c>
      <c r="E192" s="7" t="n">
        <v>275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46311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46312</v>
      </c>
      <c r="B193" s="5" t="inlineStr">
        <is>
          <t>Ryzen 7 5700X3D</t>
        </is>
      </c>
      <c r="C193" s="5" t="inlineStr">
        <is>
          <t>CPU</t>
        </is>
      </c>
      <c r="D193" s="2" t="n"/>
      <c r="E193" s="7" t="n">
        <v>315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46311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46312</v>
      </c>
      <c r="B194" s="5" t="inlineStr">
        <is>
          <t>Ryzen 5 7600</t>
        </is>
      </c>
      <c r="C194" s="5" t="inlineStr">
        <is>
          <t>CPU</t>
        </is>
      </c>
      <c r="D194" s="7" t="n">
        <v>140.26</v>
      </c>
      <c r="E194" s="7" t="n">
        <v>120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46311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46312</v>
      </c>
      <c r="B195" s="5" t="inlineStr">
        <is>
          <t>Ryzen 5 5600</t>
        </is>
      </c>
      <c r="C195" s="5" t="inlineStr">
        <is>
          <t>CPU</t>
        </is>
      </c>
      <c r="D195" s="7" t="n">
        <v>138.9</v>
      </c>
      <c r="E195" s="7" t="n">
        <v>129.99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46311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46312</v>
      </c>
      <c r="B196" s="5" t="inlineStr">
        <is>
          <t>RAM DDR4 16GB (2x8) 3200</t>
        </is>
      </c>
      <c r="C196" s="5" t="inlineStr">
        <is>
          <t>RAM</t>
        </is>
      </c>
      <c r="D196" s="7" t="n">
        <v>118.96</v>
      </c>
      <c r="E196" s="7" t="n">
        <v>71.95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46311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46312</v>
      </c>
      <c r="B197" s="5" t="inlineStr">
        <is>
          <t>Intel Core i5-14400F</t>
        </is>
      </c>
      <c r="C197" s="5" t="inlineStr">
        <is>
          <t>CPU</t>
        </is>
      </c>
      <c r="D197" s="7" t="n">
        <v>164.49</v>
      </c>
      <c r="E197" s="7" t="n">
        <v>139.99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46311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46312</v>
      </c>
      <c r="B198" s="5" t="inlineStr">
        <is>
          <t>Intel Core i5-13400</t>
        </is>
      </c>
      <c r="C198" s="5" t="inlineStr">
        <is>
          <t>CPU</t>
        </is>
      </c>
      <c r="D198" s="2" t="n"/>
      <c r="E198" s="7" t="n">
        <v>125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46311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46312</v>
      </c>
      <c r="B199" s="5" t="inlineStr">
        <is>
          <t>Intel Core i5-12400F</t>
        </is>
      </c>
      <c r="C199" s="5" t="inlineStr">
        <is>
          <t>CPU</t>
        </is>
      </c>
      <c r="D199" s="7" t="n">
        <v>150</v>
      </c>
      <c r="E199" s="7" t="n">
        <v>120.99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46311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46312</v>
      </c>
      <c r="B200" s="5" t="inlineStr">
        <is>
          <t>Intel Core Ultra 7 265K</t>
        </is>
      </c>
      <c r="C200" s="5" t="inlineStr">
        <is>
          <t>CPU</t>
        </is>
      </c>
      <c r="D200" s="7" t="n">
        <v>235.27</v>
      </c>
      <c r="E200" s="7" t="n">
        <v>229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46311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46312</v>
      </c>
      <c r="B201" s="5" t="inlineStr">
        <is>
          <t>Corsair Vengeance RGB DDR5 32GB (2x16) 6000</t>
        </is>
      </c>
      <c r="C201" s="5" t="inlineStr">
        <is>
          <t>RAM</t>
        </is>
      </c>
      <c r="D201" s="7" t="n">
        <v>474.49</v>
      </c>
      <c r="E201" s="7" t="n">
        <v>399.99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46311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46312</v>
      </c>
      <c r="B202" s="5" t="inlineStr">
        <is>
          <t>Corsair Vengeance RGB DDR5 32GB (2x16) 5600</t>
        </is>
      </c>
      <c r="C202" s="5" t="inlineStr">
        <is>
          <t>RAM</t>
        </is>
      </c>
      <c r="D202" s="7" t="n">
        <v>429.97</v>
      </c>
      <c r="E202" s="7" t="n">
        <v>375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46311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46311</v>
      </c>
      <c r="B203" s="5" t="inlineStr">
        <is>
          <t>SSD NVMe 2TB</t>
        </is>
      </c>
      <c r="C203" s="5" t="inlineStr">
        <is>
          <t>SSD</t>
        </is>
      </c>
      <c r="D203" s="7" t="n">
        <v>209.99</v>
      </c>
      <c r="E203" s="7" t="n">
        <v>161.99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46310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46311</v>
      </c>
      <c r="B204" s="5" t="inlineStr">
        <is>
          <t>SSD NVMe 1TB</t>
        </is>
      </c>
      <c r="C204" s="5" t="inlineStr">
        <is>
          <t>SSD</t>
        </is>
      </c>
      <c r="D204" s="7" t="n">
        <v>110</v>
      </c>
      <c r="E204" s="7" t="n">
        <v>80</v>
      </c>
      <c r="F204" s="8" t="n">
        <v>1730</v>
      </c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46310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46311</v>
      </c>
      <c r="B205" s="5" t="inlineStr">
        <is>
          <t>Ryzen 9 9950X</t>
        </is>
      </c>
      <c r="C205" s="5" t="inlineStr">
        <is>
          <t>CPU</t>
        </is>
      </c>
      <c r="D205" s="7" t="n">
        <v>549.99</v>
      </c>
      <c r="E205" s="7" t="n">
        <v>454.99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46310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46311</v>
      </c>
      <c r="B206" s="5" t="inlineStr">
        <is>
          <t>Ryzen 7 7800X3D</t>
        </is>
      </c>
      <c r="C206" s="5" t="inlineStr">
        <is>
          <t>CPU</t>
        </is>
      </c>
      <c r="D206" s="7" t="n">
        <v>320</v>
      </c>
      <c r="E206" s="7" t="n">
        <v>279.99</v>
      </c>
      <c r="F206" s="2" t="n"/>
      <c r="G206" s="8" t="n">
        <v>5664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46310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46311</v>
      </c>
      <c r="B207" s="5" t="inlineStr">
        <is>
          <t>Ryzen 7 5700X3D</t>
        </is>
      </c>
      <c r="C207" s="5" t="inlineStr">
        <is>
          <t>CPU</t>
        </is>
      </c>
      <c r="D207" s="2" t="n"/>
      <c r="E207" s="7" t="n">
        <v>298.01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46310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46311</v>
      </c>
      <c r="B208" s="5" t="inlineStr">
        <is>
          <t>Ryzen 5 7600</t>
        </is>
      </c>
      <c r="C208" s="5" t="inlineStr">
        <is>
          <t>CPU</t>
        </is>
      </c>
      <c r="D208" s="7" t="n">
        <v>141.24</v>
      </c>
      <c r="E208" s="7" t="n">
        <v>120</v>
      </c>
      <c r="F208" s="2" t="n"/>
      <c r="G208" s="8" t="n">
        <v>2850</v>
      </c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46310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46311</v>
      </c>
      <c r="B209" s="5" t="inlineStr">
        <is>
          <t>Ryzen 5 5600</t>
        </is>
      </c>
      <c r="C209" s="5" t="inlineStr">
        <is>
          <t>CPU</t>
        </is>
      </c>
      <c r="D209" s="7" t="n">
        <v>138.9</v>
      </c>
      <c r="E209" s="7" t="n">
        <v>129.99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46310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46311</v>
      </c>
      <c r="B210" s="5" t="inlineStr">
        <is>
          <t>RAM DDR4 16GB (2x8) 3200</t>
        </is>
      </c>
      <c r="C210" s="5" t="inlineStr">
        <is>
          <t>RAM</t>
        </is>
      </c>
      <c r="D210" s="7" t="n">
        <v>118.96</v>
      </c>
      <c r="E210" s="7" t="n">
        <v>73.95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46310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46311</v>
      </c>
      <c r="B211" s="5" t="inlineStr">
        <is>
          <t>Intel Core i5-14400F</t>
        </is>
      </c>
      <c r="C211" s="5" t="inlineStr">
        <is>
          <t>CPU</t>
        </is>
      </c>
      <c r="D211" s="7" t="n">
        <v>164.49</v>
      </c>
      <c r="E211" s="7" t="n">
        <v>139.99</v>
      </c>
      <c r="F211" s="2" t="n"/>
      <c r="G211" s="8" t="n">
        <v>2384</v>
      </c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46310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46311</v>
      </c>
      <c r="B212" s="5" t="inlineStr">
        <is>
          <t>Intel Core i5-13400</t>
        </is>
      </c>
      <c r="C212" s="5" t="inlineStr">
        <is>
          <t>CPU</t>
        </is>
      </c>
      <c r="D212" s="2" t="n"/>
      <c r="E212" s="7" t="n">
        <v>149.99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46310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46311</v>
      </c>
      <c r="B213" s="5" t="inlineStr">
        <is>
          <t>Intel Core i5-12400F</t>
        </is>
      </c>
      <c r="C213" s="5" t="inlineStr">
        <is>
          <t>CPU</t>
        </is>
      </c>
      <c r="D213" s="7" t="n">
        <v>150</v>
      </c>
      <c r="E213" s="7" t="n">
        <v>120.99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46310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46311</v>
      </c>
      <c r="B214" s="5" t="inlineStr">
        <is>
          <t>Intel Core Ultra 7 265K</t>
        </is>
      </c>
      <c r="C214" s="5" t="inlineStr">
        <is>
          <t>CPU</t>
        </is>
      </c>
      <c r="D214" s="7" t="n">
        <v>234.99</v>
      </c>
      <c r="E214" s="7" t="n">
        <v>229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46310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46311</v>
      </c>
      <c r="B215" s="5" t="inlineStr">
        <is>
          <t>Corsair Vengeance RGB DDR5 32GB (2x16) 6000</t>
        </is>
      </c>
      <c r="C215" s="5" t="inlineStr">
        <is>
          <t>RAM</t>
        </is>
      </c>
      <c r="D215" s="7" t="n">
        <v>474.49</v>
      </c>
      <c r="E215" s="7" t="n">
        <v>389.99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46310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46311</v>
      </c>
      <c r="B216" s="5" t="inlineStr">
        <is>
          <t>Corsair Vengeance RGB DDR5 32GB (2x16) 5600</t>
        </is>
      </c>
      <c r="C216" s="5" t="inlineStr">
        <is>
          <t>RAM</t>
        </is>
      </c>
      <c r="D216" s="7" t="n">
        <v>429.97</v>
      </c>
      <c r="E216" s="7" t="n">
        <v>379.99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46310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46310</v>
      </c>
      <c r="B217" s="5" t="inlineStr">
        <is>
          <t>SSD NVMe 2TB</t>
        </is>
      </c>
      <c r="C217" s="5" t="inlineStr">
        <is>
          <t>SSD</t>
        </is>
      </c>
      <c r="D217" s="7" t="n">
        <v>209.99</v>
      </c>
      <c r="E217" s="7" t="n">
        <v>175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46309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46310</v>
      </c>
      <c r="B218" s="5" t="inlineStr">
        <is>
          <t>SSD NVMe 1TB</t>
        </is>
      </c>
      <c r="C218" s="5" t="inlineStr">
        <is>
          <t>SSD</t>
        </is>
      </c>
      <c r="D218" s="7" t="n">
        <v>128.99</v>
      </c>
      <c r="E218" s="7" t="n">
        <v>80</v>
      </c>
      <c r="F218" s="2" t="n"/>
      <c r="G218" s="8" t="n">
        <v>1754</v>
      </c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46309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46310</v>
      </c>
      <c r="B219" s="5" t="inlineStr">
        <is>
          <t>Ryzen 9 9950X</t>
        </is>
      </c>
      <c r="C219" s="5" t="inlineStr">
        <is>
          <t>CPU</t>
        </is>
      </c>
      <c r="D219" s="7" t="n">
        <v>689.34</v>
      </c>
      <c r="E219" s="7" t="n">
        <v>375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46309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46310</v>
      </c>
      <c r="B220" s="5" t="inlineStr">
        <is>
          <t>Ryzen 7 7800X3D</t>
        </is>
      </c>
      <c r="C220" s="5" t="inlineStr">
        <is>
          <t>CPU</t>
        </is>
      </c>
      <c r="D220" s="7" t="n">
        <v>320</v>
      </c>
      <c r="E220" s="7" t="n">
        <v>279.99</v>
      </c>
      <c r="F220" s="2" t="n"/>
      <c r="G220" s="8" t="n">
        <v>5890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46309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46310</v>
      </c>
      <c r="B221" s="5" t="inlineStr">
        <is>
          <t>Ryzen 7 7700X</t>
        </is>
      </c>
      <c r="C221" s="5" t="inlineStr">
        <is>
          <t>CPU</t>
        </is>
      </c>
      <c r="D221" s="2" t="n"/>
      <c r="E221" s="2" t="n"/>
      <c r="F221" s="2" t="n"/>
      <c r="G221" s="8" t="n">
        <v>3480</v>
      </c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2" t="n"/>
      <c r="K221" s="5" t="n"/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46310</v>
      </c>
      <c r="B222" s="5" t="inlineStr">
        <is>
          <t>Ryzen 7 5700X3D</t>
        </is>
      </c>
      <c r="C222" s="5" t="inlineStr">
        <is>
          <t>CPU</t>
        </is>
      </c>
      <c r="D222" s="2" t="n"/>
      <c r="E222" s="7" t="n">
        <v>295</v>
      </c>
      <c r="F222" s="2" t="n"/>
      <c r="G222" s="2" t="n"/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46309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46310</v>
      </c>
      <c r="B223" s="5" t="inlineStr">
        <is>
          <t>Ryzen 5 7600</t>
        </is>
      </c>
      <c r="C223" s="5" t="inlineStr">
        <is>
          <t>CPU</t>
        </is>
      </c>
      <c r="D223" s="7" t="n">
        <v>142.24</v>
      </c>
      <c r="E223" s="7" t="n">
        <v>120</v>
      </c>
      <c r="F223" s="2" t="n"/>
      <c r="G223" s="8" t="n">
        <v>2800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46309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46310</v>
      </c>
      <c r="B224" s="5" t="inlineStr">
        <is>
          <t>Ryzen 5 5600</t>
        </is>
      </c>
      <c r="C224" s="5" t="inlineStr">
        <is>
          <t>CPU</t>
        </is>
      </c>
      <c r="D224" s="7" t="n">
        <v>138.9</v>
      </c>
      <c r="E224" s="7" t="n">
        <v>135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46309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46310</v>
      </c>
      <c r="B225" s="5" t="inlineStr">
        <is>
          <t>RAM DDR4 16GB (2x8) 3200</t>
        </is>
      </c>
      <c r="C225" s="5" t="inlineStr">
        <is>
          <t>RAM</t>
        </is>
      </c>
      <c r="D225" s="7" t="n">
        <v>75</v>
      </c>
      <c r="E225" s="7" t="n">
        <v>73.95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46309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46310</v>
      </c>
      <c r="B226" s="5" t="inlineStr">
        <is>
          <t>Intel Core i5-14400F</t>
        </is>
      </c>
      <c r="C226" s="5" t="inlineStr">
        <is>
          <t>CPU</t>
        </is>
      </c>
      <c r="D226" s="7" t="n">
        <v>164.49</v>
      </c>
      <c r="E226" s="7" t="n">
        <v>134.99</v>
      </c>
      <c r="F226" s="2" t="n"/>
      <c r="G226" s="8" t="n">
        <v>2750</v>
      </c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46309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46310</v>
      </c>
      <c r="B227" s="5" t="inlineStr">
        <is>
          <t>Intel Core i5-13400</t>
        </is>
      </c>
      <c r="C227" s="5" t="inlineStr">
        <is>
          <t>CPU</t>
        </is>
      </c>
      <c r="D227" s="2" t="n"/>
      <c r="E227" s="7" t="n">
        <v>149.99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46309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46310</v>
      </c>
      <c r="B228" s="5" t="inlineStr">
        <is>
          <t>Intel Core i5-12400F</t>
        </is>
      </c>
      <c r="C228" s="5" t="inlineStr">
        <is>
          <t>CPU</t>
        </is>
      </c>
      <c r="D228" s="7" t="n">
        <v>150</v>
      </c>
      <c r="E228" s="7" t="n">
        <v>114.99</v>
      </c>
      <c r="F228" s="2" t="n"/>
      <c r="G228" s="8" t="n">
        <v>2260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46309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46310</v>
      </c>
      <c r="B229" s="5" t="inlineStr">
        <is>
          <t>Intel Core Ultra 7 265K</t>
        </is>
      </c>
      <c r="C229" s="5" t="inlineStr">
        <is>
          <t>CPU</t>
        </is>
      </c>
      <c r="D229" s="7" t="n">
        <v>234.99</v>
      </c>
      <c r="E229" s="7" t="n">
        <v>229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46309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46310</v>
      </c>
      <c r="B230" s="5" t="inlineStr">
        <is>
          <t>Corsair Vengeance RGB DDR5 32GB (2x16) 6000</t>
        </is>
      </c>
      <c r="C230" s="5" t="inlineStr">
        <is>
          <t>RAM</t>
        </is>
      </c>
      <c r="D230" s="7" t="n">
        <v>435.99</v>
      </c>
      <c r="E230" s="7" t="n">
        <v>394.99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46309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46310</v>
      </c>
      <c r="B231" s="5" t="inlineStr">
        <is>
          <t>Corsair Vengeance RGB DDR5 32GB (2x16) 5600</t>
        </is>
      </c>
      <c r="C231" s="5" t="inlineStr">
        <is>
          <t>RAM</t>
        </is>
      </c>
      <c r="D231" s="7" t="n">
        <v>429.97</v>
      </c>
      <c r="E231" s="7" t="n">
        <v>375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46309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46309</v>
      </c>
      <c r="B232" s="5" t="inlineStr">
        <is>
          <t>SSD NVMe 2TB</t>
        </is>
      </c>
      <c r="C232" s="5" t="inlineStr">
        <is>
          <t>SSD</t>
        </is>
      </c>
      <c r="D232" s="7" t="n">
        <v>209.99</v>
      </c>
      <c r="E232" s="7" t="n">
        <v>164.99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46308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46309</v>
      </c>
      <c r="B233" s="5" t="inlineStr">
        <is>
          <t>SSD NVMe 1TB</t>
        </is>
      </c>
      <c r="C233" s="5" t="inlineStr">
        <is>
          <t>SSD</t>
        </is>
      </c>
      <c r="D233" s="7" t="n">
        <v>117.99</v>
      </c>
      <c r="E233" s="7" t="n">
        <v>92.98999999999999</v>
      </c>
      <c r="F233" s="2" t="n"/>
      <c r="G233" s="2" t="n"/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46308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46309</v>
      </c>
      <c r="B234" s="5" t="inlineStr">
        <is>
          <t>Ryzen 9 9950X</t>
        </is>
      </c>
      <c r="C234" s="5" t="inlineStr">
        <is>
          <t>CPU</t>
        </is>
      </c>
      <c r="D234" s="7" t="n">
        <v>499.99</v>
      </c>
      <c r="E234" s="7" t="n">
        <v>454.99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46308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46309</v>
      </c>
      <c r="B235" s="5" t="inlineStr">
        <is>
          <t>Ryzen 7 7800X3D</t>
        </is>
      </c>
      <c r="C235" s="5" t="inlineStr">
        <is>
          <t>CPU</t>
        </is>
      </c>
      <c r="D235" s="7" t="n">
        <v>329</v>
      </c>
      <c r="E235" s="7" t="n">
        <v>275.99</v>
      </c>
      <c r="F235" s="2" t="n"/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46308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46309</v>
      </c>
      <c r="B236" s="5" t="inlineStr">
        <is>
          <t>Ryzen 7 5700X3D</t>
        </is>
      </c>
      <c r="C236" s="5" t="inlineStr">
        <is>
          <t>CPU</t>
        </is>
      </c>
      <c r="D236" s="2" t="n"/>
      <c r="E236" s="7" t="n">
        <v>295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46308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46309</v>
      </c>
      <c r="B237" s="5" t="inlineStr">
        <is>
          <t>Ryzen 5 7600</t>
        </is>
      </c>
      <c r="C237" s="5" t="inlineStr">
        <is>
          <t>CPU</t>
        </is>
      </c>
      <c r="D237" s="7" t="n">
        <v>142.24</v>
      </c>
      <c r="E237" s="7" t="n">
        <v>121.99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46308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46309</v>
      </c>
      <c r="B238" s="5" t="inlineStr">
        <is>
          <t>Ryzen 5 5600</t>
        </is>
      </c>
      <c r="C238" s="5" t="inlineStr">
        <is>
          <t>CPU</t>
        </is>
      </c>
      <c r="D238" s="7" t="n">
        <v>138.9</v>
      </c>
      <c r="E238" s="7" t="n">
        <v>129.99</v>
      </c>
      <c r="F238" s="2" t="n"/>
      <c r="G238" s="2" t="n"/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46308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46309</v>
      </c>
      <c r="B239" s="5" t="inlineStr">
        <is>
          <t>RAM DDR4 16GB (2x8) 3200</t>
        </is>
      </c>
      <c r="C239" s="5" t="inlineStr">
        <is>
          <t>RAM</t>
        </is>
      </c>
      <c r="D239" s="7" t="n">
        <v>72.98999999999999</v>
      </c>
      <c r="E239" s="7" t="n">
        <v>65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46308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46309</v>
      </c>
      <c r="B240" s="5" t="inlineStr">
        <is>
          <t>Intel Core i5-14400F</t>
        </is>
      </c>
      <c r="C240" s="5" t="inlineStr">
        <is>
          <t>CPU</t>
        </is>
      </c>
      <c r="D240" s="7" t="n">
        <v>164.49</v>
      </c>
      <c r="E240" s="7" t="n">
        <v>134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46308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46309</v>
      </c>
      <c r="B241" s="5" t="inlineStr">
        <is>
          <t>Intel Core i5-13400</t>
        </is>
      </c>
      <c r="C241" s="5" t="inlineStr">
        <is>
          <t>CPU</t>
        </is>
      </c>
      <c r="D241" s="2" t="n"/>
      <c r="E241" s="7" t="n">
        <v>149.99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46308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46309</v>
      </c>
      <c r="B242" s="5" t="inlineStr">
        <is>
          <t>Intel Core i5-12400F</t>
        </is>
      </c>
      <c r="C242" s="5" t="inlineStr">
        <is>
          <t>CPU</t>
        </is>
      </c>
      <c r="D242" s="7" t="n">
        <v>150</v>
      </c>
      <c r="E242" s="7" t="n">
        <v>120.99</v>
      </c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46308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46309</v>
      </c>
      <c r="B243" s="5" t="inlineStr">
        <is>
          <t>Intel Core Ultra 7 265K</t>
        </is>
      </c>
      <c r="C243" s="5" t="inlineStr">
        <is>
          <t>CPU</t>
        </is>
      </c>
      <c r="D243" s="7" t="n">
        <v>234.99</v>
      </c>
      <c r="E243" s="7" t="n">
        <v>229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46308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46309</v>
      </c>
      <c r="B244" s="5" t="inlineStr">
        <is>
          <t>Corsair Vengeance RGB DDR5 32GB (2x16) 6000</t>
        </is>
      </c>
      <c r="C244" s="5" t="inlineStr">
        <is>
          <t>RAM</t>
        </is>
      </c>
      <c r="D244" s="7" t="n">
        <v>435.99</v>
      </c>
      <c r="E244" s="7" t="n">
        <v>399.9</v>
      </c>
      <c r="F244" s="2" t="n"/>
      <c r="G244" s="2" t="n"/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46308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46309</v>
      </c>
      <c r="B245" s="5" t="inlineStr">
        <is>
          <t>Corsair Vengeance RGB DDR5 32GB (2x16) 5600</t>
        </is>
      </c>
      <c r="C245" s="5" t="inlineStr">
        <is>
          <t>RAM</t>
        </is>
      </c>
      <c r="D245" s="7" t="n">
        <v>429.97</v>
      </c>
      <c r="E245" s="7" t="n">
        <v>379.99</v>
      </c>
      <c r="F245" s="2" t="n"/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46308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46308</v>
      </c>
      <c r="B246" s="5" t="inlineStr">
        <is>
          <t>SSD NVMe 2TB</t>
        </is>
      </c>
      <c r="C246" s="5" t="inlineStr">
        <is>
          <t>SSD</t>
        </is>
      </c>
      <c r="D246" s="7" t="n">
        <v>209.99</v>
      </c>
      <c r="E246" s="7" t="n">
        <v>170</v>
      </c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46307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46308</v>
      </c>
      <c r="B247" s="5" t="inlineStr">
        <is>
          <t>SSD NVMe 1TB</t>
        </is>
      </c>
      <c r="C247" s="5" t="inlineStr">
        <is>
          <t>SSD</t>
        </is>
      </c>
      <c r="D247" s="7" t="n">
        <v>114.99</v>
      </c>
      <c r="E247" s="7" t="n">
        <v>99.98999999999999</v>
      </c>
      <c r="F247" s="2" t="n"/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46307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46308</v>
      </c>
      <c r="B248" s="5" t="inlineStr">
        <is>
          <t>Ryzen 9 9950X</t>
        </is>
      </c>
      <c r="C248" s="5" t="inlineStr">
        <is>
          <t>CPU</t>
        </is>
      </c>
      <c r="D248" s="7" t="n">
        <v>499.99</v>
      </c>
      <c r="E248" s="7" t="n">
        <v>454.99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15" t="n">
        <v>46307</v>
      </c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46308</v>
      </c>
      <c r="B249" s="5" t="inlineStr">
        <is>
          <t>Ryzen 7 7800X3D</t>
        </is>
      </c>
      <c r="C249" s="5" t="inlineStr">
        <is>
          <t>CPU</t>
        </is>
      </c>
      <c r="D249" s="7" t="n">
        <v>329</v>
      </c>
      <c r="E249" s="7" t="n">
        <v>283.99</v>
      </c>
      <c r="F249" s="8" t="n">
        <v>4800</v>
      </c>
      <c r="G249" s="8" t="n">
        <v>5350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46307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46308</v>
      </c>
      <c r="B250" s="5" t="inlineStr">
        <is>
          <t>Ryzen 7 5700X3D</t>
        </is>
      </c>
      <c r="C250" s="5" t="inlineStr">
        <is>
          <t>CPU</t>
        </is>
      </c>
      <c r="D250" s="2" t="n"/>
      <c r="E250" s="7" t="n">
        <v>299.99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15" t="n">
        <v>46307</v>
      </c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46308</v>
      </c>
      <c r="B251" s="5" t="inlineStr">
        <is>
          <t>Ryzen 5 7600</t>
        </is>
      </c>
      <c r="C251" s="5" t="inlineStr">
        <is>
          <t>CPU</t>
        </is>
      </c>
      <c r="D251" s="7" t="n">
        <v>143.24</v>
      </c>
      <c r="E251" s="7" t="n">
        <v>122.99</v>
      </c>
      <c r="F251" s="2" t="n"/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46307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46308</v>
      </c>
      <c r="B252" s="5" t="inlineStr">
        <is>
          <t>Ryzen 5 5600</t>
        </is>
      </c>
      <c r="C252" s="5" t="inlineStr">
        <is>
          <t>CPU</t>
        </is>
      </c>
      <c r="D252" s="7" t="n">
        <v>138.9</v>
      </c>
      <c r="E252" s="7" t="n">
        <v>135</v>
      </c>
      <c r="F252" s="2" t="n"/>
      <c r="G252" s="2" t="n"/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46307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46308</v>
      </c>
      <c r="B253" s="5" t="inlineStr">
        <is>
          <t>RAM DDR4 16GB (2x8) 3200</t>
        </is>
      </c>
      <c r="C253" s="5" t="inlineStr">
        <is>
          <t>RAM</t>
        </is>
      </c>
      <c r="D253" s="7" t="n">
        <v>92.98999999999999</v>
      </c>
      <c r="E253" s="7" t="n">
        <v>64.98999999999999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46307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46308</v>
      </c>
      <c r="B254" s="5" t="inlineStr">
        <is>
          <t>Intel Core i5-14400F</t>
        </is>
      </c>
      <c r="C254" s="5" t="inlineStr">
        <is>
          <t>CPU</t>
        </is>
      </c>
      <c r="D254" s="7" t="n">
        <v>164.49</v>
      </c>
      <c r="E254" s="7" t="n">
        <v>134</v>
      </c>
      <c r="F254" s="2" t="n"/>
      <c r="G254" s="8" t="n">
        <v>2460</v>
      </c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15" t="n">
        <v>46307</v>
      </c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46308</v>
      </c>
      <c r="B255" s="5" t="inlineStr">
        <is>
          <t>Intel Core i5-13400</t>
        </is>
      </c>
      <c r="C255" s="5" t="inlineStr">
        <is>
          <t>CPU</t>
        </is>
      </c>
      <c r="D255" s="2" t="n"/>
      <c r="E255" s="7" t="n">
        <v>149.99</v>
      </c>
      <c r="F255" s="2" t="n"/>
      <c r="G255" s="2" t="n"/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46307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46308</v>
      </c>
      <c r="B256" s="5" t="inlineStr">
        <is>
          <t>Intel Core i5-12400F</t>
        </is>
      </c>
      <c r="C256" s="5" t="inlineStr">
        <is>
          <t>CPU</t>
        </is>
      </c>
      <c r="D256" s="7" t="n">
        <v>150</v>
      </c>
      <c r="E256" s="7" t="n">
        <v>99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46307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46308</v>
      </c>
      <c r="B257" s="5" t="inlineStr">
        <is>
          <t>Intel Core Ultra 7 265K</t>
        </is>
      </c>
      <c r="C257" s="5" t="inlineStr">
        <is>
          <t>CPU</t>
        </is>
      </c>
      <c r="D257" s="7" t="n">
        <v>234.99</v>
      </c>
      <c r="E257" s="7" t="n">
        <v>209.99</v>
      </c>
      <c r="F257" s="2" t="n"/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15" t="n">
        <v>46307</v>
      </c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46308</v>
      </c>
      <c r="B258" s="5" t="inlineStr">
        <is>
          <t>Corsair Vengeance RGB DDR5 32GB (2x16) 6000</t>
        </is>
      </c>
      <c r="C258" s="5" t="inlineStr">
        <is>
          <t>RAM</t>
        </is>
      </c>
      <c r="D258" s="7" t="n">
        <v>435.99</v>
      </c>
      <c r="E258" s="7" t="n">
        <v>399.9</v>
      </c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6" t="inlineStr">
        <is>
          <t>ver anuncio</t>
        </is>
      </c>
      <c r="K258" s="15" t="n">
        <v>46307</v>
      </c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46308</v>
      </c>
      <c r="B259" s="5" t="inlineStr">
        <is>
          <t>Corsair Vengeance RGB DDR5 32GB (2x16) 5600</t>
        </is>
      </c>
      <c r="C259" s="5" t="inlineStr">
        <is>
          <t>RAM</t>
        </is>
      </c>
      <c r="D259" s="7" t="n">
        <v>493</v>
      </c>
      <c r="E259" s="7" t="n">
        <v>383.99</v>
      </c>
      <c r="F259" s="2" t="n"/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15" t="n">
        <v>46307</v>
      </c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46307</v>
      </c>
      <c r="B260" s="5" t="inlineStr">
        <is>
          <t>SSD NVMe 2TB</t>
        </is>
      </c>
      <c r="C260" s="5" t="inlineStr">
        <is>
          <t>SSD</t>
        </is>
      </c>
      <c r="D260" s="7" t="n">
        <v>209.99</v>
      </c>
      <c r="E260" s="7" t="n">
        <v>179.99</v>
      </c>
      <c r="F260" s="2" t="n"/>
      <c r="G260" s="8" t="n">
        <v>4060</v>
      </c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15" t="n">
        <v>46306</v>
      </c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46307</v>
      </c>
      <c r="B261" s="5" t="inlineStr">
        <is>
          <t>SSD NVMe 1TB</t>
        </is>
      </c>
      <c r="C261" s="5" t="inlineStr">
        <is>
          <t>SSD</t>
        </is>
      </c>
      <c r="D261" s="7" t="n">
        <v>114.99</v>
      </c>
      <c r="E261" s="7" t="n">
        <v>99.98999999999999</v>
      </c>
      <c r="F261" s="2" t="n"/>
      <c r="G261" s="8" t="n">
        <v>1860</v>
      </c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15" t="n">
        <v>46306</v>
      </c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46307</v>
      </c>
      <c r="B262" s="5" t="inlineStr">
        <is>
          <t>Ryzen 9 9950X</t>
        </is>
      </c>
      <c r="C262" s="5" t="inlineStr">
        <is>
          <t>CPU</t>
        </is>
      </c>
      <c r="D262" s="7" t="n">
        <v>499.99</v>
      </c>
      <c r="E262" s="7" t="n">
        <v>454.99</v>
      </c>
      <c r="F262" s="2" t="n"/>
      <c r="G262" s="8" t="n">
        <v>6140</v>
      </c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6" t="inlineStr">
        <is>
          <t>ver anuncio</t>
        </is>
      </c>
      <c r="K262" s="15" t="n">
        <v>46306</v>
      </c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46307</v>
      </c>
      <c r="B263" s="5" t="inlineStr">
        <is>
          <t>Ryzen 7 7800X3D</t>
        </is>
      </c>
      <c r="C263" s="5" t="inlineStr">
        <is>
          <t>CPU</t>
        </is>
      </c>
      <c r="D263" s="7" t="n">
        <v>329</v>
      </c>
      <c r="E263" s="7" t="n">
        <v>283.99</v>
      </c>
      <c r="F263" s="2" t="n"/>
      <c r="G263" s="8" t="n">
        <v>4760</v>
      </c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15" t="n">
        <v>46306</v>
      </c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46307</v>
      </c>
      <c r="B264" s="5" t="inlineStr">
        <is>
          <t>Ryzen 7 5700X3D</t>
        </is>
      </c>
      <c r="C264" s="5" t="inlineStr">
        <is>
          <t>CPU</t>
        </is>
      </c>
      <c r="D264" s="2" t="n"/>
      <c r="E264" s="7" t="n">
        <v>305</v>
      </c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6" t="inlineStr">
        <is>
          <t>ver anuncio</t>
        </is>
      </c>
      <c r="K264" s="5" t="n"/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46307</v>
      </c>
      <c r="B265" s="5" t="inlineStr">
        <is>
          <t>Ryzen 5 7600</t>
        </is>
      </c>
      <c r="C265" s="5" t="inlineStr">
        <is>
          <t>CPU</t>
        </is>
      </c>
      <c r="D265" s="7" t="n">
        <v>144.25</v>
      </c>
      <c r="E265" s="7" t="n">
        <v>122.99</v>
      </c>
      <c r="F265" s="2" t="n"/>
      <c r="G265" s="8" t="n">
        <v>2860</v>
      </c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15" t="n">
        <v>46306</v>
      </c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46307</v>
      </c>
      <c r="B266" s="5" t="inlineStr">
        <is>
          <t>Ryzen 5 5600</t>
        </is>
      </c>
      <c r="C266" s="5" t="inlineStr">
        <is>
          <t>CPU</t>
        </is>
      </c>
      <c r="D266" s="7" t="n">
        <v>138.9</v>
      </c>
      <c r="E266" s="7" t="n">
        <v>135</v>
      </c>
      <c r="F266" s="2" t="n"/>
      <c r="G266" s="2" t="n"/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5" t="n"/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46307</v>
      </c>
      <c r="B267" s="5" t="inlineStr">
        <is>
          <t>RAM DDR4 16GB (2x8) 3200</t>
        </is>
      </c>
      <c r="C267" s="5" t="inlineStr">
        <is>
          <t>RAM</t>
        </is>
      </c>
      <c r="D267" s="7" t="n">
        <v>75</v>
      </c>
      <c r="E267" s="7" t="n">
        <v>59.99</v>
      </c>
      <c r="F267" s="2" t="n"/>
      <c r="G267" s="8" t="n">
        <v>2150</v>
      </c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15" t="n">
        <v>46306</v>
      </c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  <row r="268">
      <c r="A268" s="15" t="n">
        <v>46307</v>
      </c>
      <c r="B268" s="5" t="inlineStr">
        <is>
          <t>Intel Core i5-14400F</t>
        </is>
      </c>
      <c r="C268" s="5" t="inlineStr">
        <is>
          <t>CPU</t>
        </is>
      </c>
      <c r="D268" s="7" t="n">
        <v>164.49</v>
      </c>
      <c r="E268" s="7" t="n">
        <v>136.99</v>
      </c>
      <c r="F268" s="2" t="n"/>
      <c r="G268" s="8" t="n">
        <v>2520</v>
      </c>
      <c r="H268" s="9">
        <f>IFERROR(IF(INDEX(Dólar!$B:$B,MATCH(A268,Dólar!$A:$A,0))="","",INDEX(Dólar!$B:$B,MATCH(A268,Dólar!$A:$A,0))),"")</f>
        <v/>
      </c>
      <c r="I268" s="10">
        <f>IFERROR(INDEX(Dólar!$E:$E,MATCH(A268,Dólar!$A:$A,0)),"")</f>
        <v/>
      </c>
      <c r="J268" s="6" t="inlineStr">
        <is>
          <t>ver anuncio</t>
        </is>
      </c>
      <c r="K268" s="15" t="n">
        <v>46306</v>
      </c>
      <c r="L268" s="16">
        <f>IF(OR($K268="",D268=""),"",IF(COUNTIFS($B:$B,$B268,$A:$A,$K268,D:D,"&gt;=0")=0,"",D268-SUMIFS(D:D,$B:$B,$B268,$A:$A,$K268)))</f>
        <v/>
      </c>
      <c r="M268" s="16">
        <f>IF(OR($K268="",E268=""),"",IF(COUNTIFS($B:$B,$B268,$A:$A,$K268,E:E,"&gt;=0")=0,"",E268-SUMIFS(E:E,$B:$B,$B268,$A:$A,$K268)))</f>
        <v/>
      </c>
      <c r="N268" s="16">
        <f>IF(OR($K268="",F268=""),"",IF(COUNTIFS($B:$B,$B268,$A:$A,$K268,F:F,"&gt;=0")=0,"",F268-SUMIFS(F:F,$B:$B,$B268,$A:$A,$K268)))</f>
        <v/>
      </c>
      <c r="O268" s="16">
        <f>IF(OR($K268="",G268=""),"",IF(COUNTIFS($B:$B,$B268,$A:$A,$K268,G:G,"&gt;=0")=0,"",G268-SUMIFS(G:G,$B:$B,$B268,$A:$A,$K268)))</f>
        <v/>
      </c>
    </row>
    <row r="269">
      <c r="A269" s="15" t="n">
        <v>46307</v>
      </c>
      <c r="B269" s="5" t="inlineStr">
        <is>
          <t>Intel Core i5-13400</t>
        </is>
      </c>
      <c r="C269" s="5" t="inlineStr">
        <is>
          <t>CPU</t>
        </is>
      </c>
      <c r="D269" s="7" t="n">
        <v>259.78</v>
      </c>
      <c r="E269" s="7" t="n">
        <v>149.99</v>
      </c>
      <c r="F269" s="2" t="n"/>
      <c r="G269" s="2" t="n"/>
      <c r="H269" s="9">
        <f>IFERROR(IF(INDEX(Dólar!$B:$B,MATCH(A269,Dólar!$A:$A,0))="","",INDEX(Dólar!$B:$B,MATCH(A269,Dólar!$A:$A,0))),"")</f>
        <v/>
      </c>
      <c r="I269" s="10">
        <f>IFERROR(INDEX(Dólar!$E:$E,MATCH(A269,Dólar!$A:$A,0)),"")</f>
        <v/>
      </c>
      <c r="J269" s="6" t="inlineStr">
        <is>
          <t>ver anuncio</t>
        </is>
      </c>
      <c r="K269" s="15" t="n">
        <v>46306</v>
      </c>
      <c r="L269" s="16">
        <f>IF(OR($K269="",D269=""),"",IF(COUNTIFS($B:$B,$B269,$A:$A,$K269,D:D,"&gt;=0")=0,"",D269-SUMIFS(D:D,$B:$B,$B269,$A:$A,$K269)))</f>
        <v/>
      </c>
      <c r="M269" s="16">
        <f>IF(OR($K269="",E269=""),"",IF(COUNTIFS($B:$B,$B269,$A:$A,$K269,E:E,"&gt;=0")=0,"",E269-SUMIFS(E:E,$B:$B,$B269,$A:$A,$K269)))</f>
        <v/>
      </c>
      <c r="N269" s="16">
        <f>IF(OR($K269="",F269=""),"",IF(COUNTIFS($B:$B,$B269,$A:$A,$K269,F:F,"&gt;=0")=0,"",F269-SUMIFS(F:F,$B:$B,$B269,$A:$A,$K269)))</f>
        <v/>
      </c>
      <c r="O269" s="16">
        <f>IF(OR($K269="",G269=""),"",IF(COUNTIFS($B:$B,$B269,$A:$A,$K269,G:G,"&gt;=0")=0,"",G269-SUMIFS(G:G,$B:$B,$B269,$A:$A,$K269)))</f>
        <v/>
      </c>
    </row>
    <row r="270">
      <c r="A270" s="15" t="n">
        <v>46307</v>
      </c>
      <c r="B270" s="5" t="inlineStr">
        <is>
          <t>Intel Core i5-12400F</t>
        </is>
      </c>
      <c r="C270" s="5" t="inlineStr">
        <is>
          <t>CPU</t>
        </is>
      </c>
      <c r="D270" s="7" t="n">
        <v>150</v>
      </c>
      <c r="E270" s="7" t="n">
        <v>119.95</v>
      </c>
      <c r="F270" s="2" t="n"/>
      <c r="G270" s="8" t="n">
        <v>2460</v>
      </c>
      <c r="H270" s="9">
        <f>IFERROR(IF(INDEX(Dólar!$B:$B,MATCH(A270,Dólar!$A:$A,0))="","",INDEX(Dólar!$B:$B,MATCH(A270,Dólar!$A:$A,0))),"")</f>
        <v/>
      </c>
      <c r="I270" s="10">
        <f>IFERROR(INDEX(Dólar!$E:$E,MATCH(A270,Dólar!$A:$A,0)),"")</f>
        <v/>
      </c>
      <c r="J270" s="6" t="inlineStr">
        <is>
          <t>ver anuncio</t>
        </is>
      </c>
      <c r="K270" s="5" t="n"/>
      <c r="L270" s="16">
        <f>IF(OR($K270="",D270=""),"",IF(COUNTIFS($B:$B,$B270,$A:$A,$K270,D:D,"&gt;=0")=0,"",D270-SUMIFS(D:D,$B:$B,$B270,$A:$A,$K270)))</f>
        <v/>
      </c>
      <c r="M270" s="16">
        <f>IF(OR($K270="",E270=""),"",IF(COUNTIFS($B:$B,$B270,$A:$A,$K270,E:E,"&gt;=0")=0,"",E270-SUMIFS(E:E,$B:$B,$B270,$A:$A,$K270)))</f>
        <v/>
      </c>
      <c r="N270" s="16">
        <f>IF(OR($K270="",F270=""),"",IF(COUNTIFS($B:$B,$B270,$A:$A,$K270,F:F,"&gt;=0")=0,"",F270-SUMIFS(F:F,$B:$B,$B270,$A:$A,$K270)))</f>
        <v/>
      </c>
      <c r="O270" s="16">
        <f>IF(OR($K270="",G270=""),"",IF(COUNTIFS($B:$B,$B270,$A:$A,$K270,G:G,"&gt;=0")=0,"",G270-SUMIFS(G:G,$B:$B,$B270,$A:$A,$K270)))</f>
        <v/>
      </c>
    </row>
    <row r="271">
      <c r="A271" s="15" t="n">
        <v>46307</v>
      </c>
      <c r="B271" s="5" t="inlineStr">
        <is>
          <t>Intel Core Ultra 7 265K</t>
        </is>
      </c>
      <c r="C271" s="5" t="inlineStr">
        <is>
          <t>CPU</t>
        </is>
      </c>
      <c r="D271" s="7" t="n">
        <v>244.87</v>
      </c>
      <c r="E271" s="7" t="n">
        <v>209.99</v>
      </c>
      <c r="F271" s="2" t="n"/>
      <c r="G271" s="8" t="n">
        <v>4290</v>
      </c>
      <c r="H271" s="9">
        <f>IFERROR(IF(INDEX(Dólar!$B:$B,MATCH(A271,Dólar!$A:$A,0))="","",INDEX(Dólar!$B:$B,MATCH(A271,Dólar!$A:$A,0))),"")</f>
        <v/>
      </c>
      <c r="I271" s="10">
        <f>IFERROR(INDEX(Dólar!$E:$E,MATCH(A271,Dólar!$A:$A,0)),"")</f>
        <v/>
      </c>
      <c r="J271" s="6" t="inlineStr">
        <is>
          <t>ver anuncio</t>
        </is>
      </c>
      <c r="K271" s="15" t="n">
        <v>46306</v>
      </c>
      <c r="L271" s="16">
        <f>IF(OR($K271="",D271=""),"",IF(COUNTIFS($B:$B,$B271,$A:$A,$K271,D:D,"&gt;=0")=0,"",D271-SUMIFS(D:D,$B:$B,$B271,$A:$A,$K271)))</f>
        <v/>
      </c>
      <c r="M271" s="16">
        <f>IF(OR($K271="",E271=""),"",IF(COUNTIFS($B:$B,$B271,$A:$A,$K271,E:E,"&gt;=0")=0,"",E271-SUMIFS(E:E,$B:$B,$B271,$A:$A,$K271)))</f>
        <v/>
      </c>
      <c r="N271" s="16">
        <f>IF(OR($K271="",F271=""),"",IF(COUNTIFS($B:$B,$B271,$A:$A,$K271,F:F,"&gt;=0")=0,"",F271-SUMIFS(F:F,$B:$B,$B271,$A:$A,$K271)))</f>
        <v/>
      </c>
      <c r="O271" s="16">
        <f>IF(OR($K271="",G271=""),"",IF(COUNTIFS($B:$B,$B271,$A:$A,$K271,G:G,"&gt;=0")=0,"",G271-SUMIFS(G:G,$B:$B,$B271,$A:$A,$K271)))</f>
        <v/>
      </c>
    </row>
    <row r="272">
      <c r="A272" s="15" t="n">
        <v>46307</v>
      </c>
      <c r="B272" s="5" t="inlineStr">
        <is>
          <t>Corsair Vengeance RGB DDR5 32GB (2x16) 6000</t>
        </is>
      </c>
      <c r="C272" s="5" t="inlineStr">
        <is>
          <t>RAM</t>
        </is>
      </c>
      <c r="D272" s="7" t="n">
        <v>435.99</v>
      </c>
      <c r="E272" s="7" t="n">
        <v>399.9</v>
      </c>
      <c r="F272" s="2" t="n"/>
      <c r="G272" s="2" t="n"/>
      <c r="H272" s="9">
        <f>IFERROR(IF(INDEX(Dólar!$B:$B,MATCH(A272,Dólar!$A:$A,0))="","",INDEX(Dólar!$B:$B,MATCH(A272,Dólar!$A:$A,0))),"")</f>
        <v/>
      </c>
      <c r="I272" s="10">
        <f>IFERROR(INDEX(Dólar!$E:$E,MATCH(A272,Dólar!$A:$A,0)),"")</f>
        <v/>
      </c>
      <c r="J272" s="6" t="inlineStr">
        <is>
          <t>ver anuncio</t>
        </is>
      </c>
      <c r="K272" s="15" t="n">
        <v>46306</v>
      </c>
      <c r="L272" s="16">
        <f>IF(OR($K272="",D272=""),"",IF(COUNTIFS($B:$B,$B272,$A:$A,$K272,D:D,"&gt;=0")=0,"",D272-SUMIFS(D:D,$B:$B,$B272,$A:$A,$K272)))</f>
        <v/>
      </c>
      <c r="M272" s="16">
        <f>IF(OR($K272="",E272=""),"",IF(COUNTIFS($B:$B,$B272,$A:$A,$K272,E:E,"&gt;=0")=0,"",E272-SUMIFS(E:E,$B:$B,$B272,$A:$A,$K272)))</f>
        <v/>
      </c>
      <c r="N272" s="16">
        <f>IF(OR($K272="",F272=""),"",IF(COUNTIFS($B:$B,$B272,$A:$A,$K272,F:F,"&gt;=0")=0,"",F272-SUMIFS(F:F,$B:$B,$B272,$A:$A,$K272)))</f>
        <v/>
      </c>
      <c r="O272" s="16">
        <f>IF(OR($K272="",G272=""),"",IF(COUNTIFS($B:$B,$B272,$A:$A,$K272,G:G,"&gt;=0")=0,"",G272-SUMIFS(G:G,$B:$B,$B272,$A:$A,$K272)))</f>
        <v/>
      </c>
    </row>
    <row r="273">
      <c r="A273" s="15" t="n">
        <v>46307</v>
      </c>
      <c r="B273" s="5" t="inlineStr">
        <is>
          <t>Corsair Vengeance RGB DDR5 32GB (2x16) 5600</t>
        </is>
      </c>
      <c r="C273" s="5" t="inlineStr">
        <is>
          <t>RAM</t>
        </is>
      </c>
      <c r="D273" s="7" t="n">
        <v>493</v>
      </c>
      <c r="E273" s="7" t="n">
        <v>399.99</v>
      </c>
      <c r="F273" s="8" t="n">
        <v>4500</v>
      </c>
      <c r="G273" s="2" t="n"/>
      <c r="H273" s="9">
        <f>IFERROR(IF(INDEX(Dólar!$B:$B,MATCH(A273,Dólar!$A:$A,0))="","",INDEX(Dólar!$B:$B,MATCH(A273,Dólar!$A:$A,0))),"")</f>
        <v/>
      </c>
      <c r="I273" s="10">
        <f>IFERROR(INDEX(Dólar!$E:$E,MATCH(A273,Dólar!$A:$A,0)),"")</f>
        <v/>
      </c>
      <c r="J273" s="6" t="inlineStr">
        <is>
          <t>ver anuncio</t>
        </is>
      </c>
      <c r="K273" s="5" t="n"/>
      <c r="L273" s="16">
        <f>IF(OR($K273="",D273=""),"",IF(COUNTIFS($B:$B,$B273,$A:$A,$K273,D:D,"&gt;=0")=0,"",D273-SUMIFS(D:D,$B:$B,$B273,$A:$A,$K273)))</f>
        <v/>
      </c>
      <c r="M273" s="16">
        <f>IF(OR($K273="",E273=""),"",IF(COUNTIFS($B:$B,$B273,$A:$A,$K273,E:E,"&gt;=0")=0,"",E273-SUMIFS(E:E,$B:$B,$B273,$A:$A,$K273)))</f>
        <v/>
      </c>
      <c r="N273" s="16">
        <f>IF(OR($K273="",F273=""),"",IF(COUNTIFS($B:$B,$B273,$A:$A,$K273,F:F,"&gt;=0")=0,"",F273-SUMIFS(F:F,$B:$B,$B273,$A:$A,$K273)))</f>
        <v/>
      </c>
      <c r="O273" s="16">
        <f>IF(OR($K273="",G273=""),"",IF(COUNTIFS($B:$B,$B273,$A:$A,$K273,G:G,"&gt;=0")=0,"",G273-SUMIFS(G:G,$B:$B,$B273,$A:$A,$K273)))</f>
        <v/>
      </c>
    </row>
    <row r="274">
      <c r="A274" s="15" t="n">
        <v>46306</v>
      </c>
      <c r="B274" s="5" t="inlineStr">
        <is>
          <t>SSD NVMe 2TB</t>
        </is>
      </c>
      <c r="C274" s="5" t="inlineStr">
        <is>
          <t>SSD</t>
        </is>
      </c>
      <c r="D274" s="2" t="n"/>
      <c r="E274" s="2" t="n"/>
      <c r="F274" s="2" t="n"/>
      <c r="G274" s="2" t="n"/>
      <c r="H274" s="9">
        <f>IFERROR(IF(INDEX(Dólar!$B:$B,MATCH(A274,Dólar!$A:$A,0))="","",INDEX(Dólar!$B:$B,MATCH(A274,Dólar!$A:$A,0))),"")</f>
        <v/>
      </c>
      <c r="I274" s="10">
        <f>IFERROR(INDEX(Dólar!$E:$E,MATCH(A274,Dólar!$A:$A,0)),"")</f>
        <v/>
      </c>
      <c r="J274" s="2" t="n"/>
      <c r="K274" s="5" t="n"/>
      <c r="L274" s="16">
        <f>IF(OR($K274="",D274=""),"",IF(COUNTIFS($B:$B,$B274,$A:$A,$K274,D:D,"&gt;=0")=0,"",D274-SUMIFS(D:D,$B:$B,$B274,$A:$A,$K274)))</f>
        <v/>
      </c>
      <c r="M274" s="16">
        <f>IF(OR($K274="",E274=""),"",IF(COUNTIFS($B:$B,$B274,$A:$A,$K274,E:E,"&gt;=0")=0,"",E274-SUMIFS(E:E,$B:$B,$B274,$A:$A,$K274)))</f>
        <v/>
      </c>
      <c r="N274" s="16">
        <f>IF(OR($K274="",F274=""),"",IF(COUNTIFS($B:$B,$B274,$A:$A,$K274,F:F,"&gt;=0")=0,"",F274-SUMIFS(F:F,$B:$B,$B274,$A:$A,$K274)))</f>
        <v/>
      </c>
      <c r="O274" s="16">
        <f>IF(OR($K274="",G274=""),"",IF(COUNTIFS($B:$B,$B274,$A:$A,$K274,G:G,"&gt;=0")=0,"",G274-SUMIFS(G:G,$B:$B,$B274,$A:$A,$K274)))</f>
        <v/>
      </c>
    </row>
    <row r="275">
      <c r="A275" s="15" t="n">
        <v>46306</v>
      </c>
      <c r="B275" s="5" t="inlineStr">
        <is>
          <t>SSD NVMe 1TB</t>
        </is>
      </c>
      <c r="C275" s="5" t="inlineStr">
        <is>
          <t>SSD</t>
        </is>
      </c>
      <c r="D275" s="2" t="n"/>
      <c r="E275" s="2" t="n"/>
      <c r="F275" s="8" t="n">
        <v>1800</v>
      </c>
      <c r="G275" s="2" t="n"/>
      <c r="H275" s="9">
        <f>IFERROR(IF(INDEX(Dólar!$B:$B,MATCH(A275,Dólar!$A:$A,0))="","",INDEX(Dólar!$B:$B,MATCH(A275,Dólar!$A:$A,0))),"")</f>
        <v/>
      </c>
      <c r="I275" s="10">
        <f>IFERROR(INDEX(Dólar!$E:$E,MATCH(A275,Dólar!$A:$A,0)),"")</f>
        <v/>
      </c>
      <c r="J275" s="6" t="inlineStr">
        <is>
          <t>ver anuncio</t>
        </is>
      </c>
      <c r="K275" s="5" t="n"/>
      <c r="L275" s="16">
        <f>IF(OR($K275="",D275=""),"",IF(COUNTIFS($B:$B,$B275,$A:$A,$K275,D:D,"&gt;=0")=0,"",D275-SUMIFS(D:D,$B:$B,$B275,$A:$A,$K275)))</f>
        <v/>
      </c>
      <c r="M275" s="16">
        <f>IF(OR($K275="",E275=""),"",IF(COUNTIFS($B:$B,$B275,$A:$A,$K275,E:E,"&gt;=0")=0,"",E275-SUMIFS(E:E,$B:$B,$B275,$A:$A,$K275)))</f>
        <v/>
      </c>
      <c r="N275" s="16">
        <f>IF(OR($K275="",F275=""),"",IF(COUNTIFS($B:$B,$B275,$A:$A,$K275,F:F,"&gt;=0")=0,"",F275-SUMIFS(F:F,$B:$B,$B275,$A:$A,$K275)))</f>
        <v/>
      </c>
      <c r="O275" s="16">
        <f>IF(OR($K275="",G275=""),"",IF(COUNTIFS($B:$B,$B275,$A:$A,$K275,G:G,"&gt;=0")=0,"",G275-SUMIFS(G:G,$B:$B,$B275,$A:$A,$K275)))</f>
        <v/>
      </c>
    </row>
    <row r="276">
      <c r="A276" s="15" t="n">
        <v>46306</v>
      </c>
      <c r="B276" s="5" t="inlineStr">
        <is>
          <t>Ryzen 9 9950X</t>
        </is>
      </c>
      <c r="C276" s="5" t="inlineStr">
        <is>
          <t>CPU</t>
        </is>
      </c>
      <c r="D276" s="2" t="n"/>
      <c r="E276" s="2" t="n"/>
      <c r="F276" s="2" t="n"/>
      <c r="G276" s="8" t="n">
        <v>5580</v>
      </c>
      <c r="H276" s="9">
        <f>IFERROR(IF(INDEX(Dólar!$B:$B,MATCH(A276,Dólar!$A:$A,0))="","",INDEX(Dólar!$B:$B,MATCH(A276,Dólar!$A:$A,0))),"")</f>
        <v/>
      </c>
      <c r="I276" s="10">
        <f>IFERROR(INDEX(Dólar!$E:$E,MATCH(A276,Dólar!$A:$A,0)),"")</f>
        <v/>
      </c>
      <c r="J276" s="6" t="inlineStr">
        <is>
          <t>ver anuncio</t>
        </is>
      </c>
      <c r="K276" s="5" t="n"/>
      <c r="L276" s="16">
        <f>IF(OR($K276="",D276=""),"",IF(COUNTIFS($B:$B,$B276,$A:$A,$K276,D:D,"&gt;=0")=0,"",D276-SUMIFS(D:D,$B:$B,$B276,$A:$A,$K276)))</f>
        <v/>
      </c>
      <c r="M276" s="16">
        <f>IF(OR($K276="",E276=""),"",IF(COUNTIFS($B:$B,$B276,$A:$A,$K276,E:E,"&gt;=0")=0,"",E276-SUMIFS(E:E,$B:$B,$B276,$A:$A,$K276)))</f>
        <v/>
      </c>
      <c r="N276" s="16">
        <f>IF(OR($K276="",F276=""),"",IF(COUNTIFS($B:$B,$B276,$A:$A,$K276,F:F,"&gt;=0")=0,"",F276-SUMIFS(F:F,$B:$B,$B276,$A:$A,$K276)))</f>
        <v/>
      </c>
      <c r="O276" s="16">
        <f>IF(OR($K276="",G276=""),"",IF(COUNTIFS($B:$B,$B276,$A:$A,$K276,G:G,"&gt;=0")=0,"",G276-SUMIFS(G:G,$B:$B,$B276,$A:$A,$K276)))</f>
        <v/>
      </c>
    </row>
    <row r="277">
      <c r="A277" s="15" t="n">
        <v>46306</v>
      </c>
      <c r="B277" s="5" t="inlineStr">
        <is>
          <t>Ryzen 7 7800X3D</t>
        </is>
      </c>
      <c r="C277" s="5" t="inlineStr">
        <is>
          <t>CPU</t>
        </is>
      </c>
      <c r="D277" s="2" t="n"/>
      <c r="E277" s="2" t="n"/>
      <c r="F277" s="8" t="n">
        <v>4800</v>
      </c>
      <c r="G277" s="2" t="n"/>
      <c r="H277" s="9">
        <f>IFERROR(IF(INDEX(Dólar!$B:$B,MATCH(A277,Dólar!$A:$A,0))="","",INDEX(Dólar!$B:$B,MATCH(A277,Dólar!$A:$A,0))),"")</f>
        <v/>
      </c>
      <c r="I277" s="10">
        <f>IFERROR(INDEX(Dólar!$E:$E,MATCH(A277,Dólar!$A:$A,0)),"")</f>
        <v/>
      </c>
      <c r="J277" s="6" t="inlineStr">
        <is>
          <t>ver anuncio</t>
        </is>
      </c>
      <c r="K277" s="5" t="n"/>
      <c r="L277" s="16">
        <f>IF(OR($K277="",D277=""),"",IF(COUNTIFS($B:$B,$B277,$A:$A,$K277,D:D,"&gt;=0")=0,"",D277-SUMIFS(D:D,$B:$B,$B277,$A:$A,$K277)))</f>
        <v/>
      </c>
      <c r="M277" s="16">
        <f>IF(OR($K277="",E277=""),"",IF(COUNTIFS($B:$B,$B277,$A:$A,$K277,E:E,"&gt;=0")=0,"",E277-SUMIFS(E:E,$B:$B,$B277,$A:$A,$K277)))</f>
        <v/>
      </c>
      <c r="N277" s="16">
        <f>IF(OR($K277="",F277=""),"",IF(COUNTIFS($B:$B,$B277,$A:$A,$K277,F:F,"&gt;=0")=0,"",F277-SUMIFS(F:F,$B:$B,$B277,$A:$A,$K277)))</f>
        <v/>
      </c>
      <c r="O277" s="16">
        <f>IF(OR($K277="",G277=""),"",IF(COUNTIFS($B:$B,$B277,$A:$A,$K277,G:G,"&gt;=0")=0,"",G277-SUMIFS(G:G,$B:$B,$B277,$A:$A,$K277)))</f>
        <v/>
      </c>
    </row>
    <row r="278">
      <c r="A278" s="15" t="n">
        <v>46306</v>
      </c>
      <c r="B278" s="5" t="inlineStr">
        <is>
          <t>Ryzen 5 7600</t>
        </is>
      </c>
      <c r="C278" s="5" t="inlineStr">
        <is>
          <t>CPU</t>
        </is>
      </c>
      <c r="D278" s="2" t="n"/>
      <c r="E278" s="2" t="n"/>
      <c r="F278" s="2" t="n"/>
      <c r="G278" s="2" t="n"/>
      <c r="H278" s="9">
        <f>IFERROR(IF(INDEX(Dólar!$B:$B,MATCH(A278,Dólar!$A:$A,0))="","",INDEX(Dólar!$B:$B,MATCH(A278,Dólar!$A:$A,0))),"")</f>
        <v/>
      </c>
      <c r="I278" s="10">
        <f>IFERROR(INDEX(Dólar!$E:$E,MATCH(A278,Dólar!$A:$A,0)),"")</f>
        <v/>
      </c>
      <c r="J278" s="2" t="n"/>
      <c r="K278" s="5" t="n"/>
      <c r="L278" s="16">
        <f>IF(OR($K278="",D278=""),"",IF(COUNTIFS($B:$B,$B278,$A:$A,$K278,D:D,"&gt;=0")=0,"",D278-SUMIFS(D:D,$B:$B,$B278,$A:$A,$K278)))</f>
        <v/>
      </c>
      <c r="M278" s="16">
        <f>IF(OR($K278="",E278=""),"",IF(COUNTIFS($B:$B,$B278,$A:$A,$K278,E:E,"&gt;=0")=0,"",E278-SUMIFS(E:E,$B:$B,$B278,$A:$A,$K278)))</f>
        <v/>
      </c>
      <c r="N278" s="16">
        <f>IF(OR($K278="",F278=""),"",IF(COUNTIFS($B:$B,$B278,$A:$A,$K278,F:F,"&gt;=0")=0,"",F278-SUMIFS(F:F,$B:$B,$B278,$A:$A,$K278)))</f>
        <v/>
      </c>
      <c r="O278" s="16">
        <f>IF(OR($K278="",G278=""),"",IF(COUNTIFS($B:$B,$B278,$A:$A,$K278,G:G,"&gt;=0")=0,"",G278-SUMIFS(G:G,$B:$B,$B278,$A:$A,$K278)))</f>
        <v/>
      </c>
    </row>
    <row r="279">
      <c r="A279" s="15" t="n">
        <v>46306</v>
      </c>
      <c r="B279" s="5" t="inlineStr">
        <is>
          <t>RAM DDR4 16GB (2x8) 3200</t>
        </is>
      </c>
      <c r="C279" s="5" t="inlineStr">
        <is>
          <t>RAM</t>
        </is>
      </c>
      <c r="D279" s="2" t="n"/>
      <c r="E279" s="2" t="n"/>
      <c r="F279" s="8" t="n">
        <v>900</v>
      </c>
      <c r="G279" s="2" t="n"/>
      <c r="H279" s="9">
        <f>IFERROR(IF(INDEX(Dólar!$B:$B,MATCH(A279,Dólar!$A:$A,0))="","",INDEX(Dólar!$B:$B,MATCH(A279,Dólar!$A:$A,0))),"")</f>
        <v/>
      </c>
      <c r="I279" s="10">
        <f>IFERROR(INDEX(Dólar!$E:$E,MATCH(A279,Dólar!$A:$A,0)),"")</f>
        <v/>
      </c>
      <c r="J279" s="6" t="inlineStr">
        <is>
          <t>ver anuncio</t>
        </is>
      </c>
      <c r="K279" s="5" t="n"/>
      <c r="L279" s="16">
        <f>IF(OR($K279="",D279=""),"",IF(COUNTIFS($B:$B,$B279,$A:$A,$K279,D:D,"&gt;=0")=0,"",D279-SUMIFS(D:D,$B:$B,$B279,$A:$A,$K279)))</f>
        <v/>
      </c>
      <c r="M279" s="16">
        <f>IF(OR($K279="",E279=""),"",IF(COUNTIFS($B:$B,$B279,$A:$A,$K279,E:E,"&gt;=0")=0,"",E279-SUMIFS(E:E,$B:$B,$B279,$A:$A,$K279)))</f>
        <v/>
      </c>
      <c r="N279" s="16">
        <f>IF(OR($K279="",F279=""),"",IF(COUNTIFS($B:$B,$B279,$A:$A,$K279,F:F,"&gt;=0")=0,"",F279-SUMIFS(F:F,$B:$B,$B279,$A:$A,$K279)))</f>
        <v/>
      </c>
      <c r="O279" s="16">
        <f>IF(OR($K279="",G279=""),"",IF(COUNTIFS($B:$B,$B279,$A:$A,$K279,G:G,"&gt;=0")=0,"",G279-SUMIFS(G:G,$B:$B,$B279,$A:$A,$K279)))</f>
        <v/>
      </c>
    </row>
    <row r="280">
      <c r="A280" s="15" t="n">
        <v>46306</v>
      </c>
      <c r="B280" s="5" t="inlineStr">
        <is>
          <t>Intel Core i5-14400F</t>
        </is>
      </c>
      <c r="C280" s="5" t="inlineStr">
        <is>
          <t>CPU</t>
        </is>
      </c>
      <c r="D280" s="2" t="n"/>
      <c r="E280" s="2" t="n"/>
      <c r="F280" s="2" t="n"/>
      <c r="G280" s="2" t="n"/>
      <c r="H280" s="9">
        <f>IFERROR(IF(INDEX(Dólar!$B:$B,MATCH(A280,Dólar!$A:$A,0))="","",INDEX(Dólar!$B:$B,MATCH(A280,Dólar!$A:$A,0))),"")</f>
        <v/>
      </c>
      <c r="I280" s="10">
        <f>IFERROR(INDEX(Dólar!$E:$E,MATCH(A280,Dólar!$A:$A,0)),"")</f>
        <v/>
      </c>
      <c r="J280" s="2" t="n"/>
      <c r="K280" s="5" t="n"/>
      <c r="L280" s="16">
        <f>IF(OR($K280="",D280=""),"",IF(COUNTIFS($B:$B,$B280,$A:$A,$K280,D:D,"&gt;=0")=0,"",D280-SUMIFS(D:D,$B:$B,$B280,$A:$A,$K280)))</f>
        <v/>
      </c>
      <c r="M280" s="16">
        <f>IF(OR($K280="",E280=""),"",IF(COUNTIFS($B:$B,$B280,$A:$A,$K280,E:E,"&gt;=0")=0,"",E280-SUMIFS(E:E,$B:$B,$B280,$A:$A,$K280)))</f>
        <v/>
      </c>
      <c r="N280" s="16">
        <f>IF(OR($K280="",F280=""),"",IF(COUNTIFS($B:$B,$B280,$A:$A,$K280,F:F,"&gt;=0")=0,"",F280-SUMIFS(F:F,$B:$B,$B280,$A:$A,$K280)))</f>
        <v/>
      </c>
      <c r="O280" s="16">
        <f>IF(OR($K280="",G280=""),"",IF(COUNTIFS($B:$B,$B280,$A:$A,$K280,G:G,"&gt;=0")=0,"",G280-SUMIFS(G:G,$B:$B,$B280,$A:$A,$K280)))</f>
        <v/>
      </c>
    </row>
    <row r="281">
      <c r="A281" s="15" t="n">
        <v>46306</v>
      </c>
      <c r="B281" s="5" t="inlineStr">
        <is>
          <t>Intel Core i5-13400</t>
        </is>
      </c>
      <c r="C281" s="5" t="inlineStr">
        <is>
          <t>CPU</t>
        </is>
      </c>
      <c r="D281" s="2" t="n"/>
      <c r="E281" s="2" t="n"/>
      <c r="F281" s="2" t="n"/>
      <c r="G281" s="8" t="n">
        <v>2300</v>
      </c>
      <c r="H281" s="9">
        <f>IFERROR(IF(INDEX(Dólar!$B:$B,MATCH(A281,Dólar!$A:$A,0))="","",INDEX(Dólar!$B:$B,MATCH(A281,Dólar!$A:$A,0))),"")</f>
        <v/>
      </c>
      <c r="I281" s="10">
        <f>IFERROR(INDEX(Dólar!$E:$E,MATCH(A281,Dólar!$A:$A,0)),"")</f>
        <v/>
      </c>
      <c r="J281" s="6" t="inlineStr">
        <is>
          <t>ver anuncio</t>
        </is>
      </c>
      <c r="K281" s="5" t="n"/>
      <c r="L281" s="16">
        <f>IF(OR($K281="",D281=""),"",IF(COUNTIFS($B:$B,$B281,$A:$A,$K281,D:D,"&gt;=0")=0,"",D281-SUMIFS(D:D,$B:$B,$B281,$A:$A,$K281)))</f>
        <v/>
      </c>
      <c r="M281" s="16">
        <f>IF(OR($K281="",E281=""),"",IF(COUNTIFS($B:$B,$B281,$A:$A,$K281,E:E,"&gt;=0")=0,"",E281-SUMIFS(E:E,$B:$B,$B281,$A:$A,$K281)))</f>
        <v/>
      </c>
      <c r="N281" s="16">
        <f>IF(OR($K281="",F281=""),"",IF(COUNTIFS($B:$B,$B281,$A:$A,$K281,F:F,"&gt;=0")=0,"",F281-SUMIFS(F:F,$B:$B,$B281,$A:$A,$K281)))</f>
        <v/>
      </c>
      <c r="O281" s="16">
        <f>IF(OR($K281="",G281=""),"",IF(COUNTIFS($B:$B,$B281,$A:$A,$K281,G:G,"&gt;=0")=0,"",G281-SUMIFS(G:G,$B:$B,$B281,$A:$A,$K281)))</f>
        <v/>
      </c>
    </row>
    <row r="282">
      <c r="A282" s="15" t="n">
        <v>46306</v>
      </c>
      <c r="B282" s="5" t="inlineStr">
        <is>
          <t>Intel Core Ultra 7 265K</t>
        </is>
      </c>
      <c r="C282" s="5" t="inlineStr">
        <is>
          <t>CPU</t>
        </is>
      </c>
      <c r="D282" s="2" t="n"/>
      <c r="E282" s="2" t="n"/>
      <c r="F282" s="2" t="n"/>
      <c r="G282" s="8" t="n">
        <v>3950</v>
      </c>
      <c r="H282" s="9">
        <f>IFERROR(IF(INDEX(Dólar!$B:$B,MATCH(A282,Dólar!$A:$A,0))="","",INDEX(Dólar!$B:$B,MATCH(A282,Dólar!$A:$A,0))),"")</f>
        <v/>
      </c>
      <c r="I282" s="10">
        <f>IFERROR(INDEX(Dólar!$E:$E,MATCH(A282,Dólar!$A:$A,0)),"")</f>
        <v/>
      </c>
      <c r="J282" s="6" t="inlineStr">
        <is>
          <t>ver anuncio</t>
        </is>
      </c>
      <c r="K282" s="5" t="n"/>
      <c r="L282" s="16">
        <f>IF(OR($K282="",D282=""),"",IF(COUNTIFS($B:$B,$B282,$A:$A,$K282,D:D,"&gt;=0")=0,"",D282-SUMIFS(D:D,$B:$B,$B282,$A:$A,$K282)))</f>
        <v/>
      </c>
      <c r="M282" s="16">
        <f>IF(OR($K282="",E282=""),"",IF(COUNTIFS($B:$B,$B282,$A:$A,$K282,E:E,"&gt;=0")=0,"",E282-SUMIFS(E:E,$B:$B,$B282,$A:$A,$K282)))</f>
        <v/>
      </c>
      <c r="N282" s="16">
        <f>IF(OR($K282="",F282=""),"",IF(COUNTIFS($B:$B,$B282,$A:$A,$K282,F:F,"&gt;=0")=0,"",F282-SUMIFS(F:F,$B:$B,$B282,$A:$A,$K282)))</f>
        <v/>
      </c>
      <c r="O282" s="16">
        <f>IF(OR($K282="",G282=""),"",IF(COUNTIFS($B:$B,$B282,$A:$A,$K282,G:G,"&gt;=0")=0,"",G282-SUMIFS(G:G,$B:$B,$B282,$A:$A,$K282)))</f>
        <v/>
      </c>
    </row>
    <row r="283">
      <c r="A283" s="15" t="n">
        <v>46306</v>
      </c>
      <c r="B283" s="5" t="inlineStr">
        <is>
          <t>Corsair Vengeance RGB DDR5 32GB (2x16) 6000</t>
        </is>
      </c>
      <c r="C283" s="5" t="inlineStr">
        <is>
          <t>RAM</t>
        </is>
      </c>
      <c r="D283" s="2" t="n"/>
      <c r="E283" s="2" t="n"/>
      <c r="F283" s="8" t="n">
        <v>6200</v>
      </c>
      <c r="G283" s="2" t="n"/>
      <c r="H283" s="9">
        <f>IFERROR(IF(INDEX(Dólar!$B:$B,MATCH(A283,Dólar!$A:$A,0))="","",INDEX(Dólar!$B:$B,MATCH(A283,Dólar!$A:$A,0))),"")</f>
        <v/>
      </c>
      <c r="I283" s="10">
        <f>IFERROR(INDEX(Dólar!$E:$E,MATCH(A283,Dólar!$A:$A,0)),"")</f>
        <v/>
      </c>
      <c r="J283" s="6" t="inlineStr">
        <is>
          <t>ver anuncio</t>
        </is>
      </c>
      <c r="K283" s="5" t="n"/>
      <c r="L283" s="16">
        <f>IF(OR($K283="",D283=""),"",IF(COUNTIFS($B:$B,$B283,$A:$A,$K283,D:D,"&gt;=0")=0,"",D283-SUMIFS(D:D,$B:$B,$B283,$A:$A,$K283)))</f>
        <v/>
      </c>
      <c r="M283" s="16">
        <f>IF(OR($K283="",E283=""),"",IF(COUNTIFS($B:$B,$B283,$A:$A,$K283,E:E,"&gt;=0")=0,"",E283-SUMIFS(E:E,$B:$B,$B283,$A:$A,$K283)))</f>
        <v/>
      </c>
      <c r="N283" s="16">
        <f>IF(OR($K283="",F283=""),"",IF(COUNTIFS($B:$B,$B283,$A:$A,$K283,F:F,"&gt;=0")=0,"",F283-SUMIFS(F:F,$B:$B,$B283,$A:$A,$K283)))</f>
        <v/>
      </c>
      <c r="O283" s="16">
        <f>IF(OR($K283="",G283=""),"",IF(COUNTIFS($B:$B,$B283,$A:$A,$K283,G:G,"&gt;=0")=0,"",G283-SUMIFS(G:G,$B:$B,$B283,$A:$A,$K283)))</f>
        <v/>
      </c>
    </row>
  </sheetData>
  <conditionalFormatting sqref="L2:M28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8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8" r:id="rId256"/>
    <hyperlink xmlns:r="http://schemas.openxmlformats.org/officeDocument/2006/relationships" ref="J259" r:id="rId257"/>
    <hyperlink xmlns:r="http://schemas.openxmlformats.org/officeDocument/2006/relationships" ref="J260" r:id="rId258"/>
    <hyperlink xmlns:r="http://schemas.openxmlformats.org/officeDocument/2006/relationships" ref="J261" r:id="rId259"/>
    <hyperlink xmlns:r="http://schemas.openxmlformats.org/officeDocument/2006/relationships" ref="J262" r:id="rId260"/>
    <hyperlink xmlns:r="http://schemas.openxmlformats.org/officeDocument/2006/relationships" ref="J263" r:id="rId261"/>
    <hyperlink xmlns:r="http://schemas.openxmlformats.org/officeDocument/2006/relationships" ref="J264" r:id="rId262"/>
    <hyperlink xmlns:r="http://schemas.openxmlformats.org/officeDocument/2006/relationships" ref="J265" r:id="rId263"/>
    <hyperlink xmlns:r="http://schemas.openxmlformats.org/officeDocument/2006/relationships" ref="J266" r:id="rId264"/>
    <hyperlink xmlns:r="http://schemas.openxmlformats.org/officeDocument/2006/relationships" ref="J267" r:id="rId265"/>
    <hyperlink xmlns:r="http://schemas.openxmlformats.org/officeDocument/2006/relationships" ref="J268" r:id="rId266"/>
    <hyperlink xmlns:r="http://schemas.openxmlformats.org/officeDocument/2006/relationships" ref="J269" r:id="rId267"/>
    <hyperlink xmlns:r="http://schemas.openxmlformats.org/officeDocument/2006/relationships" ref="J270" r:id="rId268"/>
    <hyperlink xmlns:r="http://schemas.openxmlformats.org/officeDocument/2006/relationships" ref="J271" r:id="rId269"/>
    <hyperlink xmlns:r="http://schemas.openxmlformats.org/officeDocument/2006/relationships" ref="J272" r:id="rId270"/>
    <hyperlink xmlns:r="http://schemas.openxmlformats.org/officeDocument/2006/relationships" ref="J273" r:id="rId271"/>
    <hyperlink xmlns:r="http://schemas.openxmlformats.org/officeDocument/2006/relationships" ref="J275" r:id="rId272"/>
    <hyperlink xmlns:r="http://schemas.openxmlformats.org/officeDocument/2006/relationships" ref="J276" r:id="rId273"/>
    <hyperlink xmlns:r="http://schemas.openxmlformats.org/officeDocument/2006/relationships" ref="J277" r:id="rId274"/>
    <hyperlink xmlns:r="http://schemas.openxmlformats.org/officeDocument/2006/relationships" ref="J279" r:id="rId275"/>
    <hyperlink xmlns:r="http://schemas.openxmlformats.org/officeDocument/2006/relationships" ref="J281" r:id="rId276"/>
    <hyperlink xmlns:r="http://schemas.openxmlformats.org/officeDocument/2006/relationships" ref="J282" r:id="rId277"/>
    <hyperlink xmlns:r="http://schemas.openxmlformats.org/officeDocument/2006/relationships" ref="J283" r:id="rId278"/>
  </hyperlinks>
  <pageMargins left="0.75" right="0.75" top="1" bottom="1" header="0.5" footer="0.5"/>
  <tableParts count="1">
    <tablePart xmlns:r="http://schemas.openxmlformats.org/officeDocument/2006/relationships" r:id="rId27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paralelo; USDT CriptoYa (Binance P2P) 21:16 BOT (comprar 12.15 / vender 12.13), usado = USDT para comprar</t>
        </is>
      </c>
    </row>
    <row r="21">
      <c r="A21" s="24" t="n">
        <v>46324</v>
      </c>
      <c r="B21" s="19" t="n">
        <v>12.02</v>
      </c>
      <c r="C21" s="19" t="n">
        <v>12.16</v>
      </c>
      <c r="D21" s="19" t="n">
        <v>12.14</v>
      </c>
      <c r="E21" s="10">
        <f>IF(COUNT(C21:D21)=2,AVERAGE(C21:D21),"")</f>
        <v/>
      </c>
      <c r="F21" s="19" t="n">
        <v>12.2</v>
      </c>
      <c r="G21" s="5" t="inlineStr">
        <is>
          <t>Oficial y paralelo del 28/10 (dolarbolivia.net; no hallé el de hoy); USDT CriptoYa (Binance P2P) 29/10 07:56 BOT, usado = USDT para comprar; CriptoYa USDT, nube 29/10; USDT CriptoYa (Binance P2P) 07:57 BOT (comprar 12.2 / vender 12.16), usado = USDT para comprar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46324</v>
      </c>
      <c r="B503" s="5" t="inlineStr">
        <is>
          <t>eBay</t>
        </is>
      </c>
      <c r="C503" s="5" t="inlineStr">
        <is>
          <t>Ryzen 5 5600</t>
        </is>
      </c>
      <c r="D503" s="5" t="inlineStr">
        <is>
          <t>nuevo</t>
        </is>
      </c>
      <c r="E503" s="11" t="n">
        <v>138.9</v>
      </c>
      <c r="F503" s="5" t="inlineStr">
        <is>
          <t>USD</t>
        </is>
      </c>
      <c r="G503" s="5" t="inlineStr">
        <is>
          <t>eBay API; vendedor 3c_wholesaler 99.5%; (New) AMD Ryzen 5 5600 Vermeer Zen3 6-Core 12-Thread AM4 CPU</t>
        </is>
      </c>
      <c r="H503" s="6" t="inlineStr">
        <is>
          <t>ver</t>
        </is>
      </c>
    </row>
    <row r="504">
      <c r="A504" s="15" t="n">
        <v>46324</v>
      </c>
      <c r="B504" s="5" t="inlineStr">
        <is>
          <t>eBay</t>
        </is>
      </c>
      <c r="C504" s="5" t="inlineStr">
        <is>
          <t>Ryzen 5 7600</t>
        </is>
      </c>
      <c r="D504" s="5" t="inlineStr">
        <is>
          <t>nuevo</t>
        </is>
      </c>
      <c r="E504" s="11" t="n">
        <v>199.99</v>
      </c>
      <c r="F504" s="5" t="inlineStr">
        <is>
          <t>USD</t>
        </is>
      </c>
      <c r="G504" s="5" t="inlineStr">
        <is>
          <t xml:space="preserve">eBay API; vendedor collect_n_tech 99.3%; AMD Ryzen 5 7600 AMD Ryzen™ 7000 Series Processor Heat Sink </t>
        </is>
      </c>
      <c r="H504" s="6" t="inlineStr">
        <is>
          <t>ver</t>
        </is>
      </c>
    </row>
    <row r="505">
      <c r="A505" s="15" t="n">
        <v>46324</v>
      </c>
      <c r="B505" s="5" t="inlineStr">
        <is>
          <t>eBay</t>
        </is>
      </c>
      <c r="C505" s="5" t="inlineStr">
        <is>
          <t>Ryzen 7 7800X3D</t>
        </is>
      </c>
      <c r="D505" s="5" t="inlineStr">
        <is>
          <t>nuevo</t>
        </is>
      </c>
      <c r="E505" s="11" t="n">
        <v>325</v>
      </c>
      <c r="F505" s="5" t="inlineStr">
        <is>
          <t>USD</t>
        </is>
      </c>
      <c r="G505" s="5" t="inlineStr">
        <is>
          <t>eBay API; vendedor thegoodzvault 99.2%; AMD Ryzen 7 7800X3D 8-Core 5.0GHz Turbo 4.2GHz Base Desktop ; envío no indicado</t>
        </is>
      </c>
      <c r="H505" s="6" t="inlineStr">
        <is>
          <t>ver</t>
        </is>
      </c>
    </row>
    <row r="506">
      <c r="A506" s="15" t="n">
        <v>46324</v>
      </c>
      <c r="B506" s="5" t="inlineStr">
        <is>
          <t>eBay</t>
        </is>
      </c>
      <c r="C506" s="5" t="inlineStr">
        <is>
          <t>Ryzen 9 9950X</t>
        </is>
      </c>
      <c r="D506" s="5" t="inlineStr">
        <is>
          <t>nuevo</t>
        </is>
      </c>
      <c r="E506" s="11" t="n">
        <v>549.99</v>
      </c>
      <c r="F506" s="5" t="inlineStr">
        <is>
          <t>USD</t>
        </is>
      </c>
      <c r="G506" s="5" t="inlineStr">
        <is>
          <t>eBay API; vendedor newegg 99.6%; AMD Ryzen 9 9950X - Ryzen 9 9000 Series Granite Ridge (Zen 5</t>
        </is>
      </c>
      <c r="H506" s="6" t="inlineStr">
        <is>
          <t>ver</t>
        </is>
      </c>
    </row>
    <row r="507">
      <c r="A507" s="15" t="n">
        <v>46324</v>
      </c>
      <c r="B507" s="5" t="inlineStr">
        <is>
          <t>eBay</t>
        </is>
      </c>
      <c r="C507" s="5" t="inlineStr">
        <is>
          <t>Intel Core i5-12400F</t>
        </is>
      </c>
      <c r="D507" s="5" t="inlineStr">
        <is>
          <t>nuevo</t>
        </is>
      </c>
      <c r="E507" s="11" t="n">
        <v>140</v>
      </c>
      <c r="F507" s="5" t="inlineStr">
        <is>
          <t>USD</t>
        </is>
      </c>
      <c r="G507" s="5" t="inlineStr">
        <is>
          <t>eBay API; vendedor picturesofheaven 99.8%; NEW - INTEL CPU Core i5-12400F / 6/12 / 2.5GHz / BX807151240</t>
        </is>
      </c>
      <c r="H507" s="6" t="inlineStr">
        <is>
          <t>ver</t>
        </is>
      </c>
    </row>
    <row r="508">
      <c r="A508" s="15" t="n">
        <v>46324</v>
      </c>
      <c r="B508" s="5" t="inlineStr">
        <is>
          <t>eBay</t>
        </is>
      </c>
      <c r="C508" s="5" t="inlineStr">
        <is>
          <t>Intel Core i5-14400F</t>
        </is>
      </c>
      <c r="D508" s="5" t="inlineStr">
        <is>
          <t>nuevo</t>
        </is>
      </c>
      <c r="E508" s="11" t="n">
        <v>164.49</v>
      </c>
      <c r="F508" s="5" t="inlineStr">
        <is>
          <t>USD</t>
        </is>
      </c>
      <c r="G508" s="5" t="inlineStr">
        <is>
          <t xml:space="preserve">eBay API; vendedor newegg 99.6%; Intel Core i5-14400F - Core i5 14th Gen Raptor Lake 10-Core </t>
        </is>
      </c>
      <c r="H508" s="6" t="inlineStr">
        <is>
          <t>ver</t>
        </is>
      </c>
    </row>
    <row r="509">
      <c r="A509" s="15" t="n">
        <v>46324</v>
      </c>
      <c r="B509" s="5" t="inlineStr">
        <is>
          <t>eBay</t>
        </is>
      </c>
      <c r="C509" s="5" t="inlineStr">
        <is>
          <t>Intel Core Ultra 7 265K</t>
        </is>
      </c>
      <c r="D509" s="5" t="inlineStr">
        <is>
          <t>nuevo</t>
        </is>
      </c>
      <c r="E509" s="11" t="n">
        <v>259.99</v>
      </c>
      <c r="F509" s="5" t="inlineStr">
        <is>
          <t>USD</t>
        </is>
      </c>
      <c r="G509" s="5" t="inlineStr">
        <is>
          <t>eBay API; vendedor luis11389 99.1%; Intel Core Ultra 7 265K 20-Core LGA 1851 Unlocked CPU BX8076; envío no indicado</t>
        </is>
      </c>
      <c r="H509" s="6" t="inlineStr">
        <is>
          <t>ver</t>
        </is>
      </c>
    </row>
    <row r="510">
      <c r="A510" s="15" t="n">
        <v>46324</v>
      </c>
      <c r="B510" s="5" t="inlineStr">
        <is>
          <t>eBay</t>
        </is>
      </c>
      <c r="C510" s="5" t="inlineStr">
        <is>
          <t>Corsair Vengeance RGB DDR5 32GB (2x16) 5600</t>
        </is>
      </c>
      <c r="D510" s="5" t="inlineStr">
        <is>
          <t>nuevo</t>
        </is>
      </c>
      <c r="E510" s="11" t="n">
        <v>459</v>
      </c>
      <c r="F510" s="5" t="inlineStr">
        <is>
          <t>USD</t>
        </is>
      </c>
      <c r="G510" s="5" t="inlineStr">
        <is>
          <t>eBay API; vendedor 2012roms 100.0%; Corsair Vengeance 32GB (2x16GB) DDR5 5600MHz CL36 Desktop RA; envío no indicado</t>
        </is>
      </c>
      <c r="H510" s="6" t="inlineStr">
        <is>
          <t>ver</t>
        </is>
      </c>
    </row>
    <row r="511">
      <c r="A511" s="15" t="n">
        <v>46324</v>
      </c>
      <c r="B511" s="5" t="inlineStr">
        <is>
          <t>eBay</t>
        </is>
      </c>
      <c r="C511" s="5" t="inlineStr">
        <is>
          <t>Corsair Vengeance RGB DDR5 32GB (2x16) 6000</t>
        </is>
      </c>
      <c r="D511" s="5" t="inlineStr">
        <is>
          <t>nuevo</t>
        </is>
      </c>
      <c r="E511" s="11" t="n">
        <v>450</v>
      </c>
      <c r="F511" s="5" t="inlineStr">
        <is>
          <t>USD</t>
        </is>
      </c>
      <c r="G511" s="5" t="inlineStr">
        <is>
          <t>eBay API; vendedor andreschneidernyc 100.0%; Corsair Vengeance RGB 32GB (2x16GB) DDR5-6000 DIMM AMD EXPO ; envío no indicado</t>
        </is>
      </c>
      <c r="H511" s="6" t="inlineStr">
        <is>
          <t>ver</t>
        </is>
      </c>
    </row>
    <row r="512">
      <c r="A512" s="15" t="n">
        <v>46324</v>
      </c>
      <c r="B512" s="5" t="inlineStr">
        <is>
          <t>eBay</t>
        </is>
      </c>
      <c r="C512" s="5" t="inlineStr">
        <is>
          <t>RAM DDR4 16GB (2x8) 3200</t>
        </is>
      </c>
      <c r="D512" s="5" t="inlineStr">
        <is>
          <t>nuevo</t>
        </is>
      </c>
      <c r="E512" s="11" t="n">
        <v>89.98999999999999</v>
      </c>
      <c r="F512" s="5" t="inlineStr">
        <is>
          <t>USD</t>
        </is>
      </c>
      <c r="G512" s="5" t="inlineStr">
        <is>
          <t xml:space="preserve">eBay API; vendedor wheat_farmer_99 99.8%; Crucial Ballistix 3200 DDR4 16GB (2 x 8GB) DRAM RGB Desktop </t>
        </is>
      </c>
      <c r="H512" s="6" t="inlineStr">
        <is>
          <t>ver</t>
        </is>
      </c>
    </row>
    <row r="513">
      <c r="A513" s="15" t="n">
        <v>46324</v>
      </c>
      <c r="B513" s="5" t="inlineStr">
        <is>
          <t>eBay</t>
        </is>
      </c>
      <c r="C513" s="5" t="inlineStr">
        <is>
          <t>SSD NVMe 1TB</t>
        </is>
      </c>
      <c r="D513" s="5" t="inlineStr">
        <is>
          <t>nuevo</t>
        </is>
      </c>
      <c r="E513" s="11" t="n">
        <v>135</v>
      </c>
      <c r="F513" s="5" t="inlineStr">
        <is>
          <t>USD</t>
        </is>
      </c>
      <c r="G513" s="5" t="inlineStr">
        <is>
          <t xml:space="preserve">eBay API; vendedor konronus 99.7%; Kingston 1TB NVMe M.2 2280 SSD PCIe Gen4 x4 OM8PGP41024Q-AA </t>
        </is>
      </c>
      <c r="H513" s="6" t="inlineStr">
        <is>
          <t>ver</t>
        </is>
      </c>
    </row>
    <row r="514">
      <c r="A514" s="15" t="n">
        <v>46324</v>
      </c>
      <c r="B514" s="5" t="inlineStr">
        <is>
          <t>eBay</t>
        </is>
      </c>
      <c r="C514" s="5" t="inlineStr">
        <is>
          <t>SSD NVMe 2TB</t>
        </is>
      </c>
      <c r="D514" s="5" t="inlineStr">
        <is>
          <t>nuevo</t>
        </is>
      </c>
      <c r="E514" s="11" t="n">
        <v>209.99</v>
      </c>
      <c r="F514" s="5" t="inlineStr">
        <is>
          <t>USD</t>
        </is>
      </c>
      <c r="G514" s="5" t="inlineStr">
        <is>
          <t>eBay API; vendedor ram_technologies 100.0%; RAM Tech 2TB NVMe SSD Gen4 M.2 2280 | 5000MB/s Read 4500MB/s</t>
        </is>
      </c>
      <c r="H514" s="6" t="inlineStr">
        <is>
          <t>ver</t>
        </is>
      </c>
    </row>
    <row r="515">
      <c r="A515" s="15" t="n">
        <v>46324</v>
      </c>
      <c r="B515" s="5" t="inlineStr">
        <is>
          <t>eBay</t>
        </is>
      </c>
      <c r="C515" s="5" t="inlineStr">
        <is>
          <t>Ryzen 7 7700X</t>
        </is>
      </c>
      <c r="D515" s="5" t="inlineStr">
        <is>
          <t>nuevo</t>
        </is>
      </c>
      <c r="E515" s="11" t="n">
        <v>219</v>
      </c>
      <c r="F515" s="5" t="inlineStr">
        <is>
          <t>USD</t>
        </is>
      </c>
      <c r="G515" s="5" t="inlineStr">
        <is>
          <t>eBay API; vendedor greatdaytreasures 100.0%; AMD Ryzen 7 7700X CPU Processor - Brand New/Unopened</t>
        </is>
      </c>
      <c r="H515" s="6" t="inlineStr">
        <is>
          <t>ver</t>
        </is>
      </c>
    </row>
    <row r="516">
      <c r="A516" s="15" t="n">
        <v>46324</v>
      </c>
      <c r="B516" s="5" t="inlineStr">
        <is>
          <t>eBay</t>
        </is>
      </c>
      <c r="C516" s="5" t="inlineStr">
        <is>
          <t>Ryzen 5 7500F</t>
        </is>
      </c>
      <c r="D516" s="5" t="inlineStr">
        <is>
          <t>nuevo</t>
        </is>
      </c>
      <c r="E516" s="11" t="n">
        <v>135.6</v>
      </c>
      <c r="F516" s="5" t="inlineStr">
        <is>
          <t>USD</t>
        </is>
      </c>
      <c r="G516" s="5" t="inlineStr">
        <is>
          <t>eBay API; vendedor technological-trend 99.3%; AMD Ryzen 5 7500F - Ryzen 5 7000 Series Zen 4 6-Core 3.7 GHz</t>
        </is>
      </c>
      <c r="H516" s="6" t="inlineStr">
        <is>
          <t>ver</t>
        </is>
      </c>
    </row>
    <row r="517">
      <c r="A517" s="15" t="n">
        <v>46324</v>
      </c>
      <c r="B517" s="5" t="inlineStr">
        <is>
          <t>eBay</t>
        </is>
      </c>
      <c r="C517" s="5" t="inlineStr">
        <is>
          <t>Ryzen 5 5600</t>
        </is>
      </c>
      <c r="D517" s="5" t="inlineStr">
        <is>
          <t>usado</t>
        </is>
      </c>
      <c r="E517" s="11" t="n">
        <v>131.99</v>
      </c>
      <c r="F517" s="5" t="inlineStr">
        <is>
          <t>USD</t>
        </is>
      </c>
      <c r="G517" s="5" t="inlineStr">
        <is>
          <t>eBay API; vendedor damoses1 100.0%; AMD Ryzen 5 5600 6-Core 12-Thread Socket AM4 3.5GHz 4.4 Boos; envío no indicado</t>
        </is>
      </c>
      <c r="H517" s="6" t="inlineStr">
        <is>
          <t>ver</t>
        </is>
      </c>
    </row>
    <row r="518">
      <c r="A518" s="15" t="n">
        <v>46324</v>
      </c>
      <c r="B518" s="5" t="inlineStr">
        <is>
          <t>eBay</t>
        </is>
      </c>
      <c r="C518" s="5" t="inlineStr">
        <is>
          <t>Ryzen 7 5700X3D</t>
        </is>
      </c>
      <c r="D518" s="5" t="inlineStr">
        <is>
          <t>usado</t>
        </is>
      </c>
      <c r="E518" s="11" t="n">
        <v>336</v>
      </c>
      <c r="F518" s="5" t="inlineStr">
        <is>
          <t>USD</t>
        </is>
      </c>
      <c r="G518" s="5" t="inlineStr">
        <is>
          <t>eBay API; vendedor jariah_tomko 100.0%; AMD Ryzen 7 5700X3D 8-Core 16-Thread AM4 CPU | 96MB 3D V-Cac; envío no indicado</t>
        </is>
      </c>
      <c r="H518" s="6" t="inlineStr">
        <is>
          <t>ver</t>
        </is>
      </c>
    </row>
    <row r="519">
      <c r="A519" s="15" t="n">
        <v>46324</v>
      </c>
      <c r="B519" s="5" t="inlineStr">
        <is>
          <t>eBay</t>
        </is>
      </c>
      <c r="C519" s="5" t="inlineStr">
        <is>
          <t>Ryzen 5 7600</t>
        </is>
      </c>
      <c r="D519" s="5" t="inlineStr">
        <is>
          <t>usado</t>
        </is>
      </c>
      <c r="E519" s="11" t="n">
        <v>114.99</v>
      </c>
      <c r="F519" s="5" t="inlineStr">
        <is>
          <t>USD</t>
        </is>
      </c>
      <c r="G519" s="5" t="inlineStr">
        <is>
          <t>eBay API; vendedor paymore_south_rainbow 98.8%; AMD Ryzen 5 7600 3.80GHz 6 Core 100-000001015 12 Thread AM5</t>
        </is>
      </c>
      <c r="H519" s="6" t="inlineStr">
        <is>
          <t>ver</t>
        </is>
      </c>
    </row>
    <row r="520">
      <c r="A520" s="15" t="n">
        <v>46324</v>
      </c>
      <c r="B520" s="5" t="inlineStr">
        <is>
          <t>eBay</t>
        </is>
      </c>
      <c r="C520" s="5" t="inlineStr">
        <is>
          <t>Ryzen 7 7800X3D</t>
        </is>
      </c>
      <c r="D520" s="5" t="inlineStr">
        <is>
          <t>usado</t>
        </is>
      </c>
      <c r="E520" s="11" t="n">
        <v>265</v>
      </c>
      <c r="F520" s="5" t="inlineStr">
        <is>
          <t>USD</t>
        </is>
      </c>
      <c r="G520" s="5" t="inlineStr">
        <is>
          <t>eBay API; vendedor spcsisco 100.0%; AMD Ryzen 7 7800X3D 8-Core 4.2GHz CPU Socket AM5 7000 Series; envío no indicado</t>
        </is>
      </c>
      <c r="H520" s="6" t="inlineStr">
        <is>
          <t>ver</t>
        </is>
      </c>
    </row>
    <row r="521">
      <c r="A521" s="15" t="n">
        <v>46324</v>
      </c>
      <c r="B521" s="5" t="inlineStr">
        <is>
          <t>eBay</t>
        </is>
      </c>
      <c r="C521" s="5" t="inlineStr">
        <is>
          <t>Ryzen 9 9950X</t>
        </is>
      </c>
      <c r="D521" s="5" t="inlineStr">
        <is>
          <t>usado</t>
        </is>
      </c>
      <c r="E521" s="11" t="n">
        <v>454.99</v>
      </c>
      <c r="F521" s="5" t="inlineStr">
        <is>
          <t>USD</t>
        </is>
      </c>
      <c r="G521" s="5" t="inlineStr">
        <is>
          <t>eBay API; vendedor goodios_direct 99.6%; **  AMD Ryzen 9 9950X Processor - USED  **</t>
        </is>
      </c>
      <c r="H521" s="6" t="inlineStr">
        <is>
          <t>ver</t>
        </is>
      </c>
    </row>
    <row r="522">
      <c r="A522" s="15" t="n">
        <v>46324</v>
      </c>
      <c r="B522" s="5" t="inlineStr">
        <is>
          <t>eBay</t>
        </is>
      </c>
      <c r="C522" s="5" t="inlineStr">
        <is>
          <t>Intel Core i5-12400F</t>
        </is>
      </c>
      <c r="D522" s="5" t="inlineStr">
        <is>
          <t>usado</t>
        </is>
      </c>
      <c r="E522" s="11" t="n">
        <v>119.99</v>
      </c>
      <c r="F522" s="5" t="inlineStr">
        <is>
          <t>USD</t>
        </is>
      </c>
      <c r="G522" s="5" t="inlineStr">
        <is>
          <t>eBay API; vendedor paymore_fort_thomas 99.5%; Intel Core i5-12400F 2.50GHz 6 Core SRL5Z 12 Thread LGA 1700</t>
        </is>
      </c>
      <c r="H522" s="6" t="inlineStr">
        <is>
          <t>ver</t>
        </is>
      </c>
    </row>
    <row r="523">
      <c r="A523" s="15" t="n">
        <v>46324</v>
      </c>
      <c r="B523" s="5" t="inlineStr">
        <is>
          <t>eBay</t>
        </is>
      </c>
      <c r="C523" s="5" t="inlineStr">
        <is>
          <t>Intel Core i5-13400</t>
        </is>
      </c>
      <c r="D523" s="5" t="inlineStr">
        <is>
          <t>usado</t>
        </is>
      </c>
      <c r="E523" s="11" t="n">
        <v>129.99</v>
      </c>
      <c r="F523" s="5" t="inlineStr">
        <is>
          <t>USD</t>
        </is>
      </c>
      <c r="G523" s="5" t="inlineStr">
        <is>
          <t>eBay API; vendedor komercos 98.7%; Intel Core i5-13400 / SRMBP CPU Processor - "A"</t>
        </is>
      </c>
      <c r="H523" s="6" t="inlineStr">
        <is>
          <t>ver</t>
        </is>
      </c>
    </row>
    <row r="524">
      <c r="A524" s="15" t="n">
        <v>46324</v>
      </c>
      <c r="B524" s="5" t="inlineStr">
        <is>
          <t>eBay</t>
        </is>
      </c>
      <c r="C524" s="5" t="inlineStr">
        <is>
          <t>Intel Core i5-14400F</t>
        </is>
      </c>
      <c r="D524" s="5" t="inlineStr">
        <is>
          <t>usado</t>
        </is>
      </c>
      <c r="E524" s="11" t="n">
        <v>130</v>
      </c>
      <c r="F524" s="5" t="inlineStr">
        <is>
          <t>USD</t>
        </is>
      </c>
      <c r="G524" s="5" t="inlineStr">
        <is>
          <t>eBay API; vendedor 19jdmcrx91 100.0%; Intel Core I5-14400F Desktop Processor ; envío no indicado</t>
        </is>
      </c>
      <c r="H524" s="6" t="inlineStr">
        <is>
          <t>ver</t>
        </is>
      </c>
    </row>
    <row r="525">
      <c r="A525" s="15" t="n">
        <v>46324</v>
      </c>
      <c r="B525" s="5" t="inlineStr">
        <is>
          <t>eBay</t>
        </is>
      </c>
      <c r="C525" s="5" t="inlineStr">
        <is>
          <t>Intel Core Ultra 7 265K</t>
        </is>
      </c>
      <c r="D525" s="5" t="inlineStr">
        <is>
          <t>usado</t>
        </is>
      </c>
      <c r="E525" s="11" t="n">
        <v>249.99</v>
      </c>
      <c r="F525" s="5" t="inlineStr">
        <is>
          <t>USD</t>
        </is>
      </c>
      <c r="G525" s="5" t="inlineStr">
        <is>
          <t>eBay API; vendedor wazno 99.7%; Intel Core Ultra 7 Desktop Processor 265K - 20 cores (8 P-co</t>
        </is>
      </c>
      <c r="H525" s="6" t="inlineStr">
        <is>
          <t>ver</t>
        </is>
      </c>
    </row>
    <row r="526">
      <c r="A526" s="15" t="n">
        <v>46324</v>
      </c>
      <c r="B526" s="5" t="inlineStr">
        <is>
          <t>eBay</t>
        </is>
      </c>
      <c r="C526" s="5" t="inlineStr">
        <is>
          <t>Corsair Vengeance RGB DDR5 32GB (2x16) 5600</t>
        </is>
      </c>
      <c r="D526" s="5" t="inlineStr">
        <is>
          <t>usado</t>
        </is>
      </c>
      <c r="E526" s="11" t="n">
        <v>389.99</v>
      </c>
      <c r="F526" s="5" t="inlineStr">
        <is>
          <t>USD</t>
        </is>
      </c>
      <c r="G526" s="5" t="inlineStr">
        <is>
          <t>eBay API; vendedor wazno 99.7%; CORSAIR VENGEANCE DDR5 RAM 32GB 2x16GB 5600MHz CL36 Black CM</t>
        </is>
      </c>
      <c r="H526" s="6" t="inlineStr">
        <is>
          <t>ver</t>
        </is>
      </c>
    </row>
    <row r="527">
      <c r="A527" s="15" t="n">
        <v>46324</v>
      </c>
      <c r="B527" s="5" t="inlineStr">
        <is>
          <t>eBay</t>
        </is>
      </c>
      <c r="C527" s="5" t="inlineStr">
        <is>
          <t>Corsair Vengeance RGB DDR5 32GB (2x16) 6000</t>
        </is>
      </c>
      <c r="D527" s="5" t="inlineStr">
        <is>
          <t>usado</t>
        </is>
      </c>
      <c r="E527" s="11" t="n">
        <v>419.99</v>
      </c>
      <c r="F527" s="5" t="inlineStr">
        <is>
          <t>USD</t>
        </is>
      </c>
      <c r="G527" s="5" t="inlineStr">
        <is>
          <t>eBay API; vendedor wazno 99.7%; CORSAIR Vengeance RGB 32GB 2x16GB DDR5 RAM 6000MHz CMH32GX5M</t>
        </is>
      </c>
      <c r="H527" s="6" t="inlineStr">
        <is>
          <t>ver</t>
        </is>
      </c>
    </row>
    <row r="528">
      <c r="A528" s="15" t="n">
        <v>46324</v>
      </c>
      <c r="B528" s="5" t="inlineStr">
        <is>
          <t>eBay</t>
        </is>
      </c>
      <c r="C528" s="5" t="inlineStr">
        <is>
          <t>RAM DDR4 16GB (2x8) 3200</t>
        </is>
      </c>
      <c r="D528" s="5" t="inlineStr">
        <is>
          <t>usado</t>
        </is>
      </c>
      <c r="E528" s="11" t="n">
        <v>59.99</v>
      </c>
      <c r="F528" s="5" t="inlineStr">
        <is>
          <t>USD</t>
        </is>
      </c>
      <c r="G528" s="5" t="inlineStr">
        <is>
          <t>eBay API; vendedor lowwvoltage 100.0%; MICRON 16GB (2x8GB) RAM DDR4 3200 Desktop DIMM RAM 1Rx16 PC4; envío no indicado</t>
        </is>
      </c>
      <c r="H528" s="6" t="inlineStr">
        <is>
          <t>ver</t>
        </is>
      </c>
    </row>
    <row r="529">
      <c r="A529" s="15" t="n">
        <v>46324</v>
      </c>
      <c r="B529" s="5" t="inlineStr">
        <is>
          <t>eBay</t>
        </is>
      </c>
      <c r="C529" s="5" t="inlineStr">
        <is>
          <t>SSD NVMe 1TB</t>
        </is>
      </c>
      <c r="D529" s="5" t="inlineStr">
        <is>
          <t>usado</t>
        </is>
      </c>
      <c r="E529" s="11" t="n">
        <v>99</v>
      </c>
      <c r="F529" s="5" t="inlineStr">
        <is>
          <t>USD</t>
        </is>
      </c>
      <c r="G529" s="5" t="inlineStr">
        <is>
          <t>eBay API; vendedor jbbuying 98.9%; Crucial P1 1TB NVMe SSD M.2 Internal Solid State Drive (corregido: el primero era SATA)</t>
        </is>
      </c>
      <c r="H529" s="6" t="inlineStr">
        <is>
          <t>ver</t>
        </is>
      </c>
    </row>
    <row r="530">
      <c r="A530" s="15" t="n">
        <v>46324</v>
      </c>
      <c r="B530" s="5" t="inlineStr">
        <is>
          <t>eBay</t>
        </is>
      </c>
      <c r="C530" s="5" t="inlineStr">
        <is>
          <t>SSD NVMe 2TB</t>
        </is>
      </c>
      <c r="D530" s="5" t="inlineStr">
        <is>
          <t>usado</t>
        </is>
      </c>
      <c r="E530" s="11" t="n">
        <v>154.99</v>
      </c>
      <c r="F530" s="5" t="inlineStr">
        <is>
          <t>USD</t>
        </is>
      </c>
      <c r="G530" s="5" t="inlineStr">
        <is>
          <t>eBay API; vendedor nixs-surplus 100.0%; WD Black SN750 2TB NVMe PCIe3.0 M.2 2280 Internal SSD WDBRPG</t>
        </is>
      </c>
      <c r="H530" s="6" t="inlineStr">
        <is>
          <t>ver</t>
        </is>
      </c>
    </row>
    <row r="531">
      <c r="A531" s="15" t="n">
        <v>46324</v>
      </c>
      <c r="B531" s="5" t="inlineStr">
        <is>
          <t>eBay</t>
        </is>
      </c>
      <c r="C531" s="5" t="inlineStr">
        <is>
          <t>Ryzen 7 7700X</t>
        </is>
      </c>
      <c r="D531" s="5" t="inlineStr">
        <is>
          <t>usado</t>
        </is>
      </c>
      <c r="E531" s="11" t="n">
        <v>189.99</v>
      </c>
      <c r="F531" s="5" t="inlineStr">
        <is>
          <t>USD</t>
        </is>
      </c>
      <c r="G531" s="5" t="inlineStr">
        <is>
          <t>eBay API; vendedor g-electronic 99.7%; AMD Ryzen 7 7700X Desktop Processor 8-Core, 16-Thread 4.5GHz</t>
        </is>
      </c>
      <c r="H531" s="6" t="inlineStr">
        <is>
          <t>ver</t>
        </is>
      </c>
    </row>
    <row r="532">
      <c r="A532" s="15" t="n">
        <v>46324</v>
      </c>
      <c r="B532" s="5" t="inlineStr">
        <is>
          <t>eBay</t>
        </is>
      </c>
      <c r="C532" s="5" t="inlineStr">
        <is>
          <t>Ryzen 5 7500F</t>
        </is>
      </c>
      <c r="D532" s="5" t="inlineStr">
        <is>
          <t>usado</t>
        </is>
      </c>
      <c r="E532" s="11" t="n">
        <v>114.99</v>
      </c>
      <c r="F532" s="5" t="inlineStr">
        <is>
          <t>USD</t>
        </is>
      </c>
      <c r="G532" s="5" t="inlineStr">
        <is>
          <t>eBay API; vendedor jorgejhj 100.0%; AMD Ryzen 5 7500F Ryzen 5 6-Core 3.7GHz Socket AM5; envío no indicado</t>
        </is>
      </c>
      <c r="H532" s="6" t="inlineStr">
        <is>
          <t>ver</t>
        </is>
      </c>
    </row>
    <row r="533">
      <c r="A533" s="15" t="n">
        <v>46306</v>
      </c>
      <c r="B533" s="5" t="inlineStr">
        <is>
          <t>Tienda</t>
        </is>
      </c>
      <c r="C533" s="5" t="inlineStr">
        <is>
          <t>Ryzen 9 9950X</t>
        </is>
      </c>
      <c r="D533" s="5" t="inlineStr">
        <is>
          <t>MSR Computers (web; fecha de actualización desconocida)</t>
        </is>
      </c>
      <c r="E533" s="11" t="n">
        <v>5580</v>
      </c>
      <c r="F533" s="5" t="inlineStr">
        <is>
          <t>Bs</t>
        </is>
      </c>
      <c r="G533" s="5" t="inlineStr">
        <is>
          <t>nuevo</t>
        </is>
      </c>
      <c r="H533" s="6" t="inlineStr">
        <is>
          <t>ver</t>
        </is>
      </c>
    </row>
    <row r="534">
      <c r="A534" s="15" t="n">
        <v>46306</v>
      </c>
      <c r="B534" s="5" t="inlineStr">
        <is>
          <t>Tienda</t>
        </is>
      </c>
      <c r="C534" s="5" t="inlineStr">
        <is>
          <t>Intel Core i5-13400</t>
        </is>
      </c>
      <c r="D534" s="5" t="inlineStr">
        <is>
          <t>MSR Computers (web; fecha de actualización desconocida)</t>
        </is>
      </c>
      <c r="E534" s="11" t="n">
        <v>2300</v>
      </c>
      <c r="F534" s="5" t="inlineStr">
        <is>
          <t>Bs</t>
        </is>
      </c>
      <c r="G534" s="5" t="inlineStr">
        <is>
          <t>nuevo</t>
        </is>
      </c>
      <c r="H534" s="6" t="inlineStr">
        <is>
          <t>ver</t>
        </is>
      </c>
    </row>
    <row r="535">
      <c r="A535" s="15" t="n">
        <v>46306</v>
      </c>
      <c r="B535" s="5" t="inlineStr">
        <is>
          <t>Tienda</t>
        </is>
      </c>
      <c r="C535" s="5" t="inlineStr">
        <is>
          <t>Intel Core Ultra 7 265K</t>
        </is>
      </c>
      <c r="D535" s="5" t="inlineStr">
        <is>
          <t>MSR Computers (web; fecha de actualización desconocida)</t>
        </is>
      </c>
      <c r="E535" s="11" t="n">
        <v>3950</v>
      </c>
      <c r="F535" s="5" t="inlineStr">
        <is>
          <t>Bs</t>
        </is>
      </c>
      <c r="G535" s="5" t="inlineStr">
        <is>
          <t>nuevo</t>
        </is>
      </c>
      <c r="H535" s="6" t="inlineStr">
        <is>
          <t>ver</t>
        </is>
      </c>
    </row>
    <row r="536">
      <c r="A536" s="15" t="n">
        <v>46306</v>
      </c>
      <c r="B536" s="5" t="inlineStr">
        <is>
          <t>Marketplace</t>
        </is>
      </c>
      <c r="C536" s="5" t="inlineStr">
        <is>
          <t>Ryzen 7 7800X3D</t>
        </is>
      </c>
      <c r="D536" s="5" t="inlineStr">
        <is>
          <t>Marketplace Cochabamba (particular/vendedor)</t>
        </is>
      </c>
      <c r="E536" s="11" t="n">
        <v>4800</v>
      </c>
      <c r="F536" s="5" t="inlineStr">
        <is>
          <t>Bs</t>
        </is>
      </c>
      <c r="G536" s="5" t="inlineStr">
        <is>
          <t>nuevo sellado (según anuncio)</t>
        </is>
      </c>
      <c r="H536" s="6" t="inlineStr">
        <is>
          <t>ver</t>
        </is>
      </c>
    </row>
    <row r="537">
      <c r="A537" s="15" t="n">
        <v>46306</v>
      </c>
      <c r="B537" s="5" t="inlineStr">
        <is>
          <t>Marketplace</t>
        </is>
      </c>
      <c r="C537" s="5" t="inlineStr">
        <is>
          <t>Ryzen 7 7800X3D</t>
        </is>
      </c>
      <c r="D537" s="5" t="inlineStr">
        <is>
          <t>Marketplace Cochabamba</t>
        </is>
      </c>
      <c r="E537" s="11" t="n">
        <v>5190</v>
      </c>
      <c r="F537" s="5" t="inlineStr">
        <is>
          <t>Bs</t>
        </is>
      </c>
      <c r="G537" s="5" t="inlineStr">
        <is>
          <t>no indicado</t>
        </is>
      </c>
      <c r="H537" s="6" t="inlineStr">
        <is>
          <t>ver</t>
        </is>
      </c>
    </row>
    <row r="538">
      <c r="A538" s="15" t="n">
        <v>46306</v>
      </c>
      <c r="B538" s="5" t="inlineStr">
        <is>
          <t>Marketplace</t>
        </is>
      </c>
      <c r="C538" s="5" t="inlineStr">
        <is>
          <t>Ryzen 7 7800X3D</t>
        </is>
      </c>
      <c r="D538" s="5" t="inlineStr">
        <is>
          <t>Marketplace Cochabamba</t>
        </is>
      </c>
      <c r="E538" s="11" t="n">
        <v>5390</v>
      </c>
      <c r="F538" s="5" t="inlineStr">
        <is>
          <t>Bs</t>
        </is>
      </c>
      <c r="G538" s="5" t="inlineStr">
        <is>
          <t>no indicado</t>
        </is>
      </c>
      <c r="H538" s="6" t="inlineStr">
        <is>
          <t>ver</t>
        </is>
      </c>
    </row>
    <row r="539">
      <c r="A539" s="15" t="n">
        <v>46306</v>
      </c>
      <c r="B539" s="5" t="inlineStr">
        <is>
          <t>Marketplace</t>
        </is>
      </c>
      <c r="C539" s="5" t="inlineStr">
        <is>
          <t>Ryzen 5 7600</t>
        </is>
      </c>
      <c r="D539" s="5" t="inlineStr">
        <is>
          <t>Marketplace La Paz</t>
        </is>
      </c>
      <c r="E539" s="11" t="n">
        <v>2000</v>
      </c>
      <c r="F539" s="5" t="inlineStr">
        <is>
          <t>Bs</t>
        </is>
      </c>
      <c r="G539" s="5" t="inlineStr">
        <is>
          <t>no indicado (es 7600X; está en La Paz: solo referencia)</t>
        </is>
      </c>
      <c r="H539" s="6" t="inlineStr">
        <is>
          <t>ver</t>
        </is>
      </c>
    </row>
    <row r="540">
      <c r="A540" s="15" t="n">
        <v>46306</v>
      </c>
      <c r="B540" s="5" t="inlineStr">
        <is>
          <t>Marketplace</t>
        </is>
      </c>
      <c r="C540" s="5" t="inlineStr">
        <is>
          <t>Ryzen 5 7600</t>
        </is>
      </c>
      <c r="D540" s="5" t="inlineStr">
        <is>
          <t>Marketplace La Paz</t>
        </is>
      </c>
      <c r="E540" s="11" t="n">
        <v>2650</v>
      </c>
      <c r="F540" s="5" t="inlineStr">
        <is>
          <t>Bs</t>
        </is>
      </c>
      <c r="G540" s="5" t="inlineStr">
        <is>
          <t>no indicado (es 7600X; está en La Paz: solo referencia)</t>
        </is>
      </c>
      <c r="H540" s="6" t="inlineStr">
        <is>
          <t>ver</t>
        </is>
      </c>
    </row>
    <row r="541">
      <c r="A541" s="15" t="n">
        <v>46306</v>
      </c>
      <c r="B541" s="5" t="inlineStr">
        <is>
          <t>Marketplace</t>
        </is>
      </c>
      <c r="C541" s="5" t="inlineStr">
        <is>
          <t>Intel Core i5-14400F</t>
        </is>
      </c>
      <c r="D541" s="5" t="inlineStr">
        <is>
          <t>Marketplace Cochabamba</t>
        </is>
      </c>
      <c r="E541" s="11" t="n">
        <v>2700</v>
      </c>
      <c r="F541" s="5" t="inlineStr">
        <is>
          <t>Bs</t>
        </is>
      </c>
      <c r="G541" s="5" t="inlineStr">
        <is>
          <t>confirmado por Messenger el 12/10: es el i5-14400 con gráficos (no el F), nuevo en blíster, precio final Bs 2.700; no cuenta</t>
        </is>
      </c>
      <c r="H541" s="6" t="inlineStr">
        <is>
          <t>ver</t>
        </is>
      </c>
    </row>
    <row r="542">
      <c r="A542" s="15" t="n">
        <v>46306</v>
      </c>
      <c r="B542" s="5" t="inlineStr">
        <is>
          <t>Marketplace</t>
        </is>
      </c>
      <c r="C542" s="5" t="inlineStr">
        <is>
          <t>Corsair Vengeance RGB DDR5 32GB (2x16) 6000</t>
        </is>
      </c>
      <c r="D542" s="5" t="inlineStr">
        <is>
          <t>Marketplace Cochabamba</t>
        </is>
      </c>
      <c r="E542" s="11" t="n">
        <v>6200</v>
      </c>
      <c r="F542" s="5" t="inlineStr">
        <is>
          <t>Bs</t>
        </is>
      </c>
      <c r="G542" s="5" t="inlineStr">
        <is>
          <t>no indicado (modelo RS)</t>
        </is>
      </c>
      <c r="H542" s="6" t="inlineStr">
        <is>
          <t>ver</t>
        </is>
      </c>
    </row>
    <row r="543">
      <c r="A543" s="15" t="n">
        <v>46306</v>
      </c>
      <c r="B543" s="5" t="inlineStr">
        <is>
          <t>Marketplace</t>
        </is>
      </c>
      <c r="C543" s="5" t="inlineStr">
        <is>
          <t>RAM DDR4 16GB (2x8) 3200</t>
        </is>
      </c>
      <c r="D543" s="5" t="inlineStr">
        <is>
          <t>Marketplace Cochabamba</t>
        </is>
      </c>
      <c r="E543" s="11" t="n">
        <v>540</v>
      </c>
      <c r="F543" s="5" t="inlineStr">
        <is>
          <t>Bs</t>
        </is>
      </c>
      <c r="G543" s="5" t="inlineStr">
        <is>
          <t>no indicado (Kingston Fury Beast RGB 16GB 3200; probablemente 1x16; no cuenta)</t>
        </is>
      </c>
      <c r="H543" s="6" t="inlineStr">
        <is>
          <t>ver</t>
        </is>
      </c>
    </row>
    <row r="544">
      <c r="A544" s="15" t="n">
        <v>46306</v>
      </c>
      <c r="B544" s="5" t="inlineStr">
        <is>
          <t>Marketplace</t>
        </is>
      </c>
      <c r="C544" s="5" t="inlineStr">
        <is>
          <t>RAM DDR4 16GB (2x8) 3200</t>
        </is>
      </c>
      <c r="D544" s="5" t="inlineStr">
        <is>
          <t>Marketplace Cochabamba</t>
        </is>
      </c>
      <c r="E544" s="11" t="n">
        <v>900</v>
      </c>
      <c r="F544" s="5" t="inlineStr">
        <is>
          <t>Bs</t>
        </is>
      </c>
      <c r="G544" s="5" t="inlineStr">
        <is>
          <t>no indicado (16GB 3200; configuración no indicada)</t>
        </is>
      </c>
      <c r="H544" s="6" t="inlineStr">
        <is>
          <t>ver</t>
        </is>
      </c>
    </row>
    <row r="545">
      <c r="A545" s="15" t="n">
        <v>46306</v>
      </c>
      <c r="B545" s="5" t="inlineStr">
        <is>
          <t>Marketplace</t>
        </is>
      </c>
      <c r="C545" s="5" t="inlineStr">
        <is>
          <t>RAM DDR4 16GB (2x8) 3200</t>
        </is>
      </c>
      <c r="D545" s="5" t="inlineStr">
        <is>
          <t>Marketplace Cochabamba</t>
        </is>
      </c>
      <c r="E545" s="11" t="n">
        <v>1500</v>
      </c>
      <c r="F545" s="5" t="inlineStr">
        <is>
          <t>Bs</t>
        </is>
      </c>
      <c r="G545" s="5" t="inlineStr">
        <is>
          <t>no indicado (2x8 3200; Sacaba)</t>
        </is>
      </c>
      <c r="H545" s="6" t="inlineStr">
        <is>
          <t>ver</t>
        </is>
      </c>
    </row>
    <row r="546">
      <c r="A546" s="15" t="n">
        <v>46306</v>
      </c>
      <c r="B546" s="5" t="inlineStr">
        <is>
          <t>Marketplace</t>
        </is>
      </c>
      <c r="C546" s="5" t="inlineStr">
        <is>
          <t>RAM DDR4 16GB (2x8) 3200</t>
        </is>
      </c>
      <c r="D546" s="5" t="inlineStr">
        <is>
          <t>Marketplace Cochabamba</t>
        </is>
      </c>
      <c r="E546" s="11" t="n">
        <v>1500</v>
      </c>
      <c r="F546" s="5" t="inlineStr">
        <is>
          <t>Bs</t>
        </is>
      </c>
      <c r="G546" s="5" t="inlineStr">
        <is>
          <t>no indicado (Corsair Vengeance 2x8; Sacaba; rebajado de 1600)</t>
        </is>
      </c>
      <c r="H546" s="6" t="inlineStr">
        <is>
          <t>ver</t>
        </is>
      </c>
    </row>
    <row r="547">
      <c r="A547" s="15" t="n">
        <v>46306</v>
      </c>
      <c r="B547" s="5" t="inlineStr">
        <is>
          <t>Marketplace</t>
        </is>
      </c>
      <c r="C547" s="5" t="inlineStr">
        <is>
          <t>SSD NVMe 1TB</t>
        </is>
      </c>
      <c r="D547" s="5" t="inlineStr">
        <is>
          <t>Marketplace Cochabamba</t>
        </is>
      </c>
      <c r="E547" s="11" t="n">
        <v>1850</v>
      </c>
      <c r="F547" s="5" t="inlineStr">
        <is>
          <t>Bs</t>
        </is>
      </c>
      <c r="G547" s="5" t="inlineStr">
        <is>
          <t>no indicado (Kingston NV3 1TB)</t>
        </is>
      </c>
      <c r="H547" s="6" t="inlineStr">
        <is>
          <t>ver</t>
        </is>
      </c>
    </row>
    <row r="548">
      <c r="A548" s="15" t="n">
        <v>46306</v>
      </c>
      <c r="B548" s="5" t="inlineStr">
        <is>
          <t>Marketplace</t>
        </is>
      </c>
      <c r="C548" s="5" t="inlineStr">
        <is>
          <t>SSD NVMe 1TB</t>
        </is>
      </c>
      <c r="D548" s="5" t="inlineStr">
        <is>
          <t>Marketplace Cochabamba</t>
        </is>
      </c>
      <c r="E548" s="11" t="n">
        <v>2000</v>
      </c>
      <c r="F548" s="5" t="inlineStr">
        <is>
          <t>Bs</t>
        </is>
      </c>
      <c r="G548" s="5" t="inlineStr">
        <is>
          <t>no indicado (Crucial P310 1TB)</t>
        </is>
      </c>
      <c r="H548" s="6" t="inlineStr">
        <is>
          <t>ver</t>
        </is>
      </c>
    </row>
    <row r="549">
      <c r="A549" s="15" t="n">
        <v>46306</v>
      </c>
      <c r="B549" s="5" t="inlineStr">
        <is>
          <t>Marketplace</t>
        </is>
      </c>
      <c r="C549" s="5" t="inlineStr">
        <is>
          <t>SSD NVMe 1TB</t>
        </is>
      </c>
      <c r="D549" s="5" t="inlineStr">
        <is>
          <t>Marketplace Cochabamba</t>
        </is>
      </c>
      <c r="E549" s="11" t="n">
        <v>1800</v>
      </c>
      <c r="F549" s="5" t="inlineStr">
        <is>
          <t>Bs</t>
        </is>
      </c>
      <c r="G549" s="5" t="inlineStr">
        <is>
          <t>no indicado (M.2 1TB; marca no indicada)</t>
        </is>
      </c>
      <c r="H549" s="6" t="inlineStr">
        <is>
          <t>ver</t>
        </is>
      </c>
    </row>
    <row r="550">
      <c r="A550" s="15" t="n">
        <v>46306</v>
      </c>
      <c r="B550" s="5" t="inlineStr">
        <is>
          <t>Marketplace</t>
        </is>
      </c>
      <c r="C550" s="5" t="inlineStr">
        <is>
          <t>SSD NVMe 2TB</t>
        </is>
      </c>
      <c r="D550" s="5" t="inlineStr">
        <is>
          <t>Marketplace Cochabamba</t>
        </is>
      </c>
      <c r="E550" s="11" t="n">
        <v>3550</v>
      </c>
      <c r="F550" s="5" t="inlineStr">
        <is>
          <t>Bs</t>
        </is>
      </c>
      <c r="G550" s="5" t="inlineStr">
        <is>
          <t>revisado el 12/10: es un SSD externo portátil SanDisk 2TB (1050 MB/s, USB con cable, IP65), no un NVMe interno; no cuenta</t>
        </is>
      </c>
      <c r="H550" s="6" t="inlineStr">
        <is>
          <t>ver</t>
        </is>
      </c>
    </row>
    <row r="551">
      <c r="A551" s="15" t="n">
        <v>46307</v>
      </c>
      <c r="B551" s="5" t="inlineStr">
        <is>
          <t>Tienda</t>
        </is>
      </c>
      <c r="C551" s="5" t="inlineStr">
        <is>
          <t>Ryzen 7 7800X3D</t>
        </is>
      </c>
      <c r="D551" s="5" t="inlineStr">
        <is>
          <t>Cyrex Store (WhatsApp)</t>
        </is>
      </c>
      <c r="E551" s="11" t="n">
        <v>5664</v>
      </c>
      <c r="F551" s="5" t="inlineStr">
        <is>
          <t>Bs</t>
        </is>
      </c>
      <c r="G551" s="5" t="inlineStr">
        <is>
          <t>BOX (según foto de su web; USD 480)</t>
        </is>
      </c>
      <c r="H551" s="6" t="inlineStr">
        <is>
          <t>ver</t>
        </is>
      </c>
    </row>
    <row r="552">
      <c r="A552" s="15" t="n">
        <v>46307</v>
      </c>
      <c r="B552" s="5" t="inlineStr">
        <is>
          <t>Tienda</t>
        </is>
      </c>
      <c r="C552" s="5" t="inlineStr">
        <is>
          <t>Intel Core i5-14400F</t>
        </is>
      </c>
      <c r="D552" s="5" t="inlineStr">
        <is>
          <t>Cyrex Store (WhatsApp)</t>
        </is>
      </c>
      <c r="E552" s="11" t="n">
        <v>2537</v>
      </c>
      <c r="F552" s="5" t="inlineStr">
        <is>
          <t>Bs</t>
        </is>
      </c>
      <c r="G552" s="5" t="inlineStr">
        <is>
          <t>OEM (sin caja; según foto de su web; USD 215)</t>
        </is>
      </c>
      <c r="H552" s="6" t="inlineStr">
        <is>
          <t>ver</t>
        </is>
      </c>
    </row>
    <row r="553">
      <c r="A553" s="15" t="n">
        <v>46307</v>
      </c>
      <c r="B553" s="5" t="inlineStr">
        <is>
          <t>Tienda</t>
        </is>
      </c>
      <c r="C553" s="5" t="inlineStr">
        <is>
          <t>RAM DDR5 16GB (1x16) 6000</t>
        </is>
      </c>
      <c r="D553" s="5" t="inlineStr">
        <is>
          <t>Cyrex Store (WhatsApp)</t>
        </is>
      </c>
      <c r="E553" s="11" t="n">
        <v>3127</v>
      </c>
      <c r="F553" s="5" t="inlineStr">
        <is>
          <t>Bs</t>
        </is>
      </c>
      <c r="G553" s="5" t="inlineStr">
        <is>
          <t>no indicado (Patriot Viper Venom RGB 1x16 CL30; USD 265; no es el kit Corsair 2x16: solo referencia)</t>
        </is>
      </c>
      <c r="H553" s="6" t="inlineStr">
        <is>
          <t>ver</t>
        </is>
      </c>
    </row>
    <row r="554">
      <c r="A554" s="15" t="n">
        <v>46307</v>
      </c>
      <c r="B554" s="5" t="inlineStr">
        <is>
          <t>Tienda</t>
        </is>
      </c>
      <c r="C554" s="5" t="inlineStr">
        <is>
          <t>RAM DDR4 16GB (2x8) 3200</t>
        </is>
      </c>
      <c r="D554" s="5" t="inlineStr">
        <is>
          <t>Compucenter (WhatsApp)</t>
        </is>
      </c>
      <c r="E554" s="11" t="n">
        <v>2150</v>
      </c>
      <c r="F554" s="5" t="inlineStr">
        <is>
          <t>Bs</t>
        </is>
      </c>
      <c r="G554" s="5" t="inlineStr">
        <is>
          <t>nuevo (Corsair Vengeance RGB DDR4 16GB 3600; no dice si es 2x8; Bs 2.560 con factura)</t>
        </is>
      </c>
      <c r="H554" s="6" t="inlineStr">
        <is>
          <t>ver</t>
        </is>
      </c>
    </row>
    <row r="555">
      <c r="A555" s="15" t="n">
        <v>46307</v>
      </c>
      <c r="B555" s="5" t="inlineStr">
        <is>
          <t>Tienda</t>
        </is>
      </c>
      <c r="C555" s="5" t="inlineStr">
        <is>
          <t>Ryzen 9 9950X</t>
        </is>
      </c>
      <c r="D555" s="5" t="inlineStr">
        <is>
          <t>Tienda Supermall (WhatsApp)</t>
        </is>
      </c>
      <c r="E555" s="11" t="n">
        <v>6140</v>
      </c>
      <c r="F555" s="5" t="inlineStr">
        <is>
          <t>Bs</t>
        </is>
      </c>
      <c r="G555" s="5" t="inlineStr">
        <is>
          <t>nuevo OEM (garantía 6 meses)</t>
        </is>
      </c>
      <c r="H555" s="6" t="inlineStr">
        <is>
          <t>ver</t>
        </is>
      </c>
    </row>
    <row r="556">
      <c r="A556" s="15" t="n">
        <v>46307</v>
      </c>
      <c r="B556" s="5" t="inlineStr">
        <is>
          <t>Tienda</t>
        </is>
      </c>
      <c r="C556" s="5" t="inlineStr">
        <is>
          <t>Ryzen 7 7800X3D</t>
        </is>
      </c>
      <c r="D556" s="5" t="inlineStr">
        <is>
          <t>Tienda Supermall (WhatsApp)</t>
        </is>
      </c>
      <c r="E556" s="11" t="n">
        <v>4760</v>
      </c>
      <c r="F556" s="5" t="inlineStr">
        <is>
          <t>Bs</t>
        </is>
      </c>
      <c r="G556" s="5" t="inlineStr">
        <is>
          <t>no indicado (la tienda lo ofrece como "7700x3d"; foto de caja 7800X3D; stock bajo; garantía 6 meses; confirmar modelo)</t>
        </is>
      </c>
      <c r="H556" s="6" t="inlineStr">
        <is>
          <t>ver</t>
        </is>
      </c>
    </row>
    <row r="557">
      <c r="A557" s="15" t="n">
        <v>46307</v>
      </c>
      <c r="B557" s="5" t="inlineStr">
        <is>
          <t>Tienda</t>
        </is>
      </c>
      <c r="C557" s="5" t="inlineStr">
        <is>
          <t>Corsair Vengeance RGB DDR5 32GB (2x16) 6000</t>
        </is>
      </c>
      <c r="D557" s="5" t="inlineStr">
        <is>
          <t>PC Components Bolivia (WhatsApp; Santa Cruz: referencia)</t>
        </is>
      </c>
      <c r="E557" s="11" t="n">
        <v>6800</v>
      </c>
      <c r="F557" s="5" t="inlineStr">
        <is>
          <t>Bs</t>
        </is>
      </c>
      <c r="G557" s="5" t="inlineStr">
        <is>
          <t>no indicado</t>
        </is>
      </c>
      <c r="H557" s="6" t="inlineStr">
        <is>
          <t>ver</t>
        </is>
      </c>
    </row>
    <row r="558">
      <c r="A558" s="15" t="n">
        <v>46307</v>
      </c>
      <c r="B558" s="5" t="inlineStr">
        <is>
          <t>Tienda</t>
        </is>
      </c>
      <c r="C558" s="5" t="inlineStr">
        <is>
          <t>SSD NVMe 1TB</t>
        </is>
      </c>
      <c r="D558" s="5" t="inlineStr">
        <is>
          <t>PC Components Bolivia (WhatsApp; Santa Cruz: referencia)</t>
        </is>
      </c>
      <c r="E558" s="11" t="n">
        <v>2100</v>
      </c>
      <c r="F558" s="5" t="inlineStr">
        <is>
          <t>Bs</t>
        </is>
      </c>
      <c r="G558" s="5" t="inlineStr">
        <is>
          <t>no indicado (Kingston NV3 PCIe 4.0; Santa Cruz: referencia)</t>
        </is>
      </c>
      <c r="H558" s="6" t="inlineStr">
        <is>
          <t>ver</t>
        </is>
      </c>
    </row>
    <row r="559">
      <c r="A559" s="15" t="n">
        <v>46307</v>
      </c>
      <c r="B559" s="5" t="inlineStr">
        <is>
          <t>Tienda</t>
        </is>
      </c>
      <c r="C559" s="5" t="inlineStr">
        <is>
          <t>SSD NVMe 1TB</t>
        </is>
      </c>
      <c r="D559" s="5" t="inlineStr">
        <is>
          <t>PC Components Bolivia (WhatsApp; Santa Cruz: referencia)</t>
        </is>
      </c>
      <c r="E559" s="11" t="n">
        <v>1800</v>
      </c>
      <c r="F559" s="5" t="inlineStr">
        <is>
          <t>Bs</t>
        </is>
      </c>
      <c r="G559" s="5" t="inlineStr">
        <is>
          <t>no indicado (marca "ediloca" PCIe 4.0; Santa Cruz: referencia)</t>
        </is>
      </c>
      <c r="H559" s="6" t="inlineStr">
        <is>
          <t>ver</t>
        </is>
      </c>
    </row>
    <row r="560">
      <c r="A560" s="15" t="n">
        <v>46307</v>
      </c>
      <c r="B560" s="5" t="inlineStr">
        <is>
          <t>Marketplace</t>
        </is>
      </c>
      <c r="C560" s="5" t="inlineStr">
        <is>
          <t>Corsair Vengeance RGB DDR5 32GB (2x16) 5600</t>
        </is>
      </c>
      <c r="D560" s="5" t="inlineStr">
        <is>
          <t>Marketplace Cochabamba (particular)</t>
        </is>
      </c>
      <c r="E560" s="11" t="n">
        <v>4500</v>
      </c>
      <c r="F560" s="5" t="inlineStr">
        <is>
          <t>Bs</t>
        </is>
      </c>
      <c r="G560" s="5" t="inlineStr">
        <is>
          <t>usado como nuevo (4 meses de uso; publicado hace 7 semanas)</t>
        </is>
      </c>
      <c r="H560" s="6" t="inlineStr">
        <is>
          <t>ver</t>
        </is>
      </c>
    </row>
    <row r="561">
      <c r="A561" s="15" t="n">
        <v>46307</v>
      </c>
      <c r="B561" s="5" t="inlineStr">
        <is>
          <t>Tienda</t>
        </is>
      </c>
      <c r="C561" s="5" t="inlineStr">
        <is>
          <t>Corsair Vengeance RGB DDR5 32GB (2x16) 6000</t>
        </is>
      </c>
      <c r="D561" s="5" t="inlineStr">
        <is>
          <t>PC Components Bolivia (WhatsApp; Santa Cruz: referencia)</t>
        </is>
      </c>
      <c r="E561" s="11" t="n">
        <v>6700</v>
      </c>
      <c r="F561" s="5" t="inlineStr">
        <is>
          <t>Bs</t>
        </is>
      </c>
      <c r="G561" s="5" t="inlineStr">
        <is>
          <t>no indicado (precio c/u llevando 2; Santa Cruz: referencia)</t>
        </is>
      </c>
      <c r="H561" s="6" t="inlineStr">
        <is>
          <t>ver</t>
        </is>
      </c>
    </row>
    <row r="562">
      <c r="A562" s="15" t="n">
        <v>46307</v>
      </c>
      <c r="B562" s="5" t="inlineStr">
        <is>
          <t>Tienda</t>
        </is>
      </c>
      <c r="C562" s="5" t="inlineStr">
        <is>
          <t>Intel Core i5-14400F</t>
        </is>
      </c>
      <c r="D562" s="5" t="inlineStr">
        <is>
          <t>Punto Tecnológico · Supermall (web)</t>
        </is>
      </c>
      <c r="E562" s="11" t="n">
        <v>2520</v>
      </c>
      <c r="F562" s="5" t="inlineStr">
        <is>
          <t>Bs</t>
        </is>
      </c>
      <c r="G562" s="5" t="inlineStr">
        <is>
          <t>disponible (web)</t>
        </is>
      </c>
      <c r="H562" s="6" t="inlineStr">
        <is>
          <t>ver</t>
        </is>
      </c>
    </row>
    <row r="563">
      <c r="A563" s="15" t="n">
        <v>46307</v>
      </c>
      <c r="B563" s="5" t="inlineStr">
        <is>
          <t>Tienda</t>
        </is>
      </c>
      <c r="C563" s="5" t="inlineStr">
        <is>
          <t>Intel Core Ultra 7 265K</t>
        </is>
      </c>
      <c r="D563" s="5" t="inlineStr">
        <is>
          <t>Punto Tecnológico · Supermall (web)</t>
        </is>
      </c>
      <c r="E563" s="11" t="n">
        <v>4290</v>
      </c>
      <c r="F563" s="5" t="inlineStr">
        <is>
          <t>Bs</t>
        </is>
      </c>
      <c r="G563" s="5" t="inlineStr">
        <is>
          <t>stock bajo (web; por WhatsApp dijeron que el 265K solo está en Santa Cruz)</t>
        </is>
      </c>
      <c r="H563" s="6" t="inlineStr">
        <is>
          <t>ver</t>
        </is>
      </c>
    </row>
    <row r="564">
      <c r="A564" s="15" t="n">
        <v>46307</v>
      </c>
      <c r="B564" s="5" t="inlineStr">
        <is>
          <t>Tienda</t>
        </is>
      </c>
      <c r="C564" s="5" t="inlineStr">
        <is>
          <t>Ryzen 5 7600</t>
        </is>
      </c>
      <c r="D564" s="5" t="inlineStr">
        <is>
          <t>Punto Tecnológico · Supermall (web)</t>
        </is>
      </c>
      <c r="E564" s="11" t="n">
        <v>2860</v>
      </c>
      <c r="F564" s="5" t="inlineStr">
        <is>
          <t>Bs</t>
        </is>
      </c>
      <c r="G564" s="5" t="inlineStr">
        <is>
          <t>stock bajo (web)</t>
        </is>
      </c>
      <c r="H564" s="6" t="inlineStr">
        <is>
          <t>ver</t>
        </is>
      </c>
    </row>
    <row r="565">
      <c r="A565" s="15" t="n">
        <v>46307</v>
      </c>
      <c r="B565" s="5" t="inlineStr">
        <is>
          <t>Tienda</t>
        </is>
      </c>
      <c r="C565" s="5" t="inlineStr">
        <is>
          <t>Intel Core i5-12400F</t>
        </is>
      </c>
      <c r="D565" s="5" t="inlineStr">
        <is>
          <t>Punto Tecnológico · Supermall (web)</t>
        </is>
      </c>
      <c r="E565" s="11" t="n">
        <v>2460</v>
      </c>
      <c r="F565" s="5" t="inlineStr">
        <is>
          <t>Bs</t>
        </is>
      </c>
      <c r="G565" s="5" t="inlineStr">
        <is>
          <t>disponible (web)</t>
        </is>
      </c>
      <c r="H565" s="6" t="inlineStr">
        <is>
          <t>ver</t>
        </is>
      </c>
    </row>
    <row r="566">
      <c r="A566" s="15" t="n">
        <v>46307</v>
      </c>
      <c r="B566" s="5" t="inlineStr">
        <is>
          <t>Tienda</t>
        </is>
      </c>
      <c r="C566" s="5" t="inlineStr">
        <is>
          <t>Ryzen 7 7800X3D</t>
        </is>
      </c>
      <c r="D566" s="5" t="inlineStr">
        <is>
          <t>Punto Tecnológico · Supermall (web)</t>
        </is>
      </c>
      <c r="E566" s="11" t="n">
        <v>5360</v>
      </c>
      <c r="F566" s="5" t="inlineStr">
        <is>
          <t>Bs</t>
        </is>
      </c>
      <c r="G566" s="5" t="inlineStr">
        <is>
          <t>agotado (web, "Ryzen 7 7800x3d Chip"; precio de referencia; no cuenta)</t>
        </is>
      </c>
      <c r="H566" s="6" t="inlineStr">
        <is>
          <t>ver</t>
        </is>
      </c>
    </row>
    <row r="567">
      <c r="A567" s="15" t="n">
        <v>46307</v>
      </c>
      <c r="B567" s="5" t="inlineStr">
        <is>
          <t>Tienda</t>
        </is>
      </c>
      <c r="C567" s="5" t="inlineStr">
        <is>
          <t>Ryzen 5 5600</t>
        </is>
      </c>
      <c r="D567" s="5" t="inlineStr">
        <is>
          <t>Punto Tecnológico · Supermall (web)</t>
        </is>
      </c>
      <c r="E567" s="11" t="n">
        <v>1710</v>
      </c>
      <c r="F567" s="5" t="inlineStr">
        <is>
          <t>Bs</t>
        </is>
      </c>
      <c r="G567" s="5" t="inlineStr">
        <is>
          <t>agotado (web; precio de referencia; no cuenta)</t>
        </is>
      </c>
      <c r="H567" s="6" t="inlineStr">
        <is>
          <t>ver</t>
        </is>
      </c>
    </row>
    <row r="568">
      <c r="A568" s="15" t="n">
        <v>46307</v>
      </c>
      <c r="B568" s="5" t="inlineStr">
        <is>
          <t>Tienda</t>
        </is>
      </c>
      <c r="C568" s="5" t="inlineStr">
        <is>
          <t>Intel Core i5-13400</t>
        </is>
      </c>
      <c r="D568" s="5" t="inlineStr">
        <is>
          <t>Punto Tecnológico · Supermall (web)</t>
        </is>
      </c>
      <c r="E568" s="11" t="n">
        <v>2310</v>
      </c>
      <c r="F568" s="5" t="inlineStr">
        <is>
          <t>Bs</t>
        </is>
      </c>
      <c r="G568" s="5" t="inlineStr">
        <is>
          <t>agotado (web; precio de referencia; no cuenta)</t>
        </is>
      </c>
      <c r="H568" s="6" t="inlineStr">
        <is>
          <t>ver</t>
        </is>
      </c>
    </row>
    <row r="569">
      <c r="A569" s="15" t="n">
        <v>46307</v>
      </c>
      <c r="B569" s="5" t="inlineStr">
        <is>
          <t>Tienda</t>
        </is>
      </c>
      <c r="C569" s="5" t="inlineStr">
        <is>
          <t>RAM DDR4 16GB (2x8) 3200</t>
        </is>
      </c>
      <c r="D569" s="5" t="inlineStr">
        <is>
          <t>Punto Tecnológico · Supermall (web)</t>
        </is>
      </c>
      <c r="E569" s="11" t="n">
        <v>2160</v>
      </c>
      <c r="F569" s="5" t="inlineStr">
        <is>
          <t>Bs</t>
        </is>
      </c>
      <c r="G569" s="5" t="inlineStr">
        <is>
          <t>disponible (web; Corsair Vengeance RGB Pro TUF Gaming 2x8 3200)</t>
        </is>
      </c>
      <c r="H569" s="6" t="inlineStr">
        <is>
          <t>ver</t>
        </is>
      </c>
    </row>
    <row r="570">
      <c r="A570" s="15" t="n">
        <v>46307</v>
      </c>
      <c r="B570" s="5" t="inlineStr">
        <is>
          <t>Tienda</t>
        </is>
      </c>
      <c r="C570" s="5" t="inlineStr">
        <is>
          <t>Corsair Vengeance RGB DDR5 32GB (2x16) 6000</t>
        </is>
      </c>
      <c r="D570" s="5" t="inlineStr">
        <is>
          <t>Punto Tecnológico · Supermall (web)</t>
        </is>
      </c>
      <c r="E570" s="11" t="n">
        <v>5360</v>
      </c>
      <c r="F570" s="5" t="inlineStr">
        <is>
          <t>Bs</t>
        </is>
      </c>
      <c r="G570" s="5" t="inlineStr">
        <is>
          <t>agotado (web; precio de referencia; no cuenta)</t>
        </is>
      </c>
      <c r="H570" s="6" t="inlineStr">
        <is>
          <t>ver</t>
        </is>
      </c>
    </row>
    <row r="571">
      <c r="A571" s="15" t="n">
        <v>46307</v>
      </c>
      <c r="B571" s="5" t="inlineStr">
        <is>
          <t>Tienda</t>
        </is>
      </c>
      <c r="C571" s="5" t="inlineStr">
        <is>
          <t>Corsair Vengeance RGB DDR5 32GB (2x16) 6000</t>
        </is>
      </c>
      <c r="D571" s="5" t="inlineStr">
        <is>
          <t>Punto Tecnológico · Supermall (web)</t>
        </is>
      </c>
      <c r="E571" s="11" t="n">
        <v>5660</v>
      </c>
      <c r="F571" s="5" t="inlineStr">
        <is>
          <t>Bs</t>
        </is>
      </c>
      <c r="G571" s="5" t="inlineStr">
        <is>
          <t>disponible (web; Patriot Viper 32GB 6000 RGB: otra marca; no cuenta)</t>
        </is>
      </c>
      <c r="H571" s="6" t="inlineStr">
        <is>
          <t>ver</t>
        </is>
      </c>
    </row>
    <row r="572">
      <c r="A572" s="15" t="n">
        <v>46307</v>
      </c>
      <c r="B572" s="5" t="inlineStr">
        <is>
          <t>Tienda</t>
        </is>
      </c>
      <c r="C572" s="5" t="inlineStr">
        <is>
          <t>Corsair Vengeance RGB DDR5 32GB (2x16) 5600</t>
        </is>
      </c>
      <c r="D572" s="5" t="inlineStr">
        <is>
          <t>Punto Tecnológico · Supermall (web)</t>
        </is>
      </c>
      <c r="E572" s="11" t="n">
        <v>5860</v>
      </c>
      <c r="F572" s="5" t="inlineStr">
        <is>
          <t>Bs</t>
        </is>
      </c>
      <c r="G572" s="5" t="inlineStr">
        <is>
          <t>disponible (web; Kingston Fury 32GB 2x16 5200/5600: otra marca; no cuenta)</t>
        </is>
      </c>
      <c r="H572" s="6" t="inlineStr">
        <is>
          <t>ver</t>
        </is>
      </c>
    </row>
    <row r="573">
      <c r="A573" s="15" t="n">
        <v>46307</v>
      </c>
      <c r="B573" s="5" t="inlineStr">
        <is>
          <t>Tienda</t>
        </is>
      </c>
      <c r="C573" s="5" t="inlineStr">
        <is>
          <t>SSD NVMe 1TB</t>
        </is>
      </c>
      <c r="D573" s="5" t="inlineStr">
        <is>
          <t>Punto Tecnológico · Supermall (web)</t>
        </is>
      </c>
      <c r="E573" s="11" t="n">
        <v>1860</v>
      </c>
      <c r="F573" s="5" t="inlineStr">
        <is>
          <t>Bs</t>
        </is>
      </c>
      <c r="G573" s="5" t="inlineStr">
        <is>
          <t>stock bajo (web; Hiksemi Wave M.2 1TB)</t>
        </is>
      </c>
      <c r="H573" s="6" t="inlineStr">
        <is>
          <t>ver</t>
        </is>
      </c>
    </row>
    <row r="574">
      <c r="A574" s="15" t="n">
        <v>46307</v>
      </c>
      <c r="B574" s="5" t="inlineStr">
        <is>
          <t>Tienda</t>
        </is>
      </c>
      <c r="C574" s="5" t="inlineStr">
        <is>
          <t>SSD NVMe 1TB</t>
        </is>
      </c>
      <c r="D574" s="5" t="inlineStr">
        <is>
          <t>Punto Tecnológico · Supermall (web)</t>
        </is>
      </c>
      <c r="E574" s="11" t="n">
        <v>2060</v>
      </c>
      <c r="F574" s="5" t="inlineStr">
        <is>
          <t>Bs</t>
        </is>
      </c>
      <c r="G574" s="5" t="inlineStr">
        <is>
          <t>disponible (web; WD SN3000 M.2 1TB)</t>
        </is>
      </c>
      <c r="H574" s="6" t="inlineStr">
        <is>
          <t>ver</t>
        </is>
      </c>
    </row>
    <row r="575">
      <c r="A575" s="15" t="n">
        <v>46307</v>
      </c>
      <c r="B575" s="5" t="inlineStr">
        <is>
          <t>Tienda</t>
        </is>
      </c>
      <c r="C575" s="5" t="inlineStr">
        <is>
          <t>SSD NVMe 1TB</t>
        </is>
      </c>
      <c r="D575" s="5" t="inlineStr">
        <is>
          <t>Punto Tecnológico · Supermall (web)</t>
        </is>
      </c>
      <c r="E575" s="11" t="n">
        <v>2152</v>
      </c>
      <c r="F575" s="5" t="inlineStr">
        <is>
          <t>Bs</t>
        </is>
      </c>
      <c r="G575" s="5" t="inlineStr">
        <is>
          <t>disponible (web; Kingston NV3 M.2 1TB)</t>
        </is>
      </c>
      <c r="H575" s="6" t="inlineStr">
        <is>
          <t>ver</t>
        </is>
      </c>
    </row>
    <row r="576">
      <c r="A576" s="15" t="n">
        <v>46307</v>
      </c>
      <c r="B576" s="5" t="inlineStr">
        <is>
          <t>Tienda</t>
        </is>
      </c>
      <c r="C576" s="5" t="inlineStr">
        <is>
          <t>SSD NVMe 2TB</t>
        </is>
      </c>
      <c r="D576" s="5" t="inlineStr">
        <is>
          <t>Punto Tecnológico · Supermall (web)</t>
        </is>
      </c>
      <c r="E576" s="11" t="n">
        <v>4060</v>
      </c>
      <c r="F576" s="5" t="inlineStr">
        <is>
          <t>Bs</t>
        </is>
      </c>
      <c r="G576" s="5" t="inlineStr">
        <is>
          <t>stock bajo (web; Apacer M.2 2TB 7400 MB/s)</t>
        </is>
      </c>
      <c r="H576" s="6" t="inlineStr">
        <is>
          <t>ver</t>
        </is>
      </c>
    </row>
    <row r="577">
      <c r="A577" s="15" t="n">
        <v>46307</v>
      </c>
      <c r="B577" s="5" t="inlineStr">
        <is>
          <t>Tienda</t>
        </is>
      </c>
      <c r="C577" s="5" t="inlineStr">
        <is>
          <t>SSD NVMe 2TB</t>
        </is>
      </c>
      <c r="D577" s="5" t="inlineStr">
        <is>
          <t>Punto Tecnológico · Supermall (web)</t>
        </is>
      </c>
      <c r="E577" s="11" t="n">
        <v>4560</v>
      </c>
      <c r="F577" s="5" t="inlineStr">
        <is>
          <t>Bs</t>
        </is>
      </c>
      <c r="G577" s="5" t="inlineStr">
        <is>
          <t>disponible (web; Hiksemi Futurex M.2 2TB)</t>
        </is>
      </c>
      <c r="H577" s="6" t="inlineStr">
        <is>
          <t>ver</t>
        </is>
      </c>
    </row>
    <row r="578">
      <c r="A578" s="15" t="n">
        <v>46307</v>
      </c>
      <c r="B578" s="5" t="inlineStr">
        <is>
          <t>Tienda</t>
        </is>
      </c>
      <c r="C578" s="5" t="inlineStr">
        <is>
          <t>Ryzen 7 7800X3D</t>
        </is>
      </c>
      <c r="D578" s="5" t="inlineStr">
        <is>
          <t>Viadata Computadoras (WhatsApp)</t>
        </is>
      </c>
      <c r="E578" s="11" t="n">
        <v>5500</v>
      </c>
      <c r="F578" s="5" t="inlineStr">
        <is>
          <t>Bs</t>
        </is>
      </c>
      <c r="G578" s="5" t="inlineStr">
        <is>
          <t>nuevo OEM (solo el chip)</t>
        </is>
      </c>
      <c r="H578" s="6" t="inlineStr">
        <is>
          <t>ver</t>
        </is>
      </c>
    </row>
    <row r="579">
      <c r="A579" s="15" t="n">
        <v>46307</v>
      </c>
      <c r="B579" s="5" t="inlineStr">
        <is>
          <t>Tienda</t>
        </is>
      </c>
      <c r="C579" s="5" t="inlineStr">
        <is>
          <t>Ryzen 5 5600</t>
        </is>
      </c>
      <c r="D579" s="5" t="inlineStr">
        <is>
          <t>Viadata Computadoras (WhatsApp)</t>
        </is>
      </c>
      <c r="E579" s="11" t="n">
        <v>2500</v>
      </c>
      <c r="F579" s="5" t="inlineStr">
        <is>
          <t>Bs</t>
        </is>
      </c>
      <c r="G579" s="5" t="inlineStr">
        <is>
          <t>nuevo OEM (es el 5600X, no el 5600; solo referencia; no cuenta)</t>
        </is>
      </c>
      <c r="H579" s="6" t="inlineStr">
        <is>
          <t>ver</t>
        </is>
      </c>
    </row>
    <row r="580">
      <c r="A580" s="15" t="n">
        <v>46307</v>
      </c>
      <c r="B580" s="5" t="inlineStr">
        <is>
          <t>Tienda</t>
        </is>
      </c>
      <c r="C580" s="5" t="inlineStr">
        <is>
          <t>Intel Core Ultra 7 265K</t>
        </is>
      </c>
      <c r="D580" s="5" t="inlineStr">
        <is>
          <t>Viadata Computadoras (WhatsApp)</t>
        </is>
      </c>
      <c r="E580" s="11" t="n">
        <v>5200</v>
      </c>
      <c r="F580" s="5" t="inlineStr">
        <is>
          <t>Bs</t>
        </is>
      </c>
      <c r="G580" s="5" t="inlineStr">
        <is>
          <t>nuevo en caja (es el 265KF, sin gráficos integrados; solo referencia; no cuenta)</t>
        </is>
      </c>
      <c r="H580" s="6" t="inlineStr">
        <is>
          <t>ver</t>
        </is>
      </c>
    </row>
    <row r="581">
      <c r="A581" s="15" t="n">
        <v>46308</v>
      </c>
      <c r="B581" s="5" t="inlineStr">
        <is>
          <t>Tienda</t>
        </is>
      </c>
      <c r="C581" s="5" t="inlineStr">
        <is>
          <t>Ryzen 7 7800X3D</t>
        </is>
      </c>
      <c r="D581" s="5" t="inlineStr">
        <is>
          <t>OverCity (WhatsApp)</t>
        </is>
      </c>
      <c r="E581" s="11" t="n">
        <v>5500</v>
      </c>
      <c r="F581" s="5" t="inlineStr">
        <is>
          <t>Bs</t>
        </is>
      </c>
      <c r="G581" s="5" t="inlineStr">
        <is>
          <t>nuevo OEM (solo el chip)</t>
        </is>
      </c>
      <c r="H581" s="2" t="n"/>
    </row>
    <row r="582">
      <c r="A582" s="15" t="n">
        <v>46308</v>
      </c>
      <c r="B582" s="5" t="inlineStr">
        <is>
          <t>Tienda</t>
        </is>
      </c>
      <c r="C582" s="5" t="inlineStr">
        <is>
          <t>Intel Core i5-14400F</t>
        </is>
      </c>
      <c r="D582" s="5" t="inlineStr">
        <is>
          <t>OverCity (WhatsApp)</t>
        </is>
      </c>
      <c r="E582" s="11" t="n">
        <v>2460</v>
      </c>
      <c r="F582" s="5" t="inlineStr">
        <is>
          <t>Bs</t>
        </is>
      </c>
      <c r="G582" s="5" t="inlineStr">
        <is>
          <t>nuevo OEM</t>
        </is>
      </c>
      <c r="H582" s="2" t="n"/>
    </row>
    <row r="583">
      <c r="A583" s="15" t="n">
        <v>46308</v>
      </c>
      <c r="B583" s="5" t="inlineStr">
        <is>
          <t>Tienda</t>
        </is>
      </c>
      <c r="C583" s="5" t="inlineStr">
        <is>
          <t>Intel Core i5-14400F</t>
        </is>
      </c>
      <c r="D583" s="5" t="inlineStr">
        <is>
          <t>Soft Computers (WhatsApp)</t>
        </is>
      </c>
      <c r="E583" s="11" t="n">
        <v>2500</v>
      </c>
      <c r="F583" s="5" t="inlineStr">
        <is>
          <t>Bs</t>
        </is>
      </c>
      <c r="G583" s="5" t="inlineStr">
        <is>
          <t>nuevo OEM</t>
        </is>
      </c>
      <c r="H583" s="2" t="n"/>
    </row>
    <row r="584">
      <c r="A584" s="15" t="n">
        <v>46308</v>
      </c>
      <c r="B584" s="5" t="inlineStr">
        <is>
          <t>Tienda</t>
        </is>
      </c>
      <c r="C584" s="5" t="inlineStr">
        <is>
          <t>Corsair Vengeance RGB DDR5 32GB (2x16) 6000</t>
        </is>
      </c>
      <c r="D584" s="5" t="inlineStr">
        <is>
          <t>OverCity (WhatsApp)</t>
        </is>
      </c>
      <c r="E584" s="11" t="n">
        <v>6840</v>
      </c>
      <c r="F584" s="5" t="inlineStr">
        <is>
          <t>Bs</t>
        </is>
      </c>
      <c r="G584" s="5" t="inlineStr">
        <is>
          <t>nuevo (XPG Lancer RGB 32GB 2x16 6000 CL30: otra marca; no cuenta; Corsair agotada; garantía 3 meses)</t>
        </is>
      </c>
      <c r="H584" s="2" t="n"/>
    </row>
    <row r="585">
      <c r="A585" s="15" t="n">
        <v>46308</v>
      </c>
      <c r="B585" s="5" t="inlineStr">
        <is>
          <t>Marketplace</t>
        </is>
      </c>
      <c r="C585" s="5" t="inlineStr">
        <is>
          <t>Ryzen 7 7800X3D</t>
        </is>
      </c>
      <c r="D585" s="5" t="inlineStr">
        <is>
          <t>Marketplace Cochabamba (particular/vendedor; Messenger)</t>
        </is>
      </c>
      <c r="E585" s="11" t="n">
        <v>4800</v>
      </c>
      <c r="F585" s="5" t="inlineStr">
        <is>
          <t>Bs</t>
        </is>
      </c>
      <c r="G585" s="5" t="inlineStr">
        <is>
          <t>nuevo sellado de fábrica, confirmado por el vendedor (último en stock; precio ya rebajado)</t>
        </is>
      </c>
      <c r="H585" s="6" t="inlineStr">
        <is>
          <t>ver</t>
        </is>
      </c>
    </row>
    <row r="586">
      <c r="A586" s="15" t="n">
        <v>46308</v>
      </c>
      <c r="B586" s="5" t="inlineStr">
        <is>
          <t>Tienda</t>
        </is>
      </c>
      <c r="C586" s="5" t="inlineStr">
        <is>
          <t>Ryzen 7 7800X3D</t>
        </is>
      </c>
      <c r="D586" s="5" t="inlineStr">
        <is>
          <t>OverCity (WhatsApp)</t>
        </is>
      </c>
      <c r="E586" s="11" t="n">
        <v>5350</v>
      </c>
      <c r="F586" s="5" t="inlineStr">
        <is>
          <t>Bs</t>
        </is>
      </c>
      <c r="G586" s="5" t="inlineStr">
        <is>
          <t>nuevo en caja sellada (box; el OEM está a Bs 5.500; el i5-14400F Bs 2.460 es su precio mínimo)</t>
        </is>
      </c>
      <c r="H586" s="2" t="n"/>
    </row>
    <row r="587">
      <c r="A587" s="15" t="n">
        <v>46309</v>
      </c>
      <c r="B587" s="5" t="inlineStr">
        <is>
          <t>Marketplace</t>
        </is>
      </c>
      <c r="C587" s="5" t="inlineStr">
        <is>
          <t>Corsair Vengeance RGB DDR5 32GB (2x16) 5600</t>
        </is>
      </c>
      <c r="D587" s="5" t="inlineStr">
        <is>
          <t>Marketplace Cochabamba</t>
        </is>
      </c>
      <c r="E587" s="11" t="n">
        <v>7400</v>
      </c>
      <c r="F587" s="5" t="inlineStr">
        <is>
          <t>Bs</t>
        </is>
      </c>
      <c r="G587" s="5" t="inlineStr">
        <is>
          <t>no indicado (Kingston Fury Beast DDR5 32GB 5600: otra marca; solo referencia; no cuenta)</t>
        </is>
      </c>
      <c r="H587" s="6" t="inlineStr">
        <is>
          <t>ver</t>
        </is>
      </c>
    </row>
    <row r="588">
      <c r="A588" s="15" t="n">
        <v>46309</v>
      </c>
      <c r="B588" s="5" t="inlineStr">
        <is>
          <t>Tienda</t>
        </is>
      </c>
      <c r="C588" s="5" t="inlineStr">
        <is>
          <t>Intel Core i5-14400F</t>
        </is>
      </c>
      <c r="D588" s="5" t="inlineStr">
        <is>
          <t>Geek Store Bolivia (web)</t>
        </is>
      </c>
      <c r="E588" s="11" t="n">
        <v>2953</v>
      </c>
      <c r="F588" s="5" t="inlineStr">
        <is>
          <t>Bs</t>
        </is>
      </c>
      <c r="G588" s="5" t="inlineStr">
        <is>
          <t>disponible (web; es el i5-14400 con gráficos, no el F; precio USD 249 en la web, a Bs 11,86; solo referencia; no cuenta)</t>
        </is>
      </c>
      <c r="H588" s="6" t="inlineStr">
        <is>
          <t>ver</t>
        </is>
      </c>
    </row>
    <row r="589">
      <c r="A589" s="15" t="n">
        <v>46309</v>
      </c>
      <c r="B589" s="5" t="inlineStr">
        <is>
          <t>Tienda</t>
        </is>
      </c>
      <c r="C589" s="5" t="inlineStr">
        <is>
          <t>Intel Core i9-14900K</t>
        </is>
      </c>
      <c r="D589" s="5" t="inlineStr">
        <is>
          <t>Crazy Store (WhatsApp)</t>
        </is>
      </c>
      <c r="E589" s="11" t="n">
        <v>6013</v>
      </c>
      <c r="F589" s="5" t="inlineStr">
        <is>
          <t>Bs</t>
        </is>
      </c>
      <c r="G589" s="5" t="inlineStr">
        <is>
          <t>nuevo (no está en vigilar.csv; USD 499 o Bs 6.013, rebaja ofrecida hasta Bs 5.700; solo referencia; no cuenta)</t>
        </is>
      </c>
      <c r="H589" s="2" t="n"/>
    </row>
    <row r="590">
      <c r="A590" s="15" t="n">
        <v>46310</v>
      </c>
      <c r="B590" s="5" t="inlineStr">
        <is>
          <t>Tienda</t>
        </is>
      </c>
      <c r="C590" s="5" t="inlineStr">
        <is>
          <t>Ryzen 7 7800X3D</t>
        </is>
      </c>
      <c r="D590" s="5" t="inlineStr">
        <is>
          <t>SMART CUBE (WhatsApp)</t>
        </is>
      </c>
      <c r="E590" s="11" t="n">
        <v>5890</v>
      </c>
      <c r="F590" s="5" t="inlineStr">
        <is>
          <t>Bs</t>
        </is>
      </c>
      <c r="G590" s="5" t="inlineStr">
        <is>
          <t>nuevo sellado, facturado; llevando 2 rebajan Bs 50 c/u (Bs 5.840)</t>
        </is>
      </c>
      <c r="H590" s="2" t="n"/>
    </row>
    <row r="591">
      <c r="A591" s="15" t="n">
        <v>46310</v>
      </c>
      <c r="B591" s="5" t="inlineStr">
        <is>
          <t>Tienda</t>
        </is>
      </c>
      <c r="C591" s="5" t="inlineStr">
        <is>
          <t>Intel Core i5-14400F</t>
        </is>
      </c>
      <c r="D591" s="5" t="inlineStr">
        <is>
          <t>SMART CUBE (WhatsApp)</t>
        </is>
      </c>
      <c r="E591" s="11" t="n">
        <v>3080</v>
      </c>
      <c r="F591" s="5" t="inlineStr">
        <is>
          <t>Bs</t>
        </is>
      </c>
      <c r="G591" s="5" t="inlineStr">
        <is>
          <t>nuevo sellado; llevando 2 rebajan Bs 50 c/u (Bs 3.030)</t>
        </is>
      </c>
      <c r="H591" s="2" t="n"/>
    </row>
    <row r="592">
      <c r="A592" s="15" t="n">
        <v>46310</v>
      </c>
      <c r="B592" s="5" t="inlineStr">
        <is>
          <t>Tienda</t>
        </is>
      </c>
      <c r="C592" s="5" t="inlineStr">
        <is>
          <t>RAM DDR5 16GB 6000 (Apacer NOX)</t>
        </is>
      </c>
      <c r="D592" s="5" t="inlineStr">
        <is>
          <t>SMART CUBE (WhatsApp)</t>
        </is>
      </c>
      <c r="E592" s="11" t="n">
        <v>3650</v>
      </c>
      <c r="F592" s="5" t="inlineStr">
        <is>
          <t>Bs</t>
        </is>
      </c>
      <c r="G592" s="5" t="inlineStr">
        <is>
          <t>nuevo (Apacer NOX DDR5 16GB 6000: otra marca y capacidad; solo referencia; no cuenta)</t>
        </is>
      </c>
      <c r="H592" s="2" t="n"/>
    </row>
    <row r="593">
      <c r="A593" s="15" t="n">
        <v>46310</v>
      </c>
      <c r="B593" s="5" t="inlineStr">
        <is>
          <t>Tienda</t>
        </is>
      </c>
      <c r="C593" s="5" t="inlineStr">
        <is>
          <t>RAM DDR5 16GB</t>
        </is>
      </c>
      <c r="D593" s="5" t="inlineStr">
        <is>
          <t>PC Factor (WhatsApp)</t>
        </is>
      </c>
      <c r="E593" s="11" t="n">
        <v>3792</v>
      </c>
      <c r="F593" s="5" t="inlineStr">
        <is>
          <t>Bs</t>
        </is>
      </c>
      <c r="G593" s="5" t="inlineStr">
        <is>
          <t>nuevo (USD 320 c/u a Bs 11,85; marca y velocidad por confirmar; solo referencia; no cuenta)</t>
        </is>
      </c>
      <c r="H593" s="2" t="n"/>
    </row>
    <row r="594">
      <c r="A594" s="15" t="n">
        <v>46310</v>
      </c>
      <c r="B594" s="5" t="inlineStr">
        <is>
          <t>Tienda</t>
        </is>
      </c>
      <c r="C594" s="5" t="inlineStr">
        <is>
          <t>Ryzen 5 7600</t>
        </is>
      </c>
      <c r="D594" s="5" t="inlineStr">
        <is>
          <t>OverCity (WhatsApp)</t>
        </is>
      </c>
      <c r="E594" s="11" t="n">
        <v>2800</v>
      </c>
      <c r="F594" s="5" t="inlineStr">
        <is>
          <t>Bs</t>
        </is>
      </c>
      <c r="G594" s="5" t="inlineStr">
        <is>
          <t>OEM</t>
        </is>
      </c>
      <c r="H594" s="2" t="n"/>
    </row>
    <row r="595">
      <c r="A595" s="15" t="n">
        <v>46310</v>
      </c>
      <c r="B595" s="5" t="inlineStr">
        <is>
          <t>Tienda</t>
        </is>
      </c>
      <c r="C595" s="5" t="inlineStr">
        <is>
          <t>Intel Core i5-12400F</t>
        </is>
      </c>
      <c r="D595" s="5" t="inlineStr">
        <is>
          <t>T&amp;T Todo en Tecnología (WhatsApp)</t>
        </is>
      </c>
      <c r="E595" s="11" t="n">
        <v>2260</v>
      </c>
      <c r="F595" s="5" t="inlineStr">
        <is>
          <t>Bs</t>
        </is>
      </c>
      <c r="G595" s="5" t="inlineStr">
        <is>
          <t>OEM con cooler Intel; Bs 20 menos c/u llevando 2</t>
        </is>
      </c>
      <c r="H595" s="2" t="n"/>
    </row>
    <row r="596">
      <c r="A596" s="15" t="n">
        <v>46310</v>
      </c>
      <c r="B596" s="5" t="inlineStr">
        <is>
          <t>Tienda</t>
        </is>
      </c>
      <c r="C596" s="5" t="inlineStr">
        <is>
          <t>Intel Core i5-14400F</t>
        </is>
      </c>
      <c r="D596" s="5" t="inlineStr">
        <is>
          <t>T&amp;T Todo en Tecnología (WhatsApp)</t>
        </is>
      </c>
      <c r="E596" s="11" t="n">
        <v>2750</v>
      </c>
      <c r="F596" s="5" t="inlineStr">
        <is>
          <t>Bs</t>
        </is>
      </c>
      <c r="G596" s="5" t="inlineStr">
        <is>
          <t>OEM con cooler Intel; Bs 20 menos c/u llevando 2</t>
        </is>
      </c>
      <c r="H596" s="2" t="n"/>
    </row>
    <row r="597">
      <c r="A597" s="15" t="n">
        <v>46310</v>
      </c>
      <c r="B597" s="5" t="inlineStr">
        <is>
          <t>Tienda</t>
        </is>
      </c>
      <c r="C597" s="5" t="inlineStr">
        <is>
          <t>Ryzen 7 7700X</t>
        </is>
      </c>
      <c r="D597" s="5" t="inlineStr">
        <is>
          <t>Geek Store Bolivia (WhatsApp)</t>
        </is>
      </c>
      <c r="E597" s="11" t="n">
        <v>3480</v>
      </c>
      <c r="F597" s="5" t="inlineStr">
        <is>
          <t>Bs</t>
        </is>
      </c>
      <c r="G597" s="5" t="inlineStr">
        <is>
          <t>sin confirmar si es sellado (se preguntó)</t>
        </is>
      </c>
      <c r="H597" s="2" t="n"/>
    </row>
    <row r="598">
      <c r="A598" s="15" t="n">
        <v>46310</v>
      </c>
      <c r="B598" s="5" t="inlineStr">
        <is>
          <t>Tienda</t>
        </is>
      </c>
      <c r="C598" s="5" t="inlineStr">
        <is>
          <t>Kingston Fury DDR5 16GB (1 módulo)</t>
        </is>
      </c>
      <c r="D598" s="5" t="inlineStr">
        <is>
          <t>Geek Store Bolivia (WhatsApp)</t>
        </is>
      </c>
      <c r="E598" s="11" t="n">
        <v>2900</v>
      </c>
      <c r="F598" s="5" t="inlineStr">
        <is>
          <t>Bs</t>
        </is>
      </c>
      <c r="G598" s="5" t="inlineStr">
        <is>
          <t>otra marca; velocidad por confirmar (no es la Corsair 32GB 2x16)</t>
        </is>
      </c>
      <c r="H598" s="2" t="n"/>
    </row>
    <row r="599">
      <c r="A599" s="15" t="n">
        <v>46310</v>
      </c>
      <c r="B599" s="5" t="inlineStr">
        <is>
          <t>Tienda</t>
        </is>
      </c>
      <c r="C599" s="5" t="inlineStr">
        <is>
          <t>SSD NVMe 1TB</t>
        </is>
      </c>
      <c r="D599" s="5" t="inlineStr">
        <is>
          <t>Shopping PC (catálogo PDF)</t>
        </is>
      </c>
      <c r="E599" s="11" t="n">
        <v>1754</v>
      </c>
      <c r="F599" s="5" t="inlineStr">
        <is>
          <t>Bs</t>
        </is>
      </c>
      <c r="G599" s="5" t="inlineStr">
        <is>
          <t>nuevo (Kingston NV3 1TB; lista mayorista USD 148 del 12/10, sin factura; 146 en stock)</t>
        </is>
      </c>
      <c r="H599" s="2" t="n"/>
    </row>
    <row r="600">
      <c r="A600" s="15" t="n">
        <v>46310</v>
      </c>
      <c r="B600" s="5" t="inlineStr">
        <is>
          <t>Tienda</t>
        </is>
      </c>
      <c r="C600" s="5" t="inlineStr">
        <is>
          <t>Intel Core i5-14400F</t>
        </is>
      </c>
      <c r="D600" s="5" t="inlineStr">
        <is>
          <t>Shopping PC (catálogo PDF)</t>
        </is>
      </c>
      <c r="E600" s="11" t="n">
        <v>2785</v>
      </c>
      <c r="F600" s="5" t="inlineStr">
        <is>
          <t>Bs</t>
        </is>
      </c>
      <c r="G600" s="5" t="inlineStr">
        <is>
          <t>nuevo en caja (es el i5-14400 BOX con gráficos, no el F; lista mayorista USD 235, sin factura; solo referencia; no cuenta)</t>
        </is>
      </c>
      <c r="H600" s="2" t="n"/>
    </row>
    <row r="601">
      <c r="A601" s="15" t="n">
        <v>46310</v>
      </c>
      <c r="B601" s="5" t="inlineStr">
        <is>
          <t>Tienda</t>
        </is>
      </c>
      <c r="C601" s="5" t="inlineStr">
        <is>
          <t>RAM DDR4 16GB (2x8) 3200</t>
        </is>
      </c>
      <c r="D601" s="5" t="inlineStr">
        <is>
          <t>Shopping PC (catálogo PDF)</t>
        </is>
      </c>
      <c r="E601" s="11" t="n">
        <v>1778</v>
      </c>
      <c r="F601" s="5" t="inlineStr">
        <is>
          <t>Bs</t>
        </is>
      </c>
      <c r="G601" s="5" t="inlineStr">
        <is>
          <t>nuevo (Kingston 16GB DDR4 3200, un módulo, no kit 2x8; lista mayorista USD 150; no cuenta)</t>
        </is>
      </c>
      <c r="H601" s="2" t="n"/>
    </row>
    <row r="602">
      <c r="A602" s="15" t="n">
        <v>46310</v>
      </c>
      <c r="B602" s="5" t="inlineStr">
        <is>
          <t>Tienda</t>
        </is>
      </c>
      <c r="C602" s="5" t="inlineStr">
        <is>
          <t>RAM DDR4 16GB (2x8) 3200</t>
        </is>
      </c>
      <c r="D602" s="5" t="inlineStr">
        <is>
          <t>Shopping PC (catálogo PDF)</t>
        </is>
      </c>
      <c r="E602" s="11" t="n">
        <v>1600</v>
      </c>
      <c r="F602" s="5" t="inlineStr">
        <is>
          <t>Bs</t>
        </is>
      </c>
      <c r="G602" s="5" t="inlineStr">
        <is>
          <t>nuevo (Musking Redline 16GB DDR4 3200, un módulo, no kit 2x8; lista mayorista USD 135; no cuenta)</t>
        </is>
      </c>
      <c r="H602" s="2" t="n"/>
    </row>
    <row r="603">
      <c r="A603" s="15" t="n">
        <v>46311</v>
      </c>
      <c r="B603" s="5" t="inlineStr">
        <is>
          <t>Tienda</t>
        </is>
      </c>
      <c r="C603" s="5" t="inlineStr">
        <is>
          <t>Intel Core i5-14400F</t>
        </is>
      </c>
      <c r="D603" s="5" t="inlineStr">
        <is>
          <t>Soft Computers (WhatsApp)</t>
        </is>
      </c>
      <c r="E603" s="11" t="n">
        <v>2500</v>
      </c>
      <c r="F603" s="5" t="inlineStr">
        <is>
          <t>Bs</t>
        </is>
      </c>
      <c r="G603" s="5" t="inlineStr">
        <is>
          <t>nuevo OEM; mismo precio por unidad llevando 2</t>
        </is>
      </c>
      <c r="H603" s="2" t="n"/>
    </row>
    <row r="604">
      <c r="A604" s="15" t="n">
        <v>46311</v>
      </c>
      <c r="B604" s="5" t="inlineStr">
        <is>
          <t>Marketplace</t>
        </is>
      </c>
      <c r="C604" s="5" t="inlineStr">
        <is>
          <t>SSD NVMe 1TB</t>
        </is>
      </c>
      <c r="D604" s="5" t="inlineStr">
        <is>
          <t>Marketplace Cochabamba</t>
        </is>
      </c>
      <c r="E604" s="11" t="n">
        <v>1730</v>
      </c>
      <c r="F604" s="5" t="inlineStr">
        <is>
          <t>Bs</t>
        </is>
      </c>
      <c r="G604" s="5" t="inlineStr">
        <is>
          <t>nuevo (M.2 1TB, marca no indicada; publicado hace 2 días)</t>
        </is>
      </c>
      <c r="H604" s="6" t="inlineStr">
        <is>
          <t>ver</t>
        </is>
      </c>
    </row>
    <row r="605">
      <c r="A605" s="15" t="n">
        <v>46311</v>
      </c>
      <c r="B605" s="5" t="inlineStr">
        <is>
          <t>Tienda</t>
        </is>
      </c>
      <c r="C605" s="5" t="inlineStr">
        <is>
          <t>Intel Core i5-14400F</t>
        </is>
      </c>
      <c r="D605" s="5" t="inlineStr">
        <is>
          <t>Cyrex Store (web)</t>
        </is>
      </c>
      <c r="E605" s="11" t="n">
        <v>2384</v>
      </c>
      <c r="F605" s="5" t="inlineStr">
        <is>
          <t>Bs</t>
        </is>
      </c>
      <c r="G605" s="5" t="inlineStr">
        <is>
          <t>nuevo OEM (web: USD 202 a la tasa de la tienda, 11,80; hay otra publicación del mismo a USD 215)</t>
        </is>
      </c>
      <c r="H605" s="6" t="inlineStr">
        <is>
          <t>ver</t>
        </is>
      </c>
    </row>
    <row r="606">
      <c r="A606" s="15" t="n">
        <v>46311</v>
      </c>
      <c r="B606" s="5" t="inlineStr">
        <is>
          <t>Tienda</t>
        </is>
      </c>
      <c r="C606" s="5" t="inlineStr">
        <is>
          <t>Ryzen 7 7800X3D</t>
        </is>
      </c>
      <c r="D606" s="5" t="inlineStr">
        <is>
          <t>Cyrex Store (web)</t>
        </is>
      </c>
      <c r="E606" s="11" t="n">
        <v>5664</v>
      </c>
      <c r="F606" s="5" t="inlineStr">
        <is>
          <t>Bs</t>
        </is>
      </c>
      <c r="G606" s="5" t="inlineStr">
        <is>
          <t>nuevo BOX (web: USD 480 a 11,80)</t>
        </is>
      </c>
      <c r="H606" s="6" t="inlineStr">
        <is>
          <t>ver</t>
        </is>
      </c>
    </row>
    <row r="607">
      <c r="A607" s="15" t="n">
        <v>46311</v>
      </c>
      <c r="B607" s="5" t="inlineStr">
        <is>
          <t>Tienda</t>
        </is>
      </c>
      <c r="C607" s="5" t="inlineStr">
        <is>
          <t>Intel Core i5-13400</t>
        </is>
      </c>
      <c r="D607" s="5" t="inlineStr">
        <is>
          <t>Cyrex Store (web)</t>
        </is>
      </c>
      <c r="E607" s="11" t="n">
        <v>2218</v>
      </c>
      <c r="F607" s="5" t="inlineStr">
        <is>
          <t>Bs</t>
        </is>
      </c>
      <c r="G607" s="5" t="inlineStr">
        <is>
          <t>nuevo OEM (web: es el i5-13400F, sin gráficos; USD 188 a 11,80; solo referencia; no cuenta)</t>
        </is>
      </c>
      <c r="H607" s="6" t="inlineStr">
        <is>
          <t>ver</t>
        </is>
      </c>
    </row>
    <row r="608">
      <c r="A608" s="15" t="n">
        <v>46311</v>
      </c>
      <c r="B608" s="5" t="inlineStr">
        <is>
          <t>Tienda</t>
        </is>
      </c>
      <c r="C608" s="5" t="inlineStr">
        <is>
          <t>Ryzen 5 7600</t>
        </is>
      </c>
      <c r="D608" s="5" t="inlineStr">
        <is>
          <t>Punto Tecnológico (WhatsApp)</t>
        </is>
      </c>
      <c r="E608" s="11" t="n">
        <v>2850</v>
      </c>
      <c r="F608" s="5" t="inlineStr">
        <is>
          <t>Bs</t>
        </is>
      </c>
      <c r="G608" s="5" t="inlineStr">
        <is>
          <t>nuevo OEM, garantía 6 meses (cotización por WhatsApp)</t>
        </is>
      </c>
      <c r="H608" s="2" t="n"/>
    </row>
    <row r="609">
      <c r="A609" s="15" t="n">
        <v>46311</v>
      </c>
      <c r="B609" s="5" t="inlineStr">
        <is>
          <t>Tienda</t>
        </is>
      </c>
      <c r="C609" s="5" t="inlineStr">
        <is>
          <t>Corsair Vengeance RGB DDR5 32GB (2x16) 6000</t>
        </is>
      </c>
      <c r="D609" s="5" t="inlineStr">
        <is>
          <t>Punto Tecnológico (WhatsApp)</t>
        </is>
      </c>
      <c r="E609" s="11" t="n">
        <v>5960</v>
      </c>
      <c r="F609" s="5" t="inlineStr">
        <is>
          <t>Bs</t>
        </is>
      </c>
      <c r="G609" s="5" t="inlineStr">
        <is>
          <t>otra marca (Nox Tuf 32GB 2x16, velocidad sin dato); solo referencia; no cuenta</t>
        </is>
      </c>
      <c r="H609" s="2" t="n"/>
    </row>
    <row r="610">
      <c r="A610" s="15" t="n">
        <v>46311</v>
      </c>
      <c r="B610" s="5" t="inlineStr">
        <is>
          <t>Tienda</t>
        </is>
      </c>
      <c r="C610" s="5" t="inlineStr">
        <is>
          <t>Ryzen 5 7600</t>
        </is>
      </c>
      <c r="D610" s="5" t="inlineStr">
        <is>
          <t>Gamer Store Cbba (WhatsApp)</t>
        </is>
      </c>
      <c r="E610" s="11" t="n">
        <v>2067</v>
      </c>
      <c r="F610" s="5" t="inlineStr">
        <is>
          <t>Bs</t>
        </is>
      </c>
      <c r="G610" s="5" t="inlineStr">
        <is>
          <t>nuevo (es el 7600X; USD 175 a 11,81; solo referencia; no cuenta)</t>
        </is>
      </c>
      <c r="H610" s="2" t="n"/>
    </row>
    <row r="611">
      <c r="A611" s="15" t="n">
        <v>46312</v>
      </c>
      <c r="B611" s="5" t="inlineStr">
        <is>
          <t>Marketplace</t>
        </is>
      </c>
      <c r="C611" s="5" t="inlineStr">
        <is>
          <t>SSD NVMe 1TB</t>
        </is>
      </c>
      <c r="D611" s="5" t="inlineStr">
        <is>
          <t>Marketplace Cochabamba (particular)</t>
        </is>
      </c>
      <c r="E611" s="11" t="n">
        <v>1230</v>
      </c>
      <c r="F611" s="5" t="inlineStr">
        <is>
          <t>Bs</t>
        </is>
      </c>
      <c r="G611" s="5" t="inlineStr">
        <is>
          <t>nuevo (antes Bs 1.730; marca sin dato)</t>
        </is>
      </c>
      <c r="H611" s="6" t="inlineStr">
        <is>
          <t>ver</t>
        </is>
      </c>
    </row>
    <row r="612">
      <c r="A612" s="15" t="n">
        <v>46312</v>
      </c>
      <c r="B612" s="5" t="inlineStr">
        <is>
          <t>Marketplace</t>
        </is>
      </c>
      <c r="C612" s="5" t="inlineStr">
        <is>
          <t>SSD NVMe 1TB</t>
        </is>
      </c>
      <c r="D612" s="5" t="inlineStr">
        <is>
          <t>Marketplace Cochabamba (particular)</t>
        </is>
      </c>
      <c r="E612" s="11" t="n">
        <v>1500</v>
      </c>
      <c r="F612" s="5" t="inlineStr">
        <is>
          <t>Bs</t>
        </is>
      </c>
      <c r="G612" s="5" t="inlineStr">
        <is>
          <t>sin dato de estado ni marca (recién publicado)</t>
        </is>
      </c>
      <c r="H612" s="6" t="inlineStr">
        <is>
          <t>ver</t>
        </is>
      </c>
    </row>
    <row r="613">
      <c r="A613" s="15" t="n">
        <v>46312</v>
      </c>
      <c r="B613" s="5" t="inlineStr">
        <is>
          <t>Marketplace</t>
        </is>
      </c>
      <c r="C613" s="5" t="inlineStr">
        <is>
          <t>SSD NVMe 1TB</t>
        </is>
      </c>
      <c r="D613" s="5" t="inlineStr">
        <is>
          <t>Marketplace Cochabamba (particular)</t>
        </is>
      </c>
      <c r="E613" s="11" t="n">
        <v>1850</v>
      </c>
      <c r="F613" s="5" t="inlineStr">
        <is>
          <t>Bs</t>
        </is>
      </c>
      <c r="G613" s="5" t="inlineStr">
        <is>
          <t>Kingston NV3 1TB (estado sin dato)</t>
        </is>
      </c>
      <c r="H613" s="6" t="inlineStr">
        <is>
          <t>ver</t>
        </is>
      </c>
    </row>
    <row r="614">
      <c r="A614" s="15" t="n">
        <v>46310</v>
      </c>
      <c r="B614" s="5" t="inlineStr">
        <is>
          <t>Tienda</t>
        </is>
      </c>
      <c r="C614" s="5" t="inlineStr">
        <is>
          <t>SSD NVMe 2TB</t>
        </is>
      </c>
      <c r="D614" s="5" t="inlineStr">
        <is>
          <t>Shopping PC (catálogo PDF)</t>
        </is>
      </c>
      <c r="E614" s="11" t="n">
        <v>2726</v>
      </c>
      <c r="F614" s="5" t="inlineStr">
        <is>
          <t>Bs</t>
        </is>
      </c>
      <c r="G614" s="5" t="inlineStr">
        <is>
          <t>no cuenta: otro modelo (Crucial BX500 2TB es SATA, no NVMe; nuevo; lista mayorista USD 230 × 11,85 del 12/10, sin factura; 35 en stock; garantía solo de prueba; solo referencia)</t>
        </is>
      </c>
      <c r="H614" s="2" t="n"/>
    </row>
    <row r="615">
      <c r="A615" s="15" t="n">
        <v>46314</v>
      </c>
      <c r="B615" s="5" t="inlineStr">
        <is>
          <t>Marketplace</t>
        </is>
      </c>
      <c r="C615" s="5" t="inlineStr">
        <is>
          <t>Ryzen 5 5600</t>
        </is>
      </c>
      <c r="D615" s="5" t="inlineStr">
        <is>
          <t>Marketplace Cochabamba (particular)</t>
        </is>
      </c>
      <c r="E615" s="11" t="n">
        <v>1800</v>
      </c>
      <c r="F615" s="5" t="inlineStr">
        <is>
          <t>Bs</t>
        </is>
      </c>
      <c r="G615" s="5" t="inlineStr">
        <is>
          <t>no cuenta: otro modelo (es 5600X, solo procesador, recién publicado)</t>
        </is>
      </c>
      <c r="H615" s="6" t="inlineStr">
        <is>
          <t>ver</t>
        </is>
      </c>
    </row>
    <row r="616">
      <c r="A616" s="15" t="n">
        <v>46314</v>
      </c>
      <c r="B616" s="5" t="inlineStr">
        <is>
          <t>Marketplace</t>
        </is>
      </c>
      <c r="C616" s="5" t="inlineStr">
        <is>
          <t>Intel Core i5-13400</t>
        </is>
      </c>
      <c r="D616" s="5" t="inlineStr">
        <is>
          <t>Marketplace Cochabamba (particular)</t>
        </is>
      </c>
      <c r="E616" s="11" t="n">
        <v>1800</v>
      </c>
      <c r="F616" s="5" t="inlineStr">
        <is>
          <t>Bs</t>
        </is>
      </c>
      <c r="G616" s="5" t="inlineStr">
        <is>
          <t>no cuenta: otro modelo (i5-13400F, precio fijo)</t>
        </is>
      </c>
      <c r="H616" s="6" t="inlineStr">
        <is>
          <t>ver</t>
        </is>
      </c>
    </row>
    <row r="617">
      <c r="A617" s="15" t="n">
        <v>46314</v>
      </c>
      <c r="B617" s="5" t="inlineStr">
        <is>
          <t>Marketplace</t>
        </is>
      </c>
      <c r="C617" s="5" t="inlineStr">
        <is>
          <t>Intel Core i5-14400F</t>
        </is>
      </c>
      <c r="D617" s="5" t="inlineStr">
        <is>
          <t>Marketplace Cochabamba (particular)</t>
        </is>
      </c>
      <c r="E617" s="11" t="n">
        <v>2600</v>
      </c>
      <c r="F617" s="5" t="inlineStr">
        <is>
          <t>Bs</t>
        </is>
      </c>
      <c r="G617" s="5" t="inlineStr">
        <is>
          <t>no cuenta: otro modelo (i5-14400 sin F)</t>
        </is>
      </c>
      <c r="H617" s="6" t="inlineStr">
        <is>
          <t>ver</t>
        </is>
      </c>
    </row>
    <row r="618">
      <c r="A618" s="15" t="n">
        <v>46314</v>
      </c>
      <c r="B618" s="5" t="inlineStr">
        <is>
          <t>Marketplace</t>
        </is>
      </c>
      <c r="C618" s="5" t="inlineStr">
        <is>
          <t>Corsair Vengeance RGB DDR5 32GB (2x16) 6000</t>
        </is>
      </c>
      <c r="D618" s="5" t="inlineStr">
        <is>
          <t>Marketplace Cochabamba (particular)</t>
        </is>
      </c>
      <c r="E618" s="11" t="n">
        <v>5800</v>
      </c>
      <c r="F618" s="5" t="inlineStr">
        <is>
          <t>Bs</t>
        </is>
      </c>
      <c r="G618" s="5" t="inlineStr">
        <is>
          <t>Corsair Vengeance RGB 2x16 6000 MHz (estado sin dato)</t>
        </is>
      </c>
      <c r="H618" s="6" t="inlineStr">
        <is>
          <t>ver</t>
        </is>
      </c>
    </row>
    <row r="619">
      <c r="A619" s="15" t="n">
        <v>46314</v>
      </c>
      <c r="B619" s="5" t="inlineStr">
        <is>
          <t>Marketplace</t>
        </is>
      </c>
      <c r="C619" s="5" t="inlineStr">
        <is>
          <t>SSD NVMe 1TB</t>
        </is>
      </c>
      <c r="D619" s="5" t="inlineStr">
        <is>
          <t>Marketplace Cochabamba (particular)</t>
        </is>
      </c>
      <c r="E619" s="11" t="n">
        <v>2500</v>
      </c>
      <c r="F619" s="5" t="inlineStr">
        <is>
          <t>Bs</t>
        </is>
      </c>
      <c r="G619" s="5" t="inlineStr">
        <is>
          <t>Lexar NM790 1TB con disipador (estado sin dato)</t>
        </is>
      </c>
      <c r="H619" s="6" t="inlineStr">
        <is>
          <t>ver</t>
        </is>
      </c>
    </row>
    <row r="620">
      <c r="A620" s="15" t="n">
        <v>46314</v>
      </c>
      <c r="B620" s="5" t="inlineStr">
        <is>
          <t>Marketplace</t>
        </is>
      </c>
      <c r="C620" s="5" t="inlineStr">
        <is>
          <t>SSD NVMe 1TB</t>
        </is>
      </c>
      <c r="D620" s="5" t="inlineStr">
        <is>
          <t>Marketplace Cochabamba (particular)</t>
        </is>
      </c>
      <c r="E620" s="11" t="n">
        <v>2050</v>
      </c>
      <c r="F620" s="5" t="inlineStr">
        <is>
          <t>Bs</t>
        </is>
      </c>
      <c r="G620" s="5" t="inlineStr">
        <is>
          <t>WD Green SN3000 1TB (estado sin dato)</t>
        </is>
      </c>
      <c r="H620" s="6" t="inlineStr">
        <is>
          <t>ver</t>
        </is>
      </c>
    </row>
    <row r="621">
      <c r="A621" s="15" t="n">
        <v>46314</v>
      </c>
      <c r="B621" s="5" t="inlineStr">
        <is>
          <t>Tienda</t>
        </is>
      </c>
      <c r="C621" s="5" t="inlineStr">
        <is>
          <t>Ryzen 5 7600</t>
        </is>
      </c>
      <c r="D621" s="5" t="inlineStr">
        <is>
          <t>OverCity (WhatsApp)</t>
        </is>
      </c>
      <c r="E621" s="11" t="n">
        <v>2800</v>
      </c>
      <c r="F621" s="5" t="inlineStr">
        <is>
          <t>Bs</t>
        </is>
      </c>
      <c r="G621" s="5" t="inlineStr">
        <is>
          <t>nuevo OEM (reconfirmado 16:09)</t>
        </is>
      </c>
      <c r="H621" s="2" t="n"/>
    </row>
    <row r="622">
      <c r="A622" s="15" t="n">
        <v>46314</v>
      </c>
      <c r="B622" s="5" t="inlineStr">
        <is>
          <t>Tienda</t>
        </is>
      </c>
      <c r="C622" s="5" t="inlineStr">
        <is>
          <t>Intel Core Ultra 7 265K</t>
        </is>
      </c>
      <c r="D622" s="5" t="inlineStr">
        <is>
          <t>OverCity (WhatsApp)</t>
        </is>
      </c>
      <c r="E622" s="11" t="n">
        <v>4100</v>
      </c>
      <c r="F622" s="5" t="inlineStr">
        <is>
          <t>Bs</t>
        </is>
      </c>
      <c r="G622" s="5" t="inlineStr">
        <is>
          <t>nuevo OEM</t>
        </is>
      </c>
      <c r="H622" s="2" t="n"/>
    </row>
    <row r="623">
      <c r="A623" s="15" t="n">
        <v>46315</v>
      </c>
      <c r="B623" s="5" t="inlineStr">
        <is>
          <t>Marketplace</t>
        </is>
      </c>
      <c r="C623" s="5" t="inlineStr">
        <is>
          <t>Ryzen 7 7800X3D</t>
        </is>
      </c>
      <c r="D623" s="5" t="inlineStr">
        <is>
          <t>Marketplace Cochabamba (particular)</t>
        </is>
      </c>
      <c r="E623" s="11" t="n">
        <v>5190</v>
      </c>
      <c r="F623" s="5" t="inlineStr">
        <is>
          <t>Bs</t>
        </is>
      </c>
      <c r="G623" s="5" t="inlineStr">
        <is>
          <t>no cuenta: anuncio viejo (nuevo; publicado hace 13 semanas)</t>
        </is>
      </c>
      <c r="H623" s="6" t="inlineStr">
        <is>
          <t>ver</t>
        </is>
      </c>
    </row>
    <row r="624">
      <c r="A624" s="15" t="n">
        <v>46315</v>
      </c>
      <c r="B624" s="5" t="inlineStr">
        <is>
          <t>Marketplace</t>
        </is>
      </c>
      <c r="C624" s="5" t="inlineStr">
        <is>
          <t>Ryzen 7 7800X3D</t>
        </is>
      </c>
      <c r="D624" s="5" t="inlineStr">
        <is>
          <t>Marketplace Cochabamba (particular)</t>
        </is>
      </c>
      <c r="E624" s="11" t="n">
        <v>5390</v>
      </c>
      <c r="F624" s="5" t="inlineStr">
        <is>
          <t>Bs</t>
        </is>
      </c>
      <c r="G624" s="5" t="inlineStr">
        <is>
          <t>nuevo (anuncio 'El mejor para Gaming'; disponible)</t>
        </is>
      </c>
      <c r="H624" s="6" t="inlineStr">
        <is>
          <t>ver</t>
        </is>
      </c>
    </row>
    <row r="625">
      <c r="A625" s="15" t="n">
        <v>46315</v>
      </c>
      <c r="B625" s="5" t="inlineStr">
        <is>
          <t>Marketplace</t>
        </is>
      </c>
      <c r="C625" s="5" t="inlineStr">
        <is>
          <t>Intel Core Ultra 7 265K</t>
        </is>
      </c>
      <c r="D625" s="5" t="inlineStr">
        <is>
          <t>Marketplace La Paz (particular)</t>
        </is>
      </c>
      <c r="E625" s="11" t="n">
        <v>3950</v>
      </c>
      <c r="F625" s="5" t="inlineStr">
        <is>
          <t>Bs</t>
        </is>
      </c>
      <c r="G625" s="5" t="inlineStr">
        <is>
          <t>no cuenta: otra ciudad (La Paz; nuevo)</t>
        </is>
      </c>
      <c r="H625" s="2" t="n"/>
    </row>
    <row r="626">
      <c r="A626" s="15" t="n">
        <v>46315</v>
      </c>
      <c r="B626" s="5" t="inlineStr">
        <is>
          <t>Marketplace</t>
        </is>
      </c>
      <c r="C626" s="5" t="inlineStr">
        <is>
          <t>RAM DDR4 16GB (2x8) 3200</t>
        </is>
      </c>
      <c r="D626" s="5" t="inlineStr">
        <is>
          <t>Marketplace Cochabamba (particular)</t>
        </is>
      </c>
      <c r="E626" s="11" t="n">
        <v>1400</v>
      </c>
      <c r="F626" s="5" t="inlineStr">
        <is>
          <t>Bs</t>
        </is>
      </c>
      <c r="G626" s="5" t="inlineStr">
        <is>
          <t>2x8 = 16GB (marca y frecuencia sin dato; antes Bs 1.600; vuelve a aparecer)</t>
        </is>
      </c>
      <c r="H626" s="2" t="n"/>
    </row>
    <row r="627">
      <c r="A627" s="15" t="n">
        <v>46315</v>
      </c>
      <c r="B627" s="5" t="inlineStr">
        <is>
          <t>Marketplace</t>
        </is>
      </c>
      <c r="C627" s="5" t="inlineStr">
        <is>
          <t>Ryzen 7 7700X</t>
        </is>
      </c>
      <c r="D627" s="5" t="inlineStr">
        <is>
          <t>Marketplace Cochabamba (particular)</t>
        </is>
      </c>
      <c r="E627" s="11" t="n">
        <v>3000</v>
      </c>
      <c r="F627" s="5" t="inlineStr">
        <is>
          <t>Bs</t>
        </is>
      </c>
      <c r="G627" s="5" t="inlineStr">
        <is>
          <t>no cuenta: anuncio viejo (~7 semanas; nuevo (el anuncio dice "nuevo; se hacen pruebas si desconfía"; antes Bs 3.200))</t>
        </is>
      </c>
      <c r="H627" s="6" t="inlineStr">
        <is>
          <t>ver</t>
        </is>
      </c>
    </row>
    <row r="628">
      <c r="A628" s="15" t="n">
        <v>46315</v>
      </c>
      <c r="B628" s="5" t="inlineStr">
        <is>
          <t>Marketplace</t>
        </is>
      </c>
      <c r="C628" s="5" t="inlineStr">
        <is>
          <t>Ryzen 7 7700X</t>
        </is>
      </c>
      <c r="D628" s="5" t="inlineStr">
        <is>
          <t>Marketplace Cochabamba (particular)</t>
        </is>
      </c>
      <c r="E628" s="11" t="n">
        <v>4000</v>
      </c>
      <c r="F628" s="5" t="inlineStr">
        <is>
          <t>Bs</t>
        </is>
      </c>
      <c r="G628" s="5" t="inlineStr">
        <is>
          <t>sellado</t>
        </is>
      </c>
      <c r="H628" s="6" t="inlineStr">
        <is>
          <t>ver</t>
        </is>
      </c>
    </row>
    <row r="629">
      <c r="A629" s="15" t="n">
        <v>46315</v>
      </c>
      <c r="B629" s="5" t="inlineStr">
        <is>
          <t>Marketplace</t>
        </is>
      </c>
      <c r="C629" s="5" t="inlineStr">
        <is>
          <t>Ryzen 7 7700X</t>
        </is>
      </c>
      <c r="D629" s="5" t="inlineStr">
        <is>
          <t>Marketplace La Paz (particular o tienda sin confirmar)</t>
        </is>
      </c>
      <c r="E629" s="11" t="n">
        <v>2800</v>
      </c>
      <c r="F629" s="5" t="inlineStr">
        <is>
          <t>Bs</t>
        </is>
      </c>
      <c r="G629" s="5" t="inlineStr">
        <is>
          <t>no cuenta: otra ciudad (La Paz; nuevo OEM)</t>
        </is>
      </c>
      <c r="H629" s="6" t="inlineStr">
        <is>
          <t>ver</t>
        </is>
      </c>
    </row>
    <row r="630">
      <c r="A630" s="15" t="n">
        <v>46315</v>
      </c>
      <c r="B630" s="5" t="inlineStr">
        <is>
          <t>Marketplace</t>
        </is>
      </c>
      <c r="C630" s="5" t="inlineStr">
        <is>
          <t>Ryzen 7 7700X</t>
        </is>
      </c>
      <c r="D630" s="5" t="inlineStr">
        <is>
          <t>Marketplace La Paz (particular o tienda sin confirmar)</t>
        </is>
      </c>
      <c r="E630" s="11" t="n">
        <v>3450</v>
      </c>
      <c r="F630" s="5" t="inlineStr">
        <is>
          <t>Bs</t>
        </is>
      </c>
      <c r="G630" s="5" t="inlineStr">
        <is>
          <t>no cuenta: otra ciudad (La Paz; nuevo sellado)</t>
        </is>
      </c>
      <c r="H630" s="6" t="inlineStr">
        <is>
          <t>ver</t>
        </is>
      </c>
    </row>
    <row r="631">
      <c r="A631" s="15" t="n">
        <v>46315</v>
      </c>
      <c r="B631" s="5" t="inlineStr">
        <is>
          <t>Tienda</t>
        </is>
      </c>
      <c r="C631" s="5" t="inlineStr">
        <is>
          <t>Ryzen 7 7700X</t>
        </is>
      </c>
      <c r="D631" s="5" t="inlineStr">
        <is>
          <t>Cyrex Store (web)</t>
        </is>
      </c>
      <c r="E631" s="11" t="n">
        <v>3667</v>
      </c>
      <c r="F631" s="5" t="inlineStr">
        <is>
          <t>Bs</t>
        </is>
      </c>
      <c r="G631" s="5" t="inlineStr">
        <is>
          <t>nuevo BOX sellado (sin cooler)</t>
        </is>
      </c>
      <c r="H631" s="6" t="inlineStr">
        <is>
          <t>ver</t>
        </is>
      </c>
    </row>
    <row r="632">
      <c r="A632" s="15" t="n">
        <v>46316</v>
      </c>
      <c r="B632" s="5" t="inlineStr">
        <is>
          <t>Tienda</t>
        </is>
      </c>
      <c r="C632" s="5" t="inlineStr">
        <is>
          <t>Ryzen 7 7700X</t>
        </is>
      </c>
      <c r="D632" s="5" t="inlineStr">
        <is>
          <t>Geek Store Bolivia (WhatsApp)</t>
        </is>
      </c>
      <c r="E632" s="11" t="n">
        <v>3480</v>
      </c>
      <c r="F632" s="5" t="inlineStr">
        <is>
          <t>Bs</t>
        </is>
      </c>
      <c r="G632" s="5" t="inlineStr">
        <is>
          <t>nuevo sellado (caja)</t>
        </is>
      </c>
      <c r="H632" s="2" t="n"/>
    </row>
    <row r="633">
      <c r="A633" s="15" t="n">
        <v>46316</v>
      </c>
      <c r="B633" s="5" t="inlineStr">
        <is>
          <t>Marketplace</t>
        </is>
      </c>
      <c r="C633" s="5" t="inlineStr">
        <is>
          <t>Intel Core i5-12400F</t>
        </is>
      </c>
      <c r="D633" s="5" t="inlineStr">
        <is>
          <t>Marketplace Cochabamba (particular)</t>
        </is>
      </c>
      <c r="E633" s="11" t="n">
        <v>2350</v>
      </c>
      <c r="F633" s="5" t="inlineStr">
        <is>
          <t>Bs</t>
        </is>
      </c>
      <c r="G633" s="5" t="inlineStr">
        <is>
          <t>OEM (anuncio "Procesador CPU i5 12400f OEM"; estado sin dato)</t>
        </is>
      </c>
      <c r="H633" s="2" t="n"/>
    </row>
    <row r="634">
      <c r="A634" s="15" t="n">
        <v>46316</v>
      </c>
      <c r="B634" s="5" t="inlineStr">
        <is>
          <t>Marketplace</t>
        </is>
      </c>
      <c r="C634" s="5" t="inlineStr">
        <is>
          <t>Corsair Vengeance RGB DDR5 32GB (2x16) 6000</t>
        </is>
      </c>
      <c r="D634" s="5" t="inlineStr">
        <is>
          <t>Marketplace Cochabamba (particular)</t>
        </is>
      </c>
      <c r="E634" s="11" t="n">
        <v>6200</v>
      </c>
      <c r="F634" s="5" t="inlineStr">
        <is>
          <t>Bs</t>
        </is>
      </c>
      <c r="G634" s="5" t="inlineStr">
        <is>
          <t>Corsair Vengeance RGB RS 2x16 6000 MHz ("última unidad"; estado sin dato)</t>
        </is>
      </c>
      <c r="H634" s="2" t="n"/>
    </row>
    <row r="635">
      <c r="A635" s="15" t="n">
        <v>46316</v>
      </c>
      <c r="B635" s="5" t="inlineStr">
        <is>
          <t>Marketplace</t>
        </is>
      </c>
      <c r="C635" s="5" t="inlineStr">
        <is>
          <t>Ryzen 7 7800X3D</t>
        </is>
      </c>
      <c r="D635" s="5" t="inlineStr">
        <is>
          <t>Marketplace Cochabamba (tienda sin confirmar)</t>
        </is>
      </c>
      <c r="E635" s="11" t="n">
        <v>4860</v>
      </c>
      <c r="F635" s="5" t="inlineStr">
        <is>
          <t>Bs</t>
        </is>
      </c>
      <c r="G635" s="5" t="inlineStr">
        <is>
          <t>nuevo (anuncio multi-modelo "9800X3D, 7800X3D, 8700G"; precio desde)</t>
        </is>
      </c>
      <c r="H635" s="2" t="n"/>
    </row>
    <row r="636">
      <c r="A636" s="15" t="n">
        <v>46316</v>
      </c>
      <c r="B636" s="5" t="inlineStr">
        <is>
          <t>Marketplace</t>
        </is>
      </c>
      <c r="C636" s="5" t="inlineStr">
        <is>
          <t>SSD NVMe 1TB</t>
        </is>
      </c>
      <c r="D636" s="5" t="inlineStr">
        <is>
          <t>Marketplace Cochabamba (particular)</t>
        </is>
      </c>
      <c r="E636" s="11" t="n">
        <v>1700</v>
      </c>
      <c r="F636" s="5" t="inlineStr">
        <is>
          <t>Bs</t>
        </is>
      </c>
      <c r="G636" s="5" t="inlineStr">
        <is>
          <t>Kingston NV2 NVMe 1TB (estado sin dato; recién publicado)</t>
        </is>
      </c>
      <c r="H636" s="2" t="n"/>
    </row>
    <row r="637">
      <c r="A637" s="15" t="n">
        <v>46316</v>
      </c>
      <c r="B637" s="5" t="inlineStr">
        <is>
          <t>Marketplace</t>
        </is>
      </c>
      <c r="C637" s="5" t="inlineStr">
        <is>
          <t>SSD NVMe 1TB</t>
        </is>
      </c>
      <c r="D637" s="5" t="inlineStr">
        <is>
          <t>Marketplace Cochabamba (particular)</t>
        </is>
      </c>
      <c r="E637" s="11" t="n">
        <v>3050</v>
      </c>
      <c r="F637" s="5" t="inlineStr">
        <is>
          <t>Bs</t>
        </is>
      </c>
      <c r="G637" s="5" t="inlineStr">
        <is>
          <t>Samsung 9100 PRO 1TB PCIe 5.0 (gama alta; estado sin dato)</t>
        </is>
      </c>
      <c r="H637" s="2" t="n"/>
    </row>
    <row r="638">
      <c r="A638" s="15" t="n">
        <v>46316</v>
      </c>
      <c r="B638" s="5" t="inlineStr">
        <is>
          <t>Tienda</t>
        </is>
      </c>
      <c r="C638" s="5" t="inlineStr">
        <is>
          <t>Ryzen 7 7800X3D</t>
        </is>
      </c>
      <c r="D638" s="5" t="inlineStr">
        <is>
          <t>ADN Gamer Store (WhatsApp)</t>
        </is>
      </c>
      <c r="E638" s="11" t="n">
        <v>6193</v>
      </c>
      <c r="F638" s="5" t="inlineStr">
        <is>
          <t>Bs</t>
        </is>
      </c>
      <c r="G638" s="5" t="inlineStr">
        <is>
          <t>nuevo (estado y garantía sin confirmar; se preguntó)</t>
        </is>
      </c>
      <c r="H638" s="2" t="n"/>
    </row>
    <row r="639">
      <c r="A639" s="15" t="n">
        <v>46316</v>
      </c>
      <c r="B639" s="5" t="inlineStr">
        <is>
          <t>Tienda</t>
        </is>
      </c>
      <c r="C639" s="5" t="inlineStr">
        <is>
          <t>Ryzen 5 7600</t>
        </is>
      </c>
      <c r="D639" s="5" t="inlineStr">
        <is>
          <t>ADN Gamer Store (WhatsApp)</t>
        </is>
      </c>
      <c r="E639" s="11" t="n">
        <v>2918</v>
      </c>
      <c r="F639" s="5" t="inlineStr">
        <is>
          <t>Bs</t>
        </is>
      </c>
      <c r="G639" s="5" t="inlineStr">
        <is>
          <t>nuevo (es el 7600X, no el 7600; USD 245 × 11,91; solo referencia; no cuenta)</t>
        </is>
      </c>
      <c r="H639" s="2" t="n"/>
    </row>
    <row r="640">
      <c r="A640" s="15" t="n">
        <v>46317</v>
      </c>
      <c r="B640" s="5" t="inlineStr">
        <is>
          <t>Marketplace</t>
        </is>
      </c>
      <c r="C640" s="5" t="inlineStr">
        <is>
          <t>Ryzen 7 7700X</t>
        </is>
      </c>
      <c r="D640" s="5" t="inlineStr">
        <is>
          <t>Marketplace Cochabamba (particular)</t>
        </is>
      </c>
      <c r="E640" s="11" t="n">
        <v>3100</v>
      </c>
      <c r="F640" s="5" t="inlineStr">
        <is>
          <t>Bs</t>
        </is>
      </c>
      <c r="G640" s="5" t="inlineStr">
        <is>
          <t>estado sin dato (antes Bs 3.500 tachado; puede ser el mismo anuncio de Bs 3.000 de ayer con otro precio)</t>
        </is>
      </c>
      <c r="H640" s="6" t="inlineStr">
        <is>
          <t>ver</t>
        </is>
      </c>
    </row>
    <row r="641">
      <c r="A641" s="15" t="n">
        <v>46317</v>
      </c>
      <c r="B641" s="5" t="inlineStr">
        <is>
          <t>Marketplace</t>
        </is>
      </c>
      <c r="C641" s="5" t="inlineStr">
        <is>
          <t>RAM DDR4 16GB (2x8) 3200</t>
        </is>
      </c>
      <c r="D641" s="5" t="inlineStr">
        <is>
          <t>Marketplace Cochabamba (particular)</t>
        </is>
      </c>
      <c r="E641" s="11" t="n">
        <v>600</v>
      </c>
      <c r="F641" s="5" t="inlineStr">
        <is>
          <t>Bs</t>
        </is>
      </c>
      <c r="G641" s="5" t="inlineStr">
        <is>
          <t>estado sin dato (2x8 16GB; recién publicado)</t>
        </is>
      </c>
      <c r="H641" s="6" t="inlineStr">
        <is>
          <t>ver</t>
        </is>
      </c>
    </row>
    <row r="642">
      <c r="A642" s="15" t="n">
        <v>46317</v>
      </c>
      <c r="B642" s="5" t="inlineStr">
        <is>
          <t>Marketplace</t>
        </is>
      </c>
      <c r="C642" s="5" t="inlineStr">
        <is>
          <t>RAM DDR4 16GB (2x8) 3200</t>
        </is>
      </c>
      <c r="D642" s="5" t="inlineStr">
        <is>
          <t>Marketplace Cochabamba (particular)</t>
        </is>
      </c>
      <c r="E642" s="11" t="n">
        <v>540</v>
      </c>
      <c r="F642" s="5" t="inlineStr">
        <is>
          <t>Bs</t>
        </is>
      </c>
      <c r="G642" s="5" t="inlineStr">
        <is>
          <t>estado sin dato (Kingston Fury Beast RGB 16GB 3200; no queda claro si es 2x8 o un módulo)</t>
        </is>
      </c>
      <c r="H642" s="6" t="inlineStr">
        <is>
          <t>ver</t>
        </is>
      </c>
    </row>
    <row r="643">
      <c r="A643" s="15" t="n">
        <v>46317</v>
      </c>
      <c r="B643" s="5" t="inlineStr">
        <is>
          <t>Marketplace</t>
        </is>
      </c>
      <c r="C643" s="5" t="inlineStr">
        <is>
          <t>SSD NVMe 1TB</t>
        </is>
      </c>
      <c r="D643" s="5" t="inlineStr">
        <is>
          <t>Marketplace Cochabamba (particular)</t>
        </is>
      </c>
      <c r="E643" s="11" t="n">
        <v>2050</v>
      </c>
      <c r="F643" s="5" t="inlineStr">
        <is>
          <t>Bs</t>
        </is>
      </c>
      <c r="G643" s="5" t="inlineStr">
        <is>
          <t>estado sin dato (WD Green SN3000 1TB)</t>
        </is>
      </c>
      <c r="H643" s="6" t="inlineStr">
        <is>
          <t>ver</t>
        </is>
      </c>
    </row>
    <row r="644">
      <c r="A644" s="15" t="n">
        <v>46317</v>
      </c>
      <c r="B644" s="5" t="inlineStr">
        <is>
          <t>Marketplace</t>
        </is>
      </c>
      <c r="C644" s="5" t="inlineStr">
        <is>
          <t>SSD NVMe 1TB</t>
        </is>
      </c>
      <c r="D644" s="5" t="inlineStr">
        <is>
          <t>Marketplace Cochabamba (particular)</t>
        </is>
      </c>
      <c r="E644" s="11" t="n">
        <v>2060</v>
      </c>
      <c r="F644" s="5" t="inlineStr">
        <is>
          <t>Bs</t>
        </is>
      </c>
      <c r="G644" s="5" t="inlineStr">
        <is>
          <t>estado sin dato (WD Green SN3000 1TB)</t>
        </is>
      </c>
      <c r="H644" s="6" t="inlineStr">
        <is>
          <t>ver</t>
        </is>
      </c>
    </row>
    <row r="645">
      <c r="A645" s="15" t="n">
        <v>46317</v>
      </c>
      <c r="B645" s="5" t="inlineStr">
        <is>
          <t>Tienda</t>
        </is>
      </c>
      <c r="C645" s="5" t="inlineStr">
        <is>
          <t>Ryzen 7 7800X3D</t>
        </is>
      </c>
      <c r="D645" s="5" t="inlineStr">
        <is>
          <t>ADN Gamer Store (WhatsApp)</t>
        </is>
      </c>
      <c r="E645" s="11" t="n">
        <v>6162</v>
      </c>
      <c r="F645" s="5" t="inlineStr">
        <is>
          <t>Bs</t>
        </is>
      </c>
      <c r="G645" s="5" t="inlineStr">
        <is>
          <t>nuevo en caja (box); garantía sin dato (se preguntó)</t>
        </is>
      </c>
      <c r="H645" s="2" t="n"/>
    </row>
    <row r="646">
      <c r="A646" s="15" t="n">
        <v>46317</v>
      </c>
      <c r="B646" s="5" t="inlineStr">
        <is>
          <t>Tienda</t>
        </is>
      </c>
      <c r="C646" s="5" t="inlineStr">
        <is>
          <t>Intel Core Ultra 7 265K</t>
        </is>
      </c>
      <c r="D646" s="5" t="inlineStr">
        <is>
          <t>TechMax Computers Cbba (WhatsApp)</t>
        </is>
      </c>
      <c r="E646" s="11" t="n">
        <v>4300</v>
      </c>
      <c r="F646" s="5" t="inlineStr">
        <is>
          <t>Bs</t>
        </is>
      </c>
      <c r="G646" s="5" t="inlineStr">
        <is>
          <t>no cuenta: modelo sin confirmar (dijo 'Core Ultra 7'; se preguntó si es el 265K); sin garantía, traído de EEUU; estado 'perfecto estado'</t>
        </is>
      </c>
      <c r="H646" s="2" t="n"/>
    </row>
    <row r="647">
      <c r="A647" s="15" t="n">
        <v>46318</v>
      </c>
      <c r="B647" s="5" t="inlineStr">
        <is>
          <t>Tienda</t>
        </is>
      </c>
      <c r="C647" s="5" t="inlineStr">
        <is>
          <t>Ryzen 5 5600</t>
        </is>
      </c>
      <c r="D647" s="5" t="inlineStr">
        <is>
          <t>Punto Tecnológico · Supermall (web, vista en Google 23/10)</t>
        </is>
      </c>
      <c r="E647" s="11" t="n">
        <v>1710</v>
      </c>
      <c r="F647" s="5" t="inlineStr">
        <is>
          <t>Bs</t>
        </is>
      </c>
      <c r="G647" s="5" t="inlineStr">
        <is>
          <t>no cuenta: agotado (referencia web; ya anotada el 12/10, la web sigue mostrando el mismo precio)</t>
        </is>
      </c>
      <c r="H647" s="6" t="inlineStr">
        <is>
          <t>ver</t>
        </is>
      </c>
    </row>
    <row r="648">
      <c r="A648" s="15" t="n">
        <v>46318</v>
      </c>
      <c r="B648" s="5" t="inlineStr">
        <is>
          <t>Tienda</t>
        </is>
      </c>
      <c r="C648" s="5" t="inlineStr">
        <is>
          <t>Ryzen 7 5700X3D</t>
        </is>
      </c>
      <c r="D648" s="5" t="inlineStr">
        <is>
          <t>Facebook grupo TEAM PC's BOLIVIA (web, vista en Google 23/10)</t>
        </is>
      </c>
      <c r="E648" s="11" t="n">
        <v>3800</v>
      </c>
      <c r="F648" s="5" t="inlineStr">
        <is>
          <t>Bs</t>
        </is>
      </c>
      <c r="G648" s="5" t="inlineStr">
        <is>
          <t>no cuenta: referencia vieja (comentario "de 3.800 Bs arriba" en el grupo TEAM PC's BOLIVIA; nuevo; sin ciudad ni anuncio)</t>
        </is>
      </c>
      <c r="H648" s="2" t="n"/>
    </row>
    <row r="649">
      <c r="A649" s="15" t="n">
        <v>46318</v>
      </c>
      <c r="B649" s="5" t="inlineStr">
        <is>
          <t>Tienda</t>
        </is>
      </c>
      <c r="C649" s="5" t="inlineStr">
        <is>
          <t>Ryzen 5 7500F</t>
        </is>
      </c>
      <c r="D649" s="5" t="inlineStr">
        <is>
          <t>Facebook grupo PC GAMERS BOLIVIA (web, vista en Google 23/10)</t>
        </is>
      </c>
      <c r="E649" s="11" t="n">
        <v>2050</v>
      </c>
      <c r="F649" s="5" t="inlineStr">
        <is>
          <t>Bs</t>
        </is>
      </c>
      <c r="G649" s="5" t="inlineStr">
        <is>
          <t>no cuenta: referencia vieja (2 unidades nuevas "recién llegadas" en el grupo PC GAMERS BOLIVIA; sin ciudad)</t>
        </is>
      </c>
      <c r="H649" s="2" t="n"/>
    </row>
    <row r="650">
      <c r="A650" s="15" t="n">
        <v>46318</v>
      </c>
      <c r="B650" s="5" t="inlineStr">
        <is>
          <t>Marketplace</t>
        </is>
      </c>
      <c r="C650" s="5" t="inlineStr">
        <is>
          <t>RAM DDR4 16GB (2x8) 3200</t>
        </is>
      </c>
      <c r="D650" s="5" t="inlineStr">
        <is>
          <t>Marketplace Cochabamba (particular)</t>
        </is>
      </c>
      <c r="E650" s="11" t="n">
        <v>1600</v>
      </c>
      <c r="F650" s="5" t="inlineStr">
        <is>
          <t>Bs</t>
        </is>
      </c>
      <c r="G650" s="5" t="inlineStr">
        <is>
          <t>sin dato de estado (Corsair Vengeance Pro 2x8GB 3200 MHz)</t>
        </is>
      </c>
      <c r="H650" s="6" t="inlineStr">
        <is>
          <t>ver</t>
        </is>
      </c>
    </row>
    <row r="651">
      <c r="A651" s="15" t="n">
        <v>46318</v>
      </c>
      <c r="B651" s="5" t="inlineStr">
        <is>
          <t>Marketplace</t>
        </is>
      </c>
      <c r="C651" s="5" t="inlineStr">
        <is>
          <t>RAM DDR4 16GB (2x8) 3200</t>
        </is>
      </c>
      <c r="D651" s="5" t="inlineStr">
        <is>
          <t>Marketplace Cochabamba (particular)</t>
        </is>
      </c>
      <c r="E651" s="11" t="n">
        <v>1300</v>
      </c>
      <c r="F651" s="5" t="inlineStr">
        <is>
          <t>Bs</t>
        </is>
      </c>
      <c r="G651" s="5" t="inlineStr">
        <is>
          <t>no cuenta: velocidad sin dato (anuncio "Ram 2 x 8 = 16Gb"; estado sin dato; tachado Bs 1.600)</t>
        </is>
      </c>
      <c r="H651" s="6" t="inlineStr">
        <is>
          <t>ver</t>
        </is>
      </c>
    </row>
    <row r="652">
      <c r="A652" s="15" t="n">
        <v>46318</v>
      </c>
      <c r="B652" s="5" t="inlineStr">
        <is>
          <t>Marketplace</t>
        </is>
      </c>
      <c r="C652" s="5" t="inlineStr">
        <is>
          <t>SSD NVMe 2TB</t>
        </is>
      </c>
      <c r="D652" s="5" t="inlineStr">
        <is>
          <t>Marketplace Cochabamba (particular)</t>
        </is>
      </c>
      <c r="E652" s="11" t="n">
        <v>3350</v>
      </c>
      <c r="F652" s="5" t="inlineStr">
        <is>
          <t>Bs</t>
        </is>
      </c>
      <c r="G652" s="5" t="inlineStr">
        <is>
          <t>no cuenta: tipo sin confirmar (anuncio "Sandisk SSD 2 TB recién llegadas"; tachado Bs 3.550; no dice si es NVMe o SATA)</t>
        </is>
      </c>
      <c r="H652" s="6" t="inlineStr">
        <is>
          <t>ver</t>
        </is>
      </c>
    </row>
    <row r="653">
      <c r="A653" s="15" t="n">
        <v>46318</v>
      </c>
      <c r="B653" s="5" t="inlineStr">
        <is>
          <t>Tienda</t>
        </is>
      </c>
      <c r="C653" s="5" t="inlineStr">
        <is>
          <t>Ryzen 7 7700X</t>
        </is>
      </c>
      <c r="D653" s="5" t="inlineStr">
        <is>
          <t>Cyrex Store (WhatsApp)</t>
        </is>
      </c>
      <c r="E653" s="11" t="n">
        <v>3673.5</v>
      </c>
      <c r="F653" s="5" t="inlineStr">
        <is>
          <t>Bs</t>
        </is>
      </c>
      <c r="G653" s="5" t="inlineStr">
        <is>
          <t>nuevo BOX (según foto de su chat; solo queda 1 unidad)</t>
        </is>
      </c>
      <c r="H653" s="2" t="n"/>
    </row>
    <row r="654">
      <c r="A654" s="15" t="n">
        <v>46318</v>
      </c>
      <c r="B654" s="5" t="inlineStr">
        <is>
          <t>Tienda</t>
        </is>
      </c>
      <c r="C654" s="5" t="inlineStr">
        <is>
          <t>Ryzen 5 7600</t>
        </is>
      </c>
      <c r="D654" s="5" t="inlineStr">
        <is>
          <t>Nerd Tecnologias (WhatsApp)</t>
        </is>
      </c>
      <c r="E654" s="11" t="n">
        <v>2700</v>
      </c>
      <c r="F654" s="5" t="inlineStr">
        <is>
          <t>Bs</t>
        </is>
      </c>
      <c r="G654" s="5" t="inlineStr">
        <is>
          <t>no cuenta: precio de segunda mano (lo consultó a un colega); estado y garantía sin confirmar</t>
        </is>
      </c>
      <c r="H654" s="2" t="n"/>
    </row>
    <row r="655">
      <c r="A655" s="15" t="n">
        <v>46318</v>
      </c>
      <c r="B655" s="5" t="inlineStr">
        <is>
          <t>Tienda</t>
        </is>
      </c>
      <c r="C655" s="5" t="inlineStr">
        <is>
          <t>SSD NVMe 1TB</t>
        </is>
      </c>
      <c r="D655" s="5" t="inlineStr">
        <is>
          <t>Nerd Tecnologias (WhatsApp)</t>
        </is>
      </c>
      <c r="E655" s="11" t="n">
        <v>1600</v>
      </c>
      <c r="F655" s="5" t="inlineStr">
        <is>
          <t>Bs</t>
        </is>
      </c>
      <c r="G655" s="5" t="inlineStr">
        <is>
          <t>no cuenta: precio de segunda mano (colega); marca y tipo sin confirmar ("M2 de 1 tera")</t>
        </is>
      </c>
      <c r="H655" s="2" t="n"/>
    </row>
    <row r="656">
      <c r="A656" s="15" t="n">
        <v>46318</v>
      </c>
      <c r="B656" s="5" t="inlineStr">
        <is>
          <t>Tienda</t>
        </is>
      </c>
      <c r="C656" s="5" t="inlineStr">
        <is>
          <t>Intel Core Ultra 7 265K</t>
        </is>
      </c>
      <c r="D656" s="5" t="inlineStr">
        <is>
          <t>TechMax Computers Cbba (WhatsApp)</t>
        </is>
      </c>
      <c r="E656" s="11" t="n">
        <v>4300</v>
      </c>
      <c r="F656" s="5" t="inlineStr">
        <is>
          <t>Bs</t>
        </is>
      </c>
      <c r="G656" s="5" t="inlineStr">
        <is>
          <t>no cuenta: es el Core Ultra 7 270K (no el 265K); sin garantía, traído de EEUU</t>
        </is>
      </c>
      <c r="H656" s="2" t="n"/>
    </row>
    <row r="657">
      <c r="A657" s="15" t="n">
        <v>46321</v>
      </c>
      <c r="B657" s="5" t="inlineStr">
        <is>
          <t>Marketplace</t>
        </is>
      </c>
      <c r="C657" s="5" t="inlineStr">
        <is>
          <t>Ryzen 7 7800X3D</t>
        </is>
      </c>
      <c r="D657" s="5" t="inlineStr">
        <is>
          <t>Marketplace Cochabamba (particular)</t>
        </is>
      </c>
      <c r="E657" s="11" t="n">
        <v>4800</v>
      </c>
      <c r="F657" s="5" t="inlineStr">
        <is>
          <t>Bs</t>
        </is>
      </c>
      <c r="G657" s="5" t="inlineStr">
        <is>
          <t>nuevo sellado (anuncio "AMD Ryzen 7 7800X3D (Sellado)"; el vendedor dijo el 13/10 que acepta ofertas, no se oferta)</t>
        </is>
      </c>
      <c r="H657" s="2" t="n"/>
    </row>
    <row r="658">
      <c r="A658" s="15" t="n">
        <v>46321</v>
      </c>
      <c r="B658" s="5" t="inlineStr">
        <is>
          <t>Marketplace</t>
        </is>
      </c>
      <c r="C658" s="5" t="inlineStr">
        <is>
          <t>SSD NVMe 1TB</t>
        </is>
      </c>
      <c r="D658" s="5" t="inlineStr">
        <is>
          <t>Marketplace Cochabamba (particular)</t>
        </is>
      </c>
      <c r="E658" s="11" t="n">
        <v>1850</v>
      </c>
      <c r="F658" s="5" t="inlineStr">
        <is>
          <t>Bs</t>
        </is>
      </c>
      <c r="G658" s="5" t="inlineStr">
        <is>
          <t>Kingston NV3 NVMe 1TB 6000MB/s (estado sin dato)</t>
        </is>
      </c>
      <c r="H658" s="2" t="n"/>
    </row>
    <row r="659">
      <c r="A659" s="15" t="n">
        <v>46321</v>
      </c>
      <c r="B659" s="5" t="inlineStr">
        <is>
          <t>Tienda</t>
        </is>
      </c>
      <c r="C659" s="5" t="inlineStr">
        <is>
          <t>SSD NVMe 1TB</t>
        </is>
      </c>
      <c r="D659" s="5" t="inlineStr">
        <is>
          <t>Punto Tecnológico (WhatsApp)</t>
        </is>
      </c>
      <c r="E659" s="11" t="n">
        <v>2000</v>
      </c>
      <c r="F659" s="5" t="inlineStr">
        <is>
          <t>Bs</t>
        </is>
      </c>
      <c r="G659" s="5" t="inlineStr">
        <is>
          <t>nuevo, NVMe (modelo SN3000), garantía 6 meses (confirmado 28/10)</t>
        </is>
      </c>
      <c r="H659" s="2" t="n"/>
    </row>
    <row r="660">
      <c r="A660" s="15" t="n">
        <v>46321</v>
      </c>
      <c r="B660" s="5" t="inlineStr">
        <is>
          <t>Tienda</t>
        </is>
      </c>
      <c r="C660" s="5" t="inlineStr">
        <is>
          <t>Ryzen 7 9700X</t>
        </is>
      </c>
      <c r="D660" s="5" t="inlineStr">
        <is>
          <t>Punto Tecnológico (WhatsApp)</t>
        </is>
      </c>
      <c r="E660" s="11" t="n">
        <v>3680</v>
      </c>
      <c r="F660" s="5" t="inlineStr">
        <is>
          <t>Bs</t>
        </is>
      </c>
      <c r="G660" s="5" t="inlineStr">
        <is>
          <t>no cuenta: no es producto de vigilar; OEM</t>
        </is>
      </c>
      <c r="H660" s="2" t="n"/>
    </row>
    <row r="661">
      <c r="A661" s="15" t="n">
        <v>46323</v>
      </c>
      <c r="B661" s="5" t="inlineStr">
        <is>
          <t>Marketplace</t>
        </is>
      </c>
      <c r="C661" s="5" t="inlineStr">
        <is>
          <t>Ryzen 7 7700X</t>
        </is>
      </c>
      <c r="D661" s="5" t="inlineStr">
        <is>
          <t>Marketplace Cochabamba (particular)</t>
        </is>
      </c>
      <c r="E661" s="11" t="n">
        <v>4000</v>
      </c>
      <c r="F661" s="5" t="inlineStr">
        <is>
          <t>Bs</t>
        </is>
      </c>
      <c r="G661" s="5" t="inlineStr">
        <is>
          <t>nuevo sellado ("Ryzen 7 7700x Sellado"); Cochabamba</t>
        </is>
      </c>
      <c r="H661" s="2" t="n"/>
    </row>
    <row r="662">
      <c r="A662" s="15" t="n">
        <v>46323</v>
      </c>
      <c r="B662" s="5" t="inlineStr">
        <is>
          <t>Marketplace</t>
        </is>
      </c>
      <c r="C662" s="5" t="inlineStr">
        <is>
          <t>SSD NVMe 1TB</t>
        </is>
      </c>
      <c r="D662" s="5" t="inlineStr">
        <is>
          <t>Marketplace Cochabamba (particular)</t>
        </is>
      </c>
      <c r="E662" s="11" t="n">
        <v>1700</v>
      </c>
      <c r="F662" s="5" t="inlineStr">
        <is>
          <t>Bs</t>
        </is>
      </c>
      <c r="G662" s="5" t="inlineStr">
        <is>
          <t>Kingston NV2 NVMe PCIe 4.0 1TB (estado sin dato); Cochabamba</t>
        </is>
      </c>
      <c r="H662" s="2" t="n"/>
    </row>
    <row r="663">
      <c r="A663" s="15" t="n">
        <v>46323</v>
      </c>
      <c r="B663" s="5" t="inlineStr">
        <is>
          <t>Marketplace</t>
        </is>
      </c>
      <c r="C663" s="5" t="inlineStr">
        <is>
          <t>SSD NVMe 1TB</t>
        </is>
      </c>
      <c r="D663" s="5" t="inlineStr">
        <is>
          <t>Marketplace Cochabamba (particular)</t>
        </is>
      </c>
      <c r="E663" s="11" t="n">
        <v>1100</v>
      </c>
      <c r="F663" s="5" t="inlineStr">
        <is>
          <t>Bs</t>
        </is>
      </c>
      <c r="G663" s="5" t="inlineStr">
        <is>
          <t>"Disco duro m2 NVMe 1 tb" marca y estado sin dato; Cochabamba</t>
        </is>
      </c>
      <c r="H663" s="2" t="n"/>
    </row>
    <row r="664">
      <c r="A664" s="15" t="n">
        <v>46323</v>
      </c>
      <c r="B664" s="5" t="inlineStr">
        <is>
          <t>Marketplace</t>
        </is>
      </c>
      <c r="C664" s="5" t="inlineStr">
        <is>
          <t>SSD NVMe 1TB</t>
        </is>
      </c>
      <c r="D664" s="5" t="inlineStr">
        <is>
          <t>Marketplace Cochabamba (particular)</t>
        </is>
      </c>
      <c r="E664" s="11" t="n">
        <v>1675</v>
      </c>
      <c r="F664" s="5" t="inlineStr">
        <is>
          <t>Bs</t>
        </is>
      </c>
      <c r="G664" s="5" t="inlineStr">
        <is>
          <t>Kingston NV2 NVMe 1TB (estado sin dato; "SSD NV2 de 1TB"); Cochabamba</t>
        </is>
      </c>
      <c r="H664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5" r:id="rId580"/>
    <hyperlink xmlns:r="http://schemas.openxmlformats.org/officeDocument/2006/relationships" ref="H587" r:id="rId581"/>
    <hyperlink xmlns:r="http://schemas.openxmlformats.org/officeDocument/2006/relationships" ref="H588" r:id="rId582"/>
    <hyperlink xmlns:r="http://schemas.openxmlformats.org/officeDocument/2006/relationships" ref="H604" r:id="rId583"/>
    <hyperlink xmlns:r="http://schemas.openxmlformats.org/officeDocument/2006/relationships" ref="H605" r:id="rId584"/>
    <hyperlink xmlns:r="http://schemas.openxmlformats.org/officeDocument/2006/relationships" ref="H606" r:id="rId585"/>
    <hyperlink xmlns:r="http://schemas.openxmlformats.org/officeDocument/2006/relationships" ref="H607" r:id="rId586"/>
    <hyperlink xmlns:r="http://schemas.openxmlformats.org/officeDocument/2006/relationships" ref="H611" r:id="rId587"/>
    <hyperlink xmlns:r="http://schemas.openxmlformats.org/officeDocument/2006/relationships" ref="H612" r:id="rId588"/>
    <hyperlink xmlns:r="http://schemas.openxmlformats.org/officeDocument/2006/relationships" ref="H613" r:id="rId589"/>
    <hyperlink xmlns:r="http://schemas.openxmlformats.org/officeDocument/2006/relationships" ref="H615" r:id="rId590"/>
    <hyperlink xmlns:r="http://schemas.openxmlformats.org/officeDocument/2006/relationships" ref="H616" r:id="rId591"/>
    <hyperlink xmlns:r="http://schemas.openxmlformats.org/officeDocument/2006/relationships" ref="H617" r:id="rId592"/>
    <hyperlink xmlns:r="http://schemas.openxmlformats.org/officeDocument/2006/relationships" ref="H618" r:id="rId593"/>
    <hyperlink xmlns:r="http://schemas.openxmlformats.org/officeDocument/2006/relationships" ref="H619" r:id="rId594"/>
    <hyperlink xmlns:r="http://schemas.openxmlformats.org/officeDocument/2006/relationships" ref="H620" r:id="rId595"/>
    <hyperlink xmlns:r="http://schemas.openxmlformats.org/officeDocument/2006/relationships" ref="H623" r:id="rId596"/>
    <hyperlink xmlns:r="http://schemas.openxmlformats.org/officeDocument/2006/relationships" ref="H624" r:id="rId597"/>
    <hyperlink xmlns:r="http://schemas.openxmlformats.org/officeDocument/2006/relationships" ref="H627" r:id="rId598"/>
    <hyperlink xmlns:r="http://schemas.openxmlformats.org/officeDocument/2006/relationships" ref="H628" r:id="rId599"/>
    <hyperlink xmlns:r="http://schemas.openxmlformats.org/officeDocument/2006/relationships" ref="H629" r:id="rId600"/>
    <hyperlink xmlns:r="http://schemas.openxmlformats.org/officeDocument/2006/relationships" ref="H630" r:id="rId601"/>
    <hyperlink xmlns:r="http://schemas.openxmlformats.org/officeDocument/2006/relationships" ref="H631" r:id="rId602"/>
    <hyperlink xmlns:r="http://schemas.openxmlformats.org/officeDocument/2006/relationships" ref="H640" r:id="rId603"/>
    <hyperlink xmlns:r="http://schemas.openxmlformats.org/officeDocument/2006/relationships" ref="H641" r:id="rId604"/>
    <hyperlink xmlns:r="http://schemas.openxmlformats.org/officeDocument/2006/relationships" ref="H642" r:id="rId605"/>
    <hyperlink xmlns:r="http://schemas.openxmlformats.org/officeDocument/2006/relationships" ref="H643" r:id="rId606"/>
    <hyperlink xmlns:r="http://schemas.openxmlformats.org/officeDocument/2006/relationships" ref="H644" r:id="rId607"/>
    <hyperlink xmlns:r="http://schemas.openxmlformats.org/officeDocument/2006/relationships" ref="H647" r:id="rId608"/>
    <hyperlink xmlns:r="http://schemas.openxmlformats.org/officeDocument/2006/relationships" ref="H650" r:id="rId609"/>
    <hyperlink xmlns:r="http://schemas.openxmlformats.org/officeDocument/2006/relationships" ref="H651" r:id="rId610"/>
    <hyperlink xmlns:r="http://schemas.openxmlformats.org/officeDocument/2006/relationships" ref="H652" r:id="rId611"/>
  </hyperlinks>
  <pageMargins left="0.75" right="0.75" top="1" bottom="1" header="0.5" footer="0.5"/>
  <tableParts count="1">
    <tablePart xmlns:r="http://schemas.openxmlformats.org/officeDocument/2006/relationships" r:id="rId61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2026-10-29T11:58:25Z</dcterms:created>
  <dcterms:modified xsi:type="dcterms:W3CDTF">2026-10-29T11:58:25Z</dcterms:modified>
</cp:coreProperties>
</file>